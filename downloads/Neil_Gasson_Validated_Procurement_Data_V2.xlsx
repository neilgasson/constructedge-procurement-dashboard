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b3e0c1745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210126888db74ee4"/>
    <x:sheet xmlns:r="http://schemas.openxmlformats.org/officeDocument/2006/relationships" name="Cleaned_Data" sheetId="2" r:id="R698fb6b3d80041ae"/>
    <x:sheet xmlns:r="http://schemas.openxmlformats.org/officeDocument/2006/relationships" name="Audit_Log" sheetId="3" r:id="Rdc200597caa54691"/>
    <x:sheet xmlns:r="http://schemas.openxmlformats.org/officeDocument/2006/relationships" name="Validation_Summary" sheetId="4" r:id="R8409929a3a014457"/>
    <x:sheet xmlns:r="http://schemas.openxmlformats.org/officeDocument/2006/relationships" name="Data_Dictionary" sheetId="5" r:id="R01ea293751164f03"/>
    <x:sheet xmlns:r="http://schemas.openxmlformats.org/officeDocument/2006/relationships" name="Q1_Overruns" sheetId="6" r:id="Rb9d4fd0a67bf4955"/>
    <x:sheet xmlns:r="http://schemas.openxmlformats.org/officeDocument/2006/relationships" name="Q2_Suppliers" sheetId="7" r:id="R58fb45f9ff8148af"/>
    <x:sheet xmlns:r="http://schemas.openxmlformats.org/officeDocument/2006/relationships" name="Q3_Methods" sheetId="8" r:id="Rbe6b5980674b4b30"/>
    <x:sheet xmlns:r="http://schemas.openxmlformats.org/officeDocument/2006/relationships" name="Q4_Delivery" sheetId="9" r:id="Rc0e97a43f48d4104"/>
    <x:sheet xmlns:r="http://schemas.openxmlformats.org/officeDocument/2006/relationships" name="Q5_Recommendations" sheetId="10" r:id="R7dfcf2acf8524e1b"/>
    <x:sheet xmlns:r="http://schemas.openxmlformats.org/officeDocument/2006/relationships" name="Independent_Check" sheetId="11" r:id="R0b9c5d6cfc39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&quot;$&quot;#,##0.00"/>
    <x:numFmt numFmtId="165" formatCode="0.0"/>
    <x:numFmt numFmtId="200" formatCode="yyyy-mm-dd"/>
    <x:numFmt numFmtId="201" formatCode="#,##0"/>
    <x:numFmt numFmtId="202" formatCode="$#,##0.00"/>
    <x:numFmt numFmtId="203" formatCode="0"/>
    <x:numFmt numFmtId="204" formatCode="0.00%"/>
    <x:numFmt numFmtId="205" formatCode="0.000000"/>
    <x:numFmt numFmtId="206" formatCode="$#,##0"/>
    <x:numFmt numFmtId="207" formatCode="0.00"/>
  </x:numFmts>
  <x:fonts count="14">
    <x:font>
      <x:sz val="11"/>
      <x:color theme="1"/>
      <x:name val="Calibri"/>
    </x:font>
    <x:font>
      <x:b/>
      <x:sz val="10"/>
      <x:color rgb="FFFFFFFF"/>
      <x:name val="Calibri"/>
    </x:font>
    <x:font>
      <x:sz val="10"/>
      <x:color rgb="FF1A1A2E"/>
      <x:name val="Calibri"/>
    </x:font>
    <x:font>
      <x:b/>
      <x:sz val="11"/>
      <x:color rgb="FFFFFFFF"/>
      <x:name val="Calibri"/>
    </x:font>
    <x:font>
      <x:b/>
      <x:sz val="9"/>
      <x:color rgb="FFFFFFFF"/>
      <x:name val="Calibri"/>
    </x:font>
    <x:font>
      <x:sz val="9"/>
      <x:color theme="1"/>
      <x:name val="Calibri"/>
    </x:font>
    <x:font>
      <x:b/>
      <x:sz val="16"/>
      <x:color rgb="FFFFFFFF"/>
      <x:name val="Calibri"/>
    </x:font>
    <x:font>
      <x:b/>
      <x:sz val="12"/>
      <x:color rgb="FF1B5E20"/>
      <x:name val="Calibri"/>
    </x:font>
    <x:font>
      <x:b/>
      <x:sz val="12"/>
      <x:color rgb="FFFFFFFF"/>
      <x:name val="Calibri"/>
    </x:font>
    <x:font>
      <x:b/>
      <x:sz val="11"/>
      <x:color rgb="FF1B5E20"/>
      <x:name val="Calibri"/>
    </x:font>
    <x:font>
      <x:i/>
      <x:sz val="10"/>
      <x:color rgb="FF17365D"/>
      <x:name val="Calibri"/>
    </x:font>
    <x:font>
      <x:b/>
      <x:sz val="11"/>
      <x:color rgb="FF7F6000"/>
      <x:name val="Calibri"/>
    </x:font>
    <x:font>
      <x:b/>
      <x:sz val="13"/>
      <x:color rgb="FF17365D"/>
      <x:name val="Calibri"/>
    </x:font>
    <x:font>
      <x:i/>
      <x:sz val="9"/>
      <x:color rgb="FF666666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005F5F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FFF9C4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2F5597"/>
      </x:patternFill>
    </x:fill>
    <x:fill>
      <x:patternFill patternType="solid">
        <x:fgColor rgb="FFEAF1F8"/>
      </x:patternFill>
    </x:fill>
    <x:fill>
      <x:patternFill patternType="solid">
        <x:fgColor rgb="FFFFF2CC"/>
      </x:patternFill>
    </x:fill>
    <x:fill>
      <x:patternFill patternType="solid">
        <x:fgColor rgb="FFDDEFEA"/>
      </x:patternFill>
    </x:fill>
    <x:fill>
      <x:patternFill patternType="solid">
        <x:fgColor rgb="FFF2F2F2"/>
      </x:patternFill>
    </x:fill>
  </x:fills>
  <x:borders count="24">
    <x:border/>
    <x:border>
      <x:bottom style="medium">
        <x:color rgb="FFFFFFFF"/>
      </x:bottom>
    </x:border>
    <x:border>
      <x:left style="thin">
        <x:color rgb="FFEEEEEE"/>
      </x:left>
      <x:right style="thin">
        <x:color rgb="FFEEEEEE"/>
      </x:right>
      <x:bottom style="thin">
        <x:color rgb="FFEEEEEE"/>
      </x:bottom>
    </x:border>
    <x:border>
      <x:bottom style="medium">
        <x:color rgb="FF0F766E"/>
      </x:bottom>
    </x:border>
    <x:border>
      <x:bottom style="thin">
        <x:color rgb="FFE6EEF4"/>
      </x:bottom>
    </x:border>
    <x:border>
      <x:top style="thin">
        <x:color rgb="FFE6EEF4"/>
      </x:top>
      <x:bottom style="thin">
        <x:color rgb="FFE6EEF4"/>
      </x:bottom>
    </x:border>
    <x:border>
      <x:top style="thin">
        <x:color rgb="FFE6EEF4"/>
      </x:top>
    </x:border>
    <x:border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medium">
        <x:color rgb="FF70AD47"/>
      </x:left>
      <x:top style="medium">
        <x:color rgb="FF70AD47"/>
      </x:top>
    </x:border>
    <x:border>
      <x:top style="medium">
        <x:color rgb="FF70AD47"/>
      </x:top>
    </x:border>
    <x:border>
      <x:right style="medium">
        <x:color rgb="FF70AD47"/>
      </x:right>
      <x:top style="medium">
        <x:color rgb="FF70AD47"/>
      </x:top>
    </x:border>
    <x:border>
      <x:left style="medium">
        <x:color rgb="FF70AD47"/>
      </x:left>
      <x:bottom style="medium">
        <x:color rgb="FF70AD47"/>
      </x:bottom>
    </x:border>
    <x:border>
      <x:bottom style="medium">
        <x:color rgb="FF70AD47"/>
      </x:bottom>
    </x:border>
    <x:border>
      <x:right style="medium">
        <x:color rgb="FF70AD47"/>
      </x:right>
      <x:bottom style="medium">
        <x:color rgb="FF70AD47"/>
      </x:bottom>
    </x:border>
    <x:border>
      <x:bottom style="medium">
        <x:color rgb="FF2F5597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2" xfId="0" applyAlignment="1">
      <x:alignment horizontal="center" vertical="center"/>
    </x:xf>
    <x:xf numFmtId="1" fontId="2" fillId="3" borderId="2" xfId="0" applyAlignment="1">
      <x:alignment horizontal="center" vertical="center"/>
    </x:xf>
    <x:xf numFmtId="164" fontId="2" fillId="3" borderId="2" xfId="0" applyAlignment="1">
      <x:alignment horizontal="center" vertical="center"/>
    </x:xf>
    <x:xf numFmtId="165" fontId="2" fillId="3" borderId="2" xfId="0" applyAlignment="1">
      <x:alignment horizontal="center" vertical="center"/>
    </x:xf>
    <x:xf numFmtId="0" fontId="2" fillId="4" borderId="2" xfId="0" applyAlignment="1">
      <x:alignment horizontal="center" vertical="center"/>
    </x:xf>
    <x:xf numFmtId="1" fontId="2" fillId="4" borderId="2" xfId="0" applyAlignment="1">
      <x:alignment horizontal="center" vertical="center"/>
    </x:xf>
    <x:xf numFmtId="164" fontId="2" fillId="4" borderId="2" xfId="0" applyAlignment="1">
      <x:alignment horizontal="center" vertical="center"/>
    </x:xf>
    <x:xf numFmtId="165" fontId="2" fillId="4" borderId="2" xfId="0" applyAlignment="1">
      <x:alignment horizontal="center" vertical="center"/>
    </x:xf>
    <x:xf numFmtId="164" fontId="2" fillId="5" borderId="2" xfId="0" applyAlignment="1">
      <x:alignment horizontal="center" vertical="center"/>
    </x:xf>
    <x:xf numFmtId="1" fontId="2" fillId="5" borderId="2" xfId="0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16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165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4" xfId="0" applyNumberFormat="1" applyFont="1" applyFill="1" applyBorder="1"/>
    <x:xf numFmtId="200" fontId="5" fillId="0" borderId="4" xfId="0" applyNumberFormat="1" applyFont="1" applyFill="1" applyBorder="1"/>
    <x:xf numFmtId="201" fontId="5" fillId="0" borderId="4" xfId="0" applyNumberFormat="1" applyFont="1" applyFill="1" applyBorder="1"/>
    <x:xf numFmtId="202" fontId="5" fillId="0" borderId="4" xfId="0" applyNumberFormat="1" applyFont="1" applyFill="1" applyBorder="1"/>
    <x:xf numFmtId="165" fontId="5" fillId="0" borderId="4" xfId="0" applyNumberFormat="1" applyFont="1" applyFill="1" applyBorder="1"/>
    <x:xf numFmtId="203" fontId="5" fillId="0" borderId="4" xfId="0" applyNumberFormat="1" applyFont="1" applyFill="1" applyBorder="1"/>
    <x:xf numFmtId="0" fontId="5" fillId="0" borderId="5" xfId="0" applyNumberFormat="1" applyFont="1" applyFill="1" applyBorder="1"/>
    <x:xf numFmtId="200" fontId="5" fillId="0" borderId="5" xfId="0" applyNumberFormat="1" applyFont="1" applyFill="1" applyBorder="1"/>
    <x:xf numFmtId="201" fontId="5" fillId="0" borderId="5" xfId="0" applyNumberFormat="1" applyFont="1" applyFill="1" applyBorder="1"/>
    <x:xf numFmtId="202" fontId="5" fillId="0" borderId="5" xfId="0" applyNumberFormat="1" applyFont="1" applyFill="1" applyBorder="1"/>
    <x:xf numFmtId="165" fontId="5" fillId="0" borderId="5" xfId="0" applyNumberFormat="1" applyFont="1" applyFill="1" applyBorder="1"/>
    <x:xf numFmtId="203" fontId="5" fillId="0" borderId="5" xfId="0" applyNumberFormat="1" applyFont="1" applyFill="1" applyBorder="1"/>
    <x:xf numFmtId="0" fontId="5" fillId="0" borderId="6" xfId="0" applyNumberFormat="1" applyFont="1" applyFill="1" applyBorder="1"/>
    <x:xf numFmtId="200" fontId="5" fillId="0" borderId="6" xfId="0" applyNumberFormat="1" applyFont="1" applyFill="1" applyBorder="1"/>
    <x:xf numFmtId="201" fontId="5" fillId="0" borderId="6" xfId="0" applyNumberFormat="1" applyFont="1" applyFill="1" applyBorder="1"/>
    <x:xf numFmtId="202" fontId="5" fillId="0" borderId="6" xfId="0" applyNumberFormat="1" applyFont="1" applyFill="1" applyBorder="1"/>
    <x:xf numFmtId="165" fontId="5" fillId="0" borderId="6" xfId="0" applyNumberFormat="1" applyFont="1" applyFill="1" applyBorder="1"/>
    <x:xf numFmtId="203" fontId="5" fillId="0" borderId="6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3" fillId="7" borderId="7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1" xfId="0" applyNumberFormat="1" applyFont="1" applyFill="1" applyBorder="1"/>
    <x:xf numFmtId="0" fontId="7" fillId="8" borderId="12" xfId="0" applyNumberFormat="1" applyFont="1" applyFill="1" applyBorder="1"/>
    <x:xf numFmtId="0" fontId="7" fillId="8" borderId="13" xfId="0" applyNumberFormat="1" applyFont="1" applyFill="1" applyBorder="1"/>
    <x:xf numFmtId="0" fontId="7" fillId="8" borderId="14" xfId="0" applyNumberFormat="1" applyFont="1" applyFill="1" applyBorder="1"/>
    <x:xf numFmtId="0" fontId="7" fillId="8" borderId="15" xfId="0" applyNumberFormat="1" applyFont="1" applyFill="1" applyBorder="1"/>
    <x:xf numFmtId="0" fontId="7" fillId="8" borderId="16" xfId="0" applyNumberFormat="1" applyFont="1" applyFill="1" applyBorder="1"/>
    <x:xf numFmtId="0" fontId="7" fillId="8" borderId="11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0" fontId="7" fillId="8" borderId="13" xfId="0" applyNumberFormat="1" applyFont="1" applyFill="1" applyBorder="1" applyAlignment="1">
      <x:alignment wrapText="1"/>
    </x:xf>
    <x:xf numFmtId="0" fontId="7" fillId="8" borderId="14" xfId="0" applyNumberFormat="1" applyFont="1" applyFill="1" applyBorder="1" applyAlignment="1">
      <x:alignment wrapText="1"/>
    </x:xf>
    <x:xf numFmtId="0" fontId="7" fillId="8" borderId="15" xfId="0" applyNumberFormat="1" applyFont="1" applyFill="1" applyBorder="1" applyAlignment="1">
      <x:alignment wrapText="1"/>
    </x:xf>
    <x:xf numFmtId="0" fontId="7" fillId="8" borderId="16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horizontal="center" wrapText="1"/>
    </x:xf>
    <x:xf numFmtId="0" fontId="7" fillId="8" borderId="12" xfId="0" applyNumberFormat="1" applyFont="1" applyFill="1" applyBorder="1" applyAlignment="1">
      <x:alignment horizontal="center" wrapText="1"/>
    </x:xf>
    <x:xf numFmtId="0" fontId="7" fillId="8" borderId="13" xfId="0" applyNumberFormat="1" applyFont="1" applyFill="1" applyBorder="1" applyAlignment="1">
      <x:alignment horizontal="center" wrapText="1"/>
    </x:xf>
    <x:xf numFmtId="0" fontId="7" fillId="8" borderId="14" xfId="0" applyNumberFormat="1" applyFont="1" applyFill="1" applyBorder="1" applyAlignment="1">
      <x:alignment horizontal="center" wrapText="1"/>
    </x:xf>
    <x:xf numFmtId="0" fontId="7" fillId="8" borderId="15" xfId="0" applyNumberFormat="1" applyFont="1" applyFill="1" applyBorder="1" applyAlignment="1">
      <x:alignment horizontal="center" wrapText="1"/>
    </x:xf>
    <x:xf numFmtId="0" fontId="7" fillId="8" borderId="16" xfId="0" applyNumberFormat="1" applyFont="1" applyFill="1" applyBorder="1" applyAlignment="1">
      <x:alignment horizontal="center" wrapText="1"/>
    </x:xf>
    <x:xf numFmtId="0" fontId="7" fillId="8" borderId="11" xfId="0" applyNumberFormat="1" applyFont="1" applyFill="1" applyBorder="1" applyAlignment="1">
      <x:alignment horizontal="center" vertical="center" wrapText="1"/>
    </x:xf>
    <x:xf numFmtId="0" fontId="7" fillId="8" borderId="12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  <x:xf numFmtId="0" fontId="7" fillId="8" borderId="14" xfId="0" applyNumberFormat="1" applyFont="1" applyFill="1" applyBorder="1" applyAlignment="1">
      <x:alignment horizontal="center" vertical="center" wrapText="1"/>
    </x:xf>
    <x:xf numFmtId="0" fontId="7" fillId="8" borderId="15" xfId="0" applyNumberFormat="1" applyFont="1" applyFill="1" applyBorder="1" applyAlignment="1">
      <x:alignment horizontal="center" vertical="center" wrapText="1"/>
    </x:xf>
    <x:xf numFmtId="0" fontId="7" fillId="8" borderId="1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/>
    <x:xf numFmtId="0" fontId="3" fillId="9" borderId="17" xfId="0" applyNumberFormat="1" applyFont="1" applyFill="1" applyBorder="1"/>
    <x:xf numFmtId="0" fontId="3" fillId="9" borderId="17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horizontal="center" wrapText="1"/>
    </x:xf>
    <x:xf numFmtId="0" fontId="3" fillId="9" borderId="17" xfId="0" applyNumberFormat="1" applyFont="1" applyFill="1" applyBorder="1" applyAlignment="1">
      <x:alignment horizontal="center" vertical="center" wrapText="1"/>
    </x:xf>
    <x:xf numFmtId="204" fontId="0" fillId="0" borderId="9" xfId="0" applyNumberFormat="1" applyFont="1" applyFill="1" applyBorder="1" applyAlignment="1">
      <x:alignment vertical="top" wrapText="1"/>
    </x:xf>
    <x:xf numFmtId="205" fontId="0" fillId="0" borderId="8" xfId="0" applyNumberFormat="1" applyFont="1" applyFill="1" applyBorder="1" applyAlignment="1">
      <x:alignment vertical="top" wrapText="1"/>
    </x:xf>
    <x:xf numFmtId="205" fontId="0" fillId="0" borderId="9" xfId="0" applyNumberFormat="1" applyFont="1" applyFill="1" applyBorder="1" applyAlignment="1">
      <x:alignment vertical="top" wrapText="1"/>
    </x:xf>
    <x:xf numFmtId="205" fontId="0" fillId="0" borderId="1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/>
    <x:xf numFmtId="0" fontId="9" fillId="8" borderId="18" xfId="0" applyNumberFormat="1" applyFont="1" applyFill="1" applyBorder="1"/>
    <x:xf numFmtId="0" fontId="9" fillId="8" borderId="19" xfId="0" applyNumberFormat="1" applyFont="1" applyFill="1" applyBorder="1"/>
    <x:xf numFmtId="0" fontId="9" fillId="8" borderId="20" xfId="0" applyNumberFormat="1" applyFont="1" applyFill="1" applyBorder="1"/>
    <x:xf numFmtId="0" fontId="9" fillId="8" borderId="21" xfId="0" applyNumberFormat="1" applyFont="1" applyFill="1" applyBorder="1"/>
    <x:xf numFmtId="0" fontId="9" fillId="8" borderId="22" xfId="0" applyNumberFormat="1" applyFont="1" applyFill="1" applyBorder="1"/>
    <x:xf numFmtId="0" fontId="9" fillId="8" borderId="23" xfId="0" applyNumberFormat="1" applyFont="1" applyFill="1" applyBorder="1"/>
    <x:xf numFmtId="0" fontId="9" fillId="8" borderId="18" xfId="0" applyNumberFormat="1" applyFont="1" applyFill="1" applyBorder="1" applyAlignment="1">
      <x:alignment wrapText="1"/>
    </x:xf>
    <x:xf numFmtId="0" fontId="9" fillId="8" borderId="19" xfId="0" applyNumberFormat="1" applyFont="1" applyFill="1" applyBorder="1" applyAlignment="1">
      <x:alignment wrapText="1"/>
    </x:xf>
    <x:xf numFmtId="0" fontId="9" fillId="8" borderId="20" xfId="0" applyNumberFormat="1" applyFont="1" applyFill="1" applyBorder="1" applyAlignment="1">
      <x:alignment wrapText="1"/>
    </x:xf>
    <x:xf numFmtId="0" fontId="9" fillId="8" borderId="21" xfId="0" applyNumberFormat="1" applyFont="1" applyFill="1" applyBorder="1" applyAlignment="1">
      <x:alignment wrapText="1"/>
    </x:xf>
    <x:xf numFmtId="0" fontId="9" fillId="8" borderId="22" xfId="0" applyNumberFormat="1" applyFont="1" applyFill="1" applyBorder="1" applyAlignment="1">
      <x:alignment wrapText="1"/>
    </x:xf>
    <x:xf numFmtId="0" fontId="9" fillId="8" borderId="23" xfId="0" applyNumberFormat="1" applyFont="1" applyFill="1" applyBorder="1" applyAlignment="1">
      <x:alignment wrapText="1"/>
    </x:xf>
    <x:xf numFmtId="0" fontId="9" fillId="8" borderId="18" xfId="0" applyNumberFormat="1" applyFont="1" applyFill="1" applyBorder="1" applyAlignment="1">
      <x:alignment vertical="center" wrapText="1"/>
    </x:xf>
    <x:xf numFmtId="0" fontId="9" fillId="8" borderId="19" xfId="0" applyNumberFormat="1" applyFont="1" applyFill="1" applyBorder="1" applyAlignment="1">
      <x:alignment vertical="center" wrapText="1"/>
    </x:xf>
    <x:xf numFmtId="0" fontId="9" fillId="8" borderId="20" xfId="0" applyNumberFormat="1" applyFont="1" applyFill="1" applyBorder="1" applyAlignment="1">
      <x:alignment vertical="center" wrapText="1"/>
    </x:xf>
    <x:xf numFmtId="0" fontId="9" fillId="8" borderId="21" xfId="0" applyNumberFormat="1" applyFont="1" applyFill="1" applyBorder="1" applyAlignment="1">
      <x:alignment vertical="center" wrapText="1"/>
    </x:xf>
    <x:xf numFmtId="0" fontId="9" fillId="8" borderId="22" xfId="0" applyNumberFormat="1" applyFont="1" applyFill="1" applyBorder="1" applyAlignment="1">
      <x:alignment vertical="center" wrapText="1"/>
    </x:xf>
    <x:xf numFmtId="0" fontId="9" fillId="8" borderId="23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top" wrapText="1"/>
    </x:xf>
    <x:xf numFmtId="204" fontId="0" fillId="0" borderId="8" xfId="0" applyNumberFormat="1" applyFont="1" applyFill="1" applyBorder="1" applyAlignment="1">
      <x:alignment vertical="top" wrapText="1"/>
    </x:xf>
    <x:xf numFmtId="204" fontId="0" fillId="0" borderId="1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horizontal="center" wrapText="1"/>
    </x:xf>
    <x:xf numFmtId="207" fontId="12" fillId="12" borderId="0" xfId="0" applyNumberFormat="1" applyFont="1" applyFill="1" applyBorder="1" applyAlignment="1">
      <x:alignment horizontal="center" vertical="center"/>
    </x:xf>
    <x:xf numFmtId="204" fontId="12" fillId="12" borderId="0" xfId="0" applyNumberFormat="1" applyFont="1" applyFill="1" applyBorder="1" applyAlignment="1">
      <x:alignment horizontal="center" vertical="center"/>
    </x:xf>
    <x:xf numFmtId="207" fontId="0" fillId="0" borderId="8" xfId="0" applyNumberFormat="1" applyFont="1" applyFill="1" applyBorder="1" applyAlignment="1">
      <x:alignment vertical="top" wrapText="1"/>
    </x:xf>
    <x:xf numFmtId="207" fontId="0" fillId="0" borderId="9" xfId="0" applyNumberFormat="1" applyFont="1" applyFill="1" applyBorder="1" applyAlignment="1">
      <x:alignment vertical="top" wrapText="1"/>
    </x:xf>
    <x:xf numFmtId="207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B5E20"/>
      </x:font>
      <x:fill>
        <x:patternFill patternType="solid">
          <x:bgColor rgb="FFE2F0D9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880cf268c4e58" /><Relationship Type="http://schemas.openxmlformats.org/officeDocument/2006/relationships/theme" Target="/xl/theme/theme1.xml" Id="Rac6f38deae2b4e1c" /><Relationship Type="http://schemas.openxmlformats.org/officeDocument/2006/relationships/sharedStrings" Target="/xl/sharedStrings.xml" Id="R56172d2323c74ab2" /><Relationship Type="http://schemas.openxmlformats.org/officeDocument/2006/relationships/worksheet" Target="/xl/worksheets/sheet1.xml" Id="R210126888db74ee4" /><Relationship Type="http://schemas.openxmlformats.org/officeDocument/2006/relationships/worksheet" Target="/xl/worksheets/sheet2.xml" Id="R698fb6b3d80041ae" /><Relationship Type="http://schemas.openxmlformats.org/officeDocument/2006/relationships/worksheet" Target="/xl/worksheets/sheet3.xml" Id="Rdc200597caa54691" /><Relationship Type="http://schemas.openxmlformats.org/officeDocument/2006/relationships/worksheet" Target="/xl/worksheets/sheet4.xml" Id="R8409929a3a014457" /><Relationship Type="http://schemas.openxmlformats.org/officeDocument/2006/relationships/worksheet" Target="/xl/worksheets/sheet5.xml" Id="R01ea293751164f03" /><Relationship Type="http://schemas.openxmlformats.org/officeDocument/2006/relationships/worksheet" Target="/xl/worksheets/sheet6.xml" Id="Rb9d4fd0a67bf4955" /><Relationship Type="http://schemas.openxmlformats.org/officeDocument/2006/relationships/worksheet" Target="/xl/worksheets/sheet7.xml" Id="R58fb45f9ff8148af" /><Relationship Type="http://schemas.openxmlformats.org/officeDocument/2006/relationships/worksheet" Target="/xl/worksheets/sheet8.xml" Id="Rbe6b5980674b4b30" /><Relationship Type="http://schemas.openxmlformats.org/officeDocument/2006/relationships/worksheet" Target="/xl/worksheets/sheet9.xml" Id="Rc0e97a43f48d4104" /><Relationship Type="http://schemas.openxmlformats.org/officeDocument/2006/relationships/worksheet" Target="/xl/worksheets/sheet10.xml" Id="R7dfcf2acf8524e1b" /><Relationship Type="http://schemas.openxmlformats.org/officeDocument/2006/relationships/worksheet" Target="/xl/worksheets/sheet11.xml" Id="R0b9c5d6cfc3944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2c981a6bf8488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7a908bb201b482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f8dc17c51d446a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0f9bb1c5e6a49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Three projects are net over budget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Net Variance (CAD)</c:v>
          </c:tx>
          <c:cat>
            <c:strRef>
              <c:f>'Q1_Overruns'!$J$7:$J$9</c:f>
              <c:strCache>
                <c:ptCount val="0"/>
              </c:strCache>
            </c:strRef>
          </c:cat>
          <c:val>
            <c:numRef>
              <c:f>'Q1_Overruns'!$K$7:$K$9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Average variance among consistent suppliers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Average Variance (CAD)</c:v>
          </c:tx>
          <c:cat>
            <c:strRef>
              <c:f>'Q2_Suppliers'!$K$7:$K$9</c:f>
              <c:strCache>
                <c:ptCount val="0"/>
              </c:strCache>
            </c:strRef>
          </c:cat>
          <c:val>
            <c:numRef>
              <c:f>'Q2_Suppliers'!$L$7:$L$9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Average normalized variance by method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Average Row Variance (%)</c:v>
          </c:tx>
          <c:cat>
            <c:strRef>
              <c:f>'Q3_Methods'!$K$7:$K$11</c:f>
              <c:strCache>
                <c:ptCount val="0"/>
              </c:strCache>
            </c:strRef>
          </c:cat>
          <c:val>
            <c:numRef>
              <c:f>'Q3_Methods'!$L$7:$L$11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Delivered-only on-time rate by category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On-Time Rate</c:v>
          </c:tx>
          <c:cat>
            <c:strRef>
              <c:f>'Q4_Delivery'!$J$7:$J$12</c:f>
              <c:strCache>
                <c:ptCount val="0"/>
              </c:strCache>
            </c:strRef>
          </c:cat>
          <c:val>
            <c:numRef>
              <c:f>'Q4_Delivery'!$K$7:$K$12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2c981a6bf8488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a908bb201b482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12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8dc17c51d446a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f9bb1c5e6a49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idatedProcurementTable" displayName="ValidatedProcurementTable" ref="A1:U401" headerRowCount="1" totalsRowCount="0" totalsRowShown="0">
  <x:autoFilter ref="A1:U401"/>
  <x:tableColumns count="21">
    <x:tableColumn id="1" name="PO_Number"/>
    <x:tableColumn id="2" name="PO_Date"/>
    <x:tableColumn id="3" name="Month"/>
    <x:tableColumn id="4" name="Project_Name"/>
    <x:tableColumn id="5" name="Region"/>
    <x:tableColumn id="6" name="Procurement_Officer"/>
    <x:tableColumn id="7" name="Material_Category"/>
    <x:tableColumn id="8" name="Item_Description"/>
    <x:tableColumn id="9" name="Supplier_Name"/>
    <x:tableColumn id="10" name="Procurement_Method"/>
    <x:tableColumn id="11" name="Quantity"/>
    <x:tableColumn id="12" name="Unit"/>
    <x:tableColumn id="13" name="Unit_Rate_CAD"/>
    <x:tableColumn id="14" name="Budgeted_Rate_CAD"/>
    <x:tableColumn id="15" name="PO_Value_CAD"/>
    <x:tableColumn id="16" name="Budget_Value_CAD"/>
    <x:tableColumn id="17" name="Cost_Variance_CAD"/>
    <x:tableColumn id="18" name="Variance_%"/>
    <x:tableColumn id="19" name="Lead_Time_Days"/>
    <x:tableColumn id="20" name="On_Time_Delivery"/>
    <x:tableColumn id="21" name="Delivery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AuditLogTable" displayName="FinalAuditLogTable" ref="A1:M413" headerRowCount="1" totalsRowCount="0" totalsRowShown="0">
  <x:autoFilter ref="A1:M413"/>
  <x:tableColumns count="13">
    <x:tableColumn id="1" name="Audit_ID"/>
    <x:tableColumn id="2" name="Excel_Row"/>
    <x:tableColumn id="3" name="Original_PO_Number"/>
    <x:tableColumn id="4" name="Cleaned_PO_Number"/>
    <x:tableColumn id="5" name="Cell"/>
    <x:tableColumn id="6" name="Column"/>
    <x:tableColumn id="7" name="Original_Value"/>
    <x:tableColumn id="8" name="Cleaned_Value"/>
    <x:tableColumn id="9" name="Action_Type"/>
    <x:tableColumn id="10" name="Justification"/>
    <x:tableColumn id="11" name="Validation_Result"/>
    <x:tableColumn id="12" name="Confidence_Level"/>
    <x:tableColumn id="13" name="Approval_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nalDataDictionaryTable" displayName="FinalDataDictionaryTable" ref="A6:E34" headerRowCount="1" totalsRowCount="0" totalsRowShown="0">
  <x:autoFilter ref="A6:E34"/>
  <x:tableColumns count="5">
    <x:tableColumn id="1" name="Scope"/>
    <x:tableColumn id="2" name="Field"/>
    <x:tableColumn id="3" name="Definition"/>
    <x:tableColumn id="4" name="Formula / Rule"/>
    <x:tableColumn id="5" name="Analysis Treat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ependentVerificationTable" displayName="IndependentVerificationTable" ref="A6:E89" headerRowCount="1" totalsRowCount="0" totalsRowShown="0">
  <x:autoFilter ref="A6:E89"/>
  <x:tableColumns count="5">
    <x:tableColumn id="1" name="Question"/>
    <x:tableColumn id="2" name="Supporting Table"/>
    <x:tableColumn id="3" name="Item"/>
    <x:tableColumn id="4" name="Validation"/>
    <x:tableColumn id="5" name="Conclu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9446e8553240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6f9c104dd54b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ed33496ed564a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71694390bb44d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da0a364e456a46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0cd2140f81c844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e904fc45cf5b4c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4eab452306c145d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3" customWidth="1"/>
    <x:col min="3" max="3" width="11" customWidth="1"/>
    <x:col min="4" max="4" width="32" customWidth="1"/>
    <x:col min="5" max="5" width="18" customWidth="1"/>
    <x:col min="6" max="6" width="22" customWidth="1"/>
    <x:col min="7" max="7" width="22" customWidth="1"/>
    <x:col min="8" max="8" width="26" customWidth="1"/>
    <x:col min="9" max="9" width="26" customWidth="1"/>
    <x:col min="10" max="10" width="24" customWidth="1"/>
    <x:col min="11" max="11" width="10" customWidth="1"/>
    <x:col min="12" max="12" width="7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8" customWidth="1"/>
    <x:col min="18" max="18" width="11" customWidth="1"/>
    <x:col min="19" max="19" width="15" customWidth="1"/>
    <x:col min="20" max="20" width="17" customWidth="1"/>
    <x:col min="21" max="21" width="17" customWidth="1"/>
  </x:cols>
  <x:sheetData>
    <x:row r="1" ht="32" customHeight="1">
      <x:c r="A1" s="1" t="inlineStr">
        <x:is>
          <x:t xml:space="preserve">PO_Number</x:t>
        </x:is>
      </x:c>
      <x:c r="B1" s="1" t="inlineStr">
        <x:is>
          <x:t xml:space="preserve">PO_Date</x:t>
        </x:is>
      </x:c>
      <x:c r="C1" s="1" t="inlineStr">
        <x:is>
          <x:t xml:space="preserve">Month</x:t>
        </x:is>
      </x:c>
      <x:c r="D1" s="1" t="inlineStr">
        <x:is>
          <x:t xml:space="preserve">Project_Name</x:t>
        </x:is>
      </x:c>
      <x:c r="E1" s="1" t="inlineStr">
        <x:is>
          <x:t xml:space="preserve">Region</x:t>
        </x:is>
      </x:c>
      <x:c r="F1" s="1" t="inlineStr">
        <x:is>
          <x:t xml:space="preserve">Procurement_Officer</x:t>
        </x:is>
      </x:c>
      <x:c r="G1" s="1" t="inlineStr">
        <x:is>
          <x:t xml:space="preserve">Material_Category</x:t>
        </x:is>
      </x:c>
      <x:c r="H1" s="1" t="inlineStr">
        <x:is>
          <x:t xml:space="preserve">Item_Description</x:t>
        </x:is>
      </x:c>
      <x:c r="I1" s="1" t="inlineStr">
        <x:is>
          <x:t xml:space="preserve">Supplier_Name</x:t>
        </x:is>
      </x:c>
      <x:c r="J1" s="1" t="inlineStr">
        <x:is>
          <x:t xml:space="preserve">Procurement_Method</x:t>
        </x:is>
      </x:c>
      <x:c r="K1" s="1" t="inlineStr">
        <x:is>
          <x:t xml:space="preserve">Quantity</x:t>
        </x:is>
      </x:c>
      <x:c r="L1" s="1" t="inlineStr">
        <x:is>
          <x:t xml:space="preserve">Unit</x:t>
        </x:is>
      </x:c>
      <x:c r="M1" s="1" t="inlineStr">
        <x:is>
          <x:t xml:space="preserve">Unit_Rate_CAD</x:t>
        </x:is>
      </x:c>
      <x:c r="N1" s="1" t="inlineStr">
        <x:is>
          <x:t xml:space="preserve">Budgeted_Rate_CAD</x:t>
        </x:is>
      </x:c>
      <x:c r="O1" s="1" t="inlineStr">
        <x:is>
          <x:t xml:space="preserve">PO_Value_CAD</x:t>
        </x:is>
      </x:c>
      <x:c r="P1" s="1" t="inlineStr">
        <x:is>
          <x:t xml:space="preserve">Budget_Value_CAD</x:t>
        </x:is>
      </x:c>
      <x:c r="Q1" s="1" t="inlineStr">
        <x:is>
          <x:t xml:space="preserve">Cost_Variance_CAD</x:t>
        </x:is>
      </x:c>
      <x:c r="R1" s="1" t="inlineStr">
        <x:is>
          <x:t xml:space="preserve">Variance_%</x:t>
        </x:is>
      </x:c>
      <x:c r="S1" s="1" t="inlineStr">
        <x:is>
          <x:t xml:space="preserve">Lead_Time_Days</x:t>
        </x:is>
      </x:c>
      <x:c r="T1" s="1" t="inlineStr">
        <x:is>
          <x:t xml:space="preserve">On_Time_Delivery</x:t>
        </x:is>
      </x:c>
      <x:c r="U1" s="1" t="inlineStr">
        <x:is>
          <x:t xml:space="preserve">Delivery_Status</x:t>
        </x:is>
      </x:c>
    </x:row>
    <x:row r="2">
      <x:c r="A2" s="2" t="inlineStr">
        <x:is>
          <x:t xml:space="preserve">PO-2025-0001</x:t>
        </x:is>
      </x:c>
      <x:c r="B2" s="2" t="inlineStr">
        <x:is>
          <x:t xml:space="preserve">20/08/2025</x:t>
        </x:is>
      </x:c>
      <x:c r="C2" s="2" t="inlineStr">
        <x:is>
          <x:t xml:space="preserve">August</x:t>
        </x:is>
      </x:c>
      <x:c r="D2" s="2" t="inlineStr">
        <x:is>
          <x:t xml:space="preserve">Deerfoot Trail Widening - North</x:t>
        </x:is>
      </x:c>
      <x:c r="E2" s="2" t="inlineStr">
        <x:is>
          <x:t xml:space="preserve">Rocky View County</x:t>
        </x:is>
      </x:c>
      <x:c r="F2" s="2" t="inlineStr">
        <x:is>
          <x:t xml:space="preserve">James Okafor</x:t>
        </x:is>
      </x:c>
      <x:c r="G2" s="2" t="inlineStr">
        <x:is>
          <x:t xml:space="preserve">Civil Works</x:t>
        </x:is>
      </x:c>
      <x:c r="H2" s="2" t="inlineStr">
        <x:is>
          <x:t xml:space="preserve">Storm Drainage Pipe</x:t>
        </x:is>
      </x:c>
      <x:c r="I2" s="2" t="inlineStr">
        <x:is>
          <x:t xml:space="preserve">Graham Construction</x:t>
        </x:is>
      </x:c>
      <x:c r="J2" s="2" t="inlineStr">
        <x:is>
          <x:t xml:space="preserve">Emergency Procurement</x:t>
        </x:is>
      </x:c>
      <x:c r="K2" s="3" t="n">
        <x:v>79</x:v>
      </x:c>
      <x:c r="L2" s="2" t="inlineStr">
        <x:is>
          <x:t xml:space="preserve">m³</x:t>
        </x:is>
      </x:c>
      <x:c r="M2" s="4" t="n">
        <x:v>176.32</x:v>
      </x:c>
      <x:c r="N2" s="4" t="n">
        <x:v>204.77</x:v>
      </x:c>
      <x:c r="O2" s="4" t="n">
        <x:v>13929.28</x:v>
      </x:c>
      <x:c r="P2" s="4" t="n">
        <x:v>16176.83</x:v>
      </x:c>
      <x:c r="Q2" s="4" t="n">
        <x:v>-2247.55</x:v>
      </x:c>
      <x:c r="R2" s="5" t="n">
        <x:v>-13.9</x:v>
      </x:c>
      <x:c r="S2" s="3" t="n">
        <x:v>16</x:v>
      </x:c>
      <x:c r="T2" s="2" t="inlineStr">
        <x:is>
          <x:t xml:space="preserve">Yes</x:t>
        </x:is>
      </x:c>
      <x:c r="U2" s="2" t="inlineStr">
        <x:is>
          <x:t xml:space="preserve">Delivered</x:t>
        </x:is>
      </x:c>
    </x:row>
    <x:row r="3">
      <x:c r="A3" s="6" t="inlineStr">
        <x:is>
          <x:t xml:space="preserve">PO-2025-0002</x:t>
        </x:is>
      </x:c>
      <x:c r="B3" s="6" t="inlineStr">
        <x:is>
          <x:t xml:space="preserve">16/02/2025</x:t>
        </x:is>
      </x:c>
      <x:c r="C3" s="6" t="inlineStr">
        <x:is>
          <x:t xml:space="preserve">February</x:t>
        </x:is>
      </x:c>
      <x:c r="D3" s="6" t="inlineStr">
        <x:is>
          <x:t xml:space="preserve">Deerfoot Trail Widening - North</x:t>
        </x:is>
      </x:c>
      <x:c r="E3" s="6" t="inlineStr">
        <x:is>
          <x:t xml:space="preserve">Calgary NE</x:t>
        </x:is>
      </x:c>
      <x:c r="F3" s="6" t="inlineStr">
        <x:is>
          <x:t xml:space="preserve">James Okafor</x:t>
        </x:is>
      </x:c>
      <x:c r="G3" s="6" t="inlineStr">
        <x:is>
          <x:t xml:space="preserve">Finishing</x:t>
        </x:is>
      </x:c>
      <x:c r="H3" s="6" t="inlineStr">
        <x:is>
          <x:t xml:space="preserve">Exterior Cladding Panel</x:t>
        </x:is>
      </x:c>
      <x:c r="I3" s="6" t="inlineStr">
        <x:is>
          <x:t xml:space="preserve">Dryvit Systems Canada</x:t>
        </x:is>
      </x:c>
      <x:c r="J3" s="6" t="inlineStr">
        <x:is>
          <x:t xml:space="preserve">Emergency Procurement</x:t>
        </x:is>
      </x:c>
      <x:c r="K3" s="7" t="n">
        <x:v>68</x:v>
      </x:c>
      <x:c r="L3" s="6" t="inlineStr">
        <x:is>
          <x:t xml:space="preserve">m²</x:t>
        </x:is>
      </x:c>
      <x:c r="M3" s="8" t="n">
        <x:v>66</x:v>
      </x:c>
      <x:c r="N3" s="8" t="n">
        <x:v>58.34</x:v>
      </x:c>
      <x:c r="O3" s="8" t="n">
        <x:v>4488</x:v>
      </x:c>
      <x:c r="P3" s="8" t="n">
        <x:v>3967.12</x:v>
      </x:c>
      <x:c r="Q3" s="8" t="n">
        <x:v>520.88</x:v>
      </x:c>
      <x:c r="R3" s="9" t="n">
        <x:v>13.1</x:v>
      </x:c>
      <x:c r="S3" s="7" t="n">
        <x:v>8</x:v>
      </x:c>
      <x:c r="T3" s="6" t="inlineStr">
        <x:is>
          <x:t xml:space="preserve">No</x:t>
        </x:is>
      </x:c>
      <x:c r="U3" s="6" t="inlineStr">
        <x:is>
          <x:t xml:space="preserve">Delivered</x:t>
        </x:is>
      </x:c>
    </x:row>
    <x:row r="4">
      <x:c r="A4" s="2" t="inlineStr">
        <x:is>
          <x:t xml:space="preserve">PO-2025-0003</x:t>
        </x:is>
      </x:c>
      <x:c r="B4" s="2" t="inlineStr">
        <x:is>
          <x:t xml:space="preserve">04/11/2025</x:t>
        </x:is>
      </x:c>
      <x:c r="C4" s="2" t="inlineStr">
        <x:is>
          <x:t xml:space="preserve">November</x:t>
        </x:is>
      </x:c>
      <x:c r="D4" s="2" t="inlineStr">
        <x:is>
          <x:t xml:space="preserve">Bow River Crossing Overpass</x:t>
        </x:is>
      </x:c>
      <x:c r="E4" s="2" t="inlineStr">
        <x:is>
          <x:t xml:space="preserve">Rocky View County</x:t>
        </x:is>
      </x:c>
      <x:c r="F4" s="2" t="inlineStr">
        <x:is>
          <x:t xml:space="preserve">Sarah Bouchard</x:t>
        </x:is>
      </x:c>
      <x:c r="G4" s="2" t="inlineStr">
        <x:is>
          <x:t xml:space="preserve">MEP - Electrical</x:t>
        </x:is>
      </x:c>
      <x:c r="H4" s="2" t="inlineStr">
        <x:is>
          <x:t xml:space="preserve">Grounding System</x:t>
        </x:is>
      </x:c>
      <x:c r="I4" s="2" t="inlineStr">
        <x:is>
          <x:t xml:space="preserve">Houle Electric</x:t>
        </x:is>
      </x:c>
      <x:c r="J4" s="2" t="inlineStr">
        <x:is>
          <x:t xml:space="preserve">Tender – Open</x:t>
        </x:is>
      </x:c>
      <x:c r="K4" s="3" t="n">
        <x:v>85</x:v>
      </x:c>
      <x:c r="L4" s="2" t="inlineStr">
        <x:is>
          <x:t xml:space="preserve">lot</x:t>
        </x:is>
      </x:c>
      <x:c r="M4" s="4" t="n">
        <x:v>46380.22</x:v>
      </x:c>
      <x:c r="N4" s="4" t="n">
        <x:v>41384.87</x:v>
      </x:c>
      <x:c r="O4" s="4" t="n">
        <x:v>3942318.7</x:v>
      </x:c>
      <x:c r="P4" s="4" t="n">
        <x:v>3517713.95</x:v>
      </x:c>
      <x:c r="Q4" s="4" t="n">
        <x:v>424604.75</x:v>
      </x:c>
      <x:c r="R4" s="5" t="n">
        <x:v>12.1</x:v>
      </x:c>
      <x:c r="S4" s="3" t="n">
        <x:v>39</x:v>
      </x:c>
      <x:c r="T4" s="2" t="inlineStr">
        <x:is>
          <x:t xml:space="preserve">Yes</x:t>
        </x:is>
      </x:c>
      <x:c r="U4" s="2" t="inlineStr">
        <x:is>
          <x:t xml:space="preserve">Pending</x:t>
        </x:is>
      </x:c>
    </x:row>
    <x:row r="5">
      <x:c r="A5" s="6" t="inlineStr">
        <x:is>
          <x:t xml:space="preserve">PO-2025-0004</x:t>
        </x:is>
      </x:c>
      <x:c r="B5" s="6" t="inlineStr">
        <x:is>
          <x:t xml:space="preserve">12/02/2025</x:t>
        </x:is>
      </x:c>
      <x:c r="C5" s="6" t="inlineStr">
        <x:is>
          <x:t xml:space="preserve">February</x:t>
        </x:is>
      </x:c>
      <x:c r="D5" s="6" t="inlineStr">
        <x:is>
          <x:t xml:space="preserve">Quarry Park Mixed-Use Development</x:t>
        </x:is>
      </x:c>
      <x:c r="E5" s="6" t="inlineStr">
        <x:is>
          <x:t xml:space="preserve">Calgary SE</x:t>
        </x:is>
      </x:c>
      <x:c r="F5" s="6" t="inlineStr">
        <x:is>
          <x:t xml:space="preserve">Liam Kowalski</x:t>
        </x:is>
      </x:c>
      <x:c r="G5" s="6" t="inlineStr">
        <x:is>
          <x:t xml:space="preserve">MEP - Mechanical</x:t>
        </x:is>
      </x:c>
      <x:c r="H5" s="6" t="inlineStr">
        <x:is>
          <x:t xml:space="preserve">Insulated Pipework</x:t>
        </x:is>
      </x:c>
      <x:c r="I5" s="6" t="inlineStr">
        <x:is>
          <x:t xml:space="preserve">PCL Mechanical</x:t>
        </x:is>
      </x:c>
      <x:c r="J5" s="6" t="inlineStr">
        <x:is>
          <x:t xml:space="preserve">LPO – Direct Award</x:t>
        </x:is>
      </x:c>
      <x:c r="K5" s="7" t="n">
        <x:v>14</x:v>
      </x:c>
      <x:c r="L5" s="6" t="inlineStr">
        <x:is>
          <x:t xml:space="preserve">lot</x:t>
        </x:is>
      </x:c>
      <x:c r="M5" s="8" t="n">
        <x:v>57590.66</x:v>
      </x:c>
      <x:c r="N5" s="8" t="n">
        <x:v>58290.5</x:v>
      </x:c>
      <x:c r="O5" s="8" t="n">
        <x:v>806269.24</x:v>
      </x:c>
      <x:c r="P5" s="8" t="n">
        <x:v>816067</x:v>
      </x:c>
      <x:c r="Q5" s="8" t="n">
        <x:v>-9797.76</x:v>
      </x:c>
      <x:c r="R5" s="9" t="n">
        <x:v>-1.2</x:v>
      </x:c>
      <x:c r="S5" s="7" t="n">
        <x:v>41</x:v>
      </x:c>
      <x:c r="T5" s="6" t="inlineStr">
        <x:is>
          <x:t xml:space="preserve">Yes</x:t>
        </x:is>
      </x:c>
      <x:c r="U5" s="6" t="inlineStr">
        <x:is>
          <x:t xml:space="preserve">Delivered</x:t>
        </x:is>
      </x:c>
    </x:row>
    <x:row r="6">
      <x:c r="A6" s="2" t="inlineStr">
        <x:is>
          <x:t xml:space="preserve">PO-2025-0005</x:t>
        </x:is>
      </x:c>
      <x:c r="B6" s="2" t="inlineStr">
        <x:is>
          <x:t xml:space="preserve">01/01/2025</x:t>
        </x:is>
      </x:c>
      <x:c r="C6" s="2" t="inlineStr">
        <x:is>
          <x:t xml:space="preserve">January</x:t>
        </x:is>
      </x:c>
      <x:c r="D6" s="2" t="inlineStr">
        <x:is>
          <x:t xml:space="preserve">Foothills Medical Centre Expansion</x:t>
        </x:is>
      </x:c>
      <x:c r="E6" s="2" t="inlineStr">
        <x:is>
          <x:t xml:space="preserve">Calgary SW</x:t>
        </x:is>
      </x:c>
      <x:c r="F6" s="2" t="inlineStr">
        <x:is>
          <x:t xml:space="preserve">Derek McLean</x:t>
        </x:is>
      </x:c>
      <x:c r="G6" s="2" t="inlineStr">
        <x:is>
          <x:t xml:space="preserve">Concrete &amp; Structural</x:t>
        </x:is>
      </x:c>
      <x:c r="H6" s="2" t="inlineStr">
        <x:is>
          <x:t xml:space="preserve">Structural Formwork</x:t>
        </x:is>
      </x:c>
      <x:c r="I6" s="2" t="inlineStr">
        <x:is>
          <x:t xml:space="preserve">Evraz Steel Calgary</x:t>
        </x:is>
      </x:c>
      <x:c r="J6" s="2" t="inlineStr">
        <x:is>
          <x:t xml:space="preserve">Standing Offer Agreement</x:t>
        </x:is>
      </x:c>
      <x:c r="K6" s="3" t="n">
        <x:v>81</x:v>
      </x:c>
      <x:c r="L6" s="2" t="inlineStr">
        <x:is>
          <x:t xml:space="preserve">m³</x:t>
        </x:is>
      </x:c>
      <x:c r="M6" s="4" t="n">
        <x:v>244.33</x:v>
      </x:c>
      <x:c r="N6" s="4" t="n">
        <x:v>228.55</x:v>
      </x:c>
      <x:c r="O6" s="4" t="n">
        <x:v>19790.73</x:v>
      </x:c>
      <x:c r="P6" s="4" t="n">
        <x:v>18512.55</x:v>
      </x:c>
      <x:c r="Q6" s="4" t="n">
        <x:v>1278.18</x:v>
      </x:c>
      <x:c r="R6" s="5" t="n">
        <x:v>6.9</x:v>
      </x:c>
      <x:c r="S6" s="3" t="n">
        <x:v>38</x:v>
      </x:c>
      <x:c r="T6" s="2" t="inlineStr">
        <x:is>
          <x:t xml:space="preserve">Yes</x:t>
        </x:is>
      </x:c>
      <x:c r="U6" s="2" t="inlineStr">
        <x:is>
          <x:t xml:space="preserve">Delivered</x:t>
        </x:is>
      </x:c>
    </x:row>
    <x:row r="7">
      <x:c r="A7" s="6" t="inlineStr">
        <x:is>
          <x:t xml:space="preserve">PO-2025-0006</x:t>
        </x:is>
      </x:c>
      <x:c r="B7" s="6" t="inlineStr">
        <x:is>
          <x:t xml:space="preserve">20/06/2025</x:t>
        </x:is>
      </x:c>
      <x:c r="C7" s="6" t="inlineStr">
        <x:is>
          <x:t xml:space="preserve">June</x:t>
        </x:is>
      </x:c>
      <x:c r="D7" s="6" t="inlineStr">
        <x:is>
          <x:t xml:space="preserve">Bow River Crossing Overpass</x:t>
        </x:is>
      </x:c>
      <x:c r="E7" s="6" t="inlineStr">
        <x:is>
          <x:t xml:space="preserve">Rocky View County</x:t>
        </x:is>
      </x:c>
      <x:c r="F7" s="6" t="inlineStr">
        <x:is>
          <x:t xml:space="preserve">Priya Sharma</x:t>
        </x:is>
      </x:c>
      <x:c r="G7" s="6" t="inlineStr">
        <x:is>
          <x:t xml:space="preserve">Concrete &amp; Structural</x:t>
        </x:is>
      </x:c>
      <x:c r="H7" s="6" t="inlineStr">
        <x:is>
          <x:t xml:space="preserve">Precast Deck Panels</x:t>
        </x:is>
      </x:c>
      <x:c r="I7" s="6" t="inlineStr">
        <x:is>
          <x:t xml:space="preserve">Inland Concrete</x:t>
        </x:is>
      </x:c>
      <x:c r="J7" s="6" t="inlineStr">
        <x:is>
          <x:t xml:space="preserve">LPO – Direct Award</x:t>
        </x:is>
      </x:c>
      <x:c r="K7" s="7" t="n">
        <x:v>103</x:v>
      </x:c>
      <x:c r="L7" s="6" t="inlineStr">
        <x:is>
          <x:t xml:space="preserve">m³</x:t>
        </x:is>
      </x:c>
      <x:c r="M7" s="8" t="n">
        <x:v>238.15</x:v>
      </x:c>
      <x:c r="N7" s="8" t="n">
        <x:v>248.87</x:v>
      </x:c>
      <x:c r="O7" s="8" t="n">
        <x:v>24529.45</x:v>
      </x:c>
      <x:c r="P7" s="8" t="n">
        <x:v>25633.61</x:v>
      </x:c>
      <x:c r="Q7" s="8" t="n">
        <x:v>-1104.16</x:v>
      </x:c>
      <x:c r="R7" s="9" t="n">
        <x:v>-4.3</x:v>
      </x:c>
      <x:c r="S7" s="7" t="n">
        <x:v>75</x:v>
      </x:c>
      <x:c r="T7" s="6" t="inlineStr">
        <x:is>
          <x:t xml:space="preserve">No</x:t>
        </x:is>
      </x:c>
      <x:c r="U7" s="6" t="inlineStr">
        <x:is>
          <x:t xml:space="preserve">Pending</x:t>
        </x:is>
      </x:c>
    </x:row>
    <x:row r="8">
      <x:c r="A8" s="2" t="inlineStr">
        <x:is>
          <x:t xml:space="preserve">PO-2025-0007</x:t>
        </x:is>
      </x:c>
      <x:c r="B8" s="2" t="inlineStr">
        <x:is>
          <x:t xml:space="preserve">08/04/2025</x:t>
        </x:is>
      </x:c>
      <x:c r="C8" s="2" t="inlineStr">
        <x:is>
          <x:t xml:space="preserve">April</x:t>
        </x:is>
      </x:c>
      <x:c r="D8" s="2" t="inlineStr">
        <x:is>
          <x:t xml:space="preserve">Saddledome Arena Retrofit</x:t>
        </x:is>
      </x:c>
      <x:c r="E8" s="2" t="inlineStr">
        <x:is>
          <x:t xml:space="preserve">Rocky View County</x:t>
        </x:is>
      </x:c>
      <x:c r="F8" s="2" t="inlineStr">
        <x:is>
          <x:t xml:space="preserve">Derek McLean</x:t>
        </x:is>
      </x:c>
      <x:c r="G8" s="2" t="inlineStr">
        <x:is>
          <x:t xml:space="preserve">Safety &amp; Temp Works</x:t>
        </x:is>
      </x:c>
      <x:c r="H8" s="2" t="inlineStr">
        <x:is>
          <x:t xml:space="preserve">PPE Bulk Supply</x:t>
        </x:is>
      </x:c>
      <x:c r="I8" s="2" t="inlineStr">
        <x:is>
          <x:t xml:space="preserve">BrandSafway Canada</x:t>
        </x:is>
      </x:c>
      <x:c r="J8" s="2" t="inlineStr">
        <x:is>
          <x:t xml:space="preserve">Standing Offer Agreement</x:t>
        </x:is>
      </x:c>
      <x:c r="K8" s="3" t="n">
        <x:v>1</x:v>
      </x:c>
      <x:c r="L8" s="2" t="inlineStr">
        <x:is>
          <x:t xml:space="preserve">lot</x:t>
        </x:is>
      </x:c>
      <x:c r="M8" s="4" t="n">
        <x:v>19810</x:v>
      </x:c>
      <x:c r="N8" s="4" t="n">
        <x:v>19067.56</x:v>
      </x:c>
      <x:c r="O8" s="4" t="n">
        <x:v>19810</x:v>
      </x:c>
      <x:c r="P8" s="4" t="n">
        <x:v>19067.56</x:v>
      </x:c>
      <x:c r="Q8" s="4" t="n">
        <x:v>742.4400000000001</x:v>
      </x:c>
      <x:c r="R8" s="5" t="n">
        <x:v>3.9</x:v>
      </x:c>
      <x:c r="S8" s="3" t="n">
        <x:v>79</x:v>
      </x:c>
      <x:c r="T8" s="2" t="inlineStr">
        <x:is>
          <x:t xml:space="preserve">Yes</x:t>
        </x:is>
      </x:c>
      <x:c r="U8" s="2" t="inlineStr">
        <x:is>
          <x:t xml:space="preserve">Delivered</x:t>
        </x:is>
      </x:c>
    </x:row>
    <x:row r="9">
      <x:c r="A9" s="6" t="inlineStr">
        <x:is>
          <x:t xml:space="preserve">PO-2025-0008</x:t>
        </x:is>
      </x:c>
      <x:c r="B9" s="6" t="inlineStr">
        <x:is>
          <x:t xml:space="preserve">18/04/2025</x:t>
        </x:is>
      </x:c>
      <x:c r="C9" s="6" t="inlineStr">
        <x:is>
          <x:t xml:space="preserve">April</x:t>
        </x:is>
      </x:c>
      <x:c r="D9" s="6" t="inlineStr">
        <x:is>
          <x:t xml:space="preserve">Saddledome Arena Retrofit</x:t>
        </x:is>
      </x:c>
      <x:c r="E9" s="6" t="inlineStr">
        <x:is>
          <x:t xml:space="preserve">Rocky View County</x:t>
        </x:is>
      </x:c>
      <x:c r="F9" s="6" t="inlineStr">
        <x:is>
          <x:t xml:space="preserve">Liam Kowalski</x:t>
        </x:is>
      </x:c>
      <x:c r="G9" s="6" t="inlineStr">
        <x:is>
          <x:t xml:space="preserve">Finishing</x:t>
        </x:is>
      </x:c>
      <x:c r="H9" s="6" t="inlineStr">
        <x:is>
          <x:t xml:space="preserve">Waterproofing Membrane</x:t>
        </x:is>
      </x:c>
      <x:c r="I9" s="6" t="inlineStr">
        <x:is>
          <x:t xml:space="preserve">Centura Tile Calgary</x:t>
        </x:is>
      </x:c>
      <x:c r="J9" s="6" t="inlineStr">
        <x:is>
          <x:t xml:space="preserve">3-Quote Comparison</x:t>
        </x:is>
      </x:c>
      <x:c r="K9" s="7" t="n">
        <x:v>34</x:v>
      </x:c>
      <x:c r="L9" s="6" t="inlineStr">
        <x:is>
          <x:t xml:space="preserve">m²</x:t>
        </x:is>
      </x:c>
      <x:c r="M9" s="8" t="n">
        <x:v>145.3</x:v>
      </x:c>
      <x:c r="N9" s="8" t="n">
        <x:v>125.49</x:v>
      </x:c>
      <x:c r="O9" s="8" t="n">
        <x:v>4940.2</x:v>
      </x:c>
      <x:c r="P9" s="8" t="n">
        <x:v>4266.66</x:v>
      </x:c>
      <x:c r="Q9" s="8" t="n">
        <x:v>673.54</x:v>
      </x:c>
      <x:c r="R9" s="9" t="n">
        <x:v>15.8</x:v>
      </x:c>
      <x:c r="S9" s="7" t="n">
        <x:v>82</x:v>
      </x:c>
      <x:c r="T9" s="6" t="inlineStr">
        <x:is>
          <x:t xml:space="preserve">Yes</x:t>
        </x:is>
      </x:c>
      <x:c r="U9" s="6" t="inlineStr">
        <x:is>
          <x:t xml:space="preserve">Delivered</x:t>
        </x:is>
      </x:c>
    </x:row>
    <x:row r="10">
      <x:c r="A10" s="2" t="inlineStr">
        <x:is>
          <x:t xml:space="preserve">PO-2025-0009</x:t>
        </x:is>
      </x:c>
      <x:c r="B10" s="2" t="inlineStr">
        <x:is>
          <x:t xml:space="preserve">17/07/2025</x:t>
        </x:is>
      </x:c>
      <x:c r="C10" s="2" t="inlineStr">
        <x:is>
          <x:t xml:space="preserve">July</x:t>
        </x:is>
      </x:c>
      <x:c r="D10" s="2" t="inlineStr">
        <x:is>
          <x:t xml:space="preserve">Calgary SE Ring Road Extension</x:t>
        </x:is>
      </x:c>
      <x:c r="E10" s="2" t="inlineStr">
        <x:is>
          <x:t xml:space="preserve">Calgary NE</x:t>
        </x:is>
      </x:c>
      <x:c r="F10" s="2" t="inlineStr">
        <x:is>
          <x:t xml:space="preserve">Liam Kowalski</x:t>
        </x:is>
      </x:c>
      <x:c r="G10" s="2" t="inlineStr">
        <x:is>
          <x:t xml:space="preserve">Concrete &amp; Structural</x:t>
        </x:is>
      </x:c>
      <x:c r="H10" s="2" t="inlineStr">
        <x:is>
          <x:t xml:space="preserve">Precast Deck Panels</x:t>
        </x:is>
      </x:c>
      <x:c r="I10" s="2" t="inlineStr">
        <x:is>
          <x:t xml:space="preserve">Inland Concrete</x:t>
        </x:is>
      </x:c>
      <x:c r="J10" s="2" t="inlineStr">
        <x:is>
          <x:t xml:space="preserve">Emergency Procurement</x:t>
        </x:is>
      </x:c>
      <x:c r="K10" s="3" t="n">
        <x:v>80</x:v>
      </x:c>
      <x:c r="L10" s="2" t="inlineStr">
        <x:is>
          <x:t xml:space="preserve">m³</x:t>
        </x:is>
      </x:c>
      <x:c r="M10" s="4" t="n">
        <x:v>383.28</x:v>
      </x:c>
      <x:c r="N10" s="4" t="n">
        <x:v>395.63</x:v>
      </x:c>
      <x:c r="O10" s="4" t="n">
        <x:v>30662.4</x:v>
      </x:c>
      <x:c r="P10" s="4" t="n">
        <x:v>31650.4</x:v>
      </x:c>
      <x:c r="Q10" s="4" t="n">
        <x:v>-988</x:v>
      </x:c>
      <x:c r="R10" s="5" t="n">
        <x:v>-3.1</x:v>
      </x:c>
      <x:c r="S10" s="3" t="n">
        <x:v>79</x:v>
      </x:c>
      <x:c r="T10" s="2" t="inlineStr">
        <x:is>
          <x:t xml:space="preserve">Yes</x:t>
        </x:is>
      </x:c>
      <x:c r="U10" s="2" t="inlineStr">
        <x:is>
          <x:t xml:space="preserve">Pending</x:t>
        </x:is>
      </x:c>
    </x:row>
    <x:row r="11">
      <x:c r="A11" s="6" t="inlineStr">
        <x:is>
          <x:t xml:space="preserve">PO-2025-0010</x:t>
        </x:is>
      </x:c>
      <x:c r="B11" s="6" t="inlineStr">
        <x:is>
          <x:t xml:space="preserve">11/03/2025</x:t>
        </x:is>
      </x:c>
      <x:c r="C11" s="6" t="inlineStr">
        <x:is>
          <x:t xml:space="preserve">March</x:t>
        </x:is>
      </x:c>
      <x:c r="D11" s="6" t="inlineStr">
        <x:is>
          <x:t xml:space="preserve">University District Residential Phase 3</x:t>
        </x:is>
      </x:c>
      <x:c r="E11" s="6" t="inlineStr">
        <x:is>
          <x:t xml:space="preserve">Calgary SW</x:t>
        </x:is>
      </x:c>
      <x:c r="F11" s="6" t="inlineStr">
        <x:is>
          <x:t xml:space="preserve">Sarah Bouchard</x:t>
        </x:is>
      </x:c>
      <x:c r="G11" s="6" t="inlineStr">
        <x:is>
          <x:t xml:space="preserve">Safety &amp; Temp Works</x:t>
        </x:is>
      </x:c>
      <x:c r="H11" s="6" t="inlineStr">
        <x:is>
          <x:t xml:space="preserve">Scaffolding System</x:t>
        </x:is>
      </x:c>
      <x:c r="I11" s="6" t="inlineStr">
        <x:is>
          <x:t xml:space="preserve">Levitt-Safety Calgary</x:t>
        </x:is>
      </x:c>
      <x:c r="J11" s="6" t="inlineStr">
        <x:is>
          <x:t xml:space="preserve">Emergency Procurement</x:t>
        </x:is>
      </x:c>
      <x:c r="K11" s="7" t="n">
        <x:v>25</x:v>
      </x:c>
      <x:c r="L11" s="6" t="inlineStr">
        <x:is>
          <x:t xml:space="preserve">lot</x:t>
        </x:is>
      </x:c>
      <x:c r="M11" s="8" t="n">
        <x:v>5665.42</x:v>
      </x:c>
      <x:c r="N11" s="8" t="n">
        <x:v>5213.44</x:v>
      </x:c>
      <x:c r="O11" s="8" t="n">
        <x:v>141635.5</x:v>
      </x:c>
      <x:c r="P11" s="8" t="n">
        <x:v>130336</x:v>
      </x:c>
      <x:c r="Q11" s="8" t="n">
        <x:v>11299.5</x:v>
      </x:c>
      <x:c r="R11" s="9" t="n">
        <x:v>8.699999999999999</x:v>
      </x:c>
      <x:c r="S11" s="7" t="n">
        <x:v>84</x:v>
      </x:c>
      <x:c r="T11" s="6" t="inlineStr">
        <x:is>
          <x:t xml:space="preserve">Yes</x:t>
        </x:is>
      </x:c>
      <x:c r="U11" s="6" t="inlineStr">
        <x:is>
          <x:t xml:space="preserve">Delivered</x:t>
        </x:is>
      </x:c>
    </x:row>
    <x:row r="12">
      <x:c r="A12" s="2" t="inlineStr">
        <x:is>
          <x:t xml:space="preserve">PO-2025-0011</x:t>
        </x:is>
      </x:c>
      <x:c r="B12" s="2" t="inlineStr">
        <x:is>
          <x:t xml:space="preserve">18-07-2025</x:t>
        </x:is>
      </x:c>
      <x:c r="C12" s="2" t="inlineStr">
        <x:is>
          <x:t xml:space="preserve">July</x:t>
        </x:is>
      </x:c>
      <x:c r="D12" s="2" t="inlineStr">
        <x:is>
          <x:t xml:space="preserve">Stampede Park Infrastructure Upgrade</x:t>
        </x:is>
      </x:c>
      <x:c r="E12" s="2" t="inlineStr">
        <x:is>
          <x:t xml:space="preserve">Calgary NE</x:t>
        </x:is>
      </x:c>
      <x:c r="F12" s="2" t="inlineStr">
        <x:is>
          <x:t xml:space="preserve">Priya Sharma</x:t>
        </x:is>
      </x:c>
      <x:c r="G12" s="2" t="inlineStr">
        <x:is>
          <x:t xml:space="preserve">Civil Works</x:t>
        </x:is>
      </x:c>
      <x:c r="H12" s="2" t="inlineStr">
        <x:is>
          <x:t xml:space="preserve">Bulk Excavation</x:t>
        </x:is>
      </x:c>
      <x:c r="I12" s="2" t="inlineStr">
        <x:is>
          <x:t xml:space="preserve">Ledcor Civil Alberta</x:t>
        </x:is>
      </x:c>
      <x:c r="J12" s="2" t="inlineStr">
        <x:is>
          <x:t xml:space="preserve">LPO – Direct Award</x:t>
        </x:is>
      </x:c>
      <x:c r="K12" s="3" t="n">
        <x:v>33</x:v>
      </x:c>
      <x:c r="L12" s="2" t="inlineStr">
        <x:is>
          <x:t xml:space="preserve">m³</x:t>
        </x:is>
      </x:c>
      <x:c r="M12" s="4" t="n">
        <x:v>185.65</x:v>
      </x:c>
      <x:c r="N12" s="4" t="n">
        <x:v>176.48</x:v>
      </x:c>
      <x:c r="O12" s="4" t="n">
        <x:v>6126.45</x:v>
      </x:c>
      <x:c r="P12" s="4" t="n">
        <x:v>5823.84</x:v>
      </x:c>
      <x:c r="Q12" s="4" t="n">
        <x:v>302.61</x:v>
      </x:c>
      <x:c r="R12" s="5" t="n">
        <x:v>5.2</x:v>
      </x:c>
      <x:c r="S12" s="3" t="n">
        <x:v>54</x:v>
      </x:c>
      <x:c r="T12" s="2" t="inlineStr">
        <x:is>
          <x:t xml:space="preserve">No</x:t>
        </x:is>
      </x:c>
      <x:c r="U12" s="2" t="inlineStr">
        <x:is>
          <x:t xml:space="preserve">Pending</x:t>
        </x:is>
      </x:c>
    </x:row>
    <x:row r="13">
      <x:c r="A13" s="6" t="inlineStr">
        <x:is>
          <x:t xml:space="preserve">PO-2025-0012</x:t>
        </x:is>
      </x:c>
      <x:c r="B13" s="6" t="inlineStr">
        <x:is>
          <x:t xml:space="preserve">09/09/2025</x:t>
        </x:is>
      </x:c>
      <x:c r="C13" s="6" t="inlineStr">
        <x:is>
          <x:t xml:space="preserve">September</x:t>
        </x:is>
      </x:c>
      <x:c r="D13" s="6" t="inlineStr">
        <x:is>
          <x:t xml:space="preserve">Quarry Park Mixed-Use Development</x:t>
        </x:is>
      </x:c>
      <x:c r="E13" s="6" t="inlineStr">
        <x:is>
          <x:t xml:space="preserve">Calgary SW</x:t>
        </x:is>
      </x:c>
      <x:c r="F13" s="6" t="inlineStr">
        <x:is>
          <x:t xml:space="preserve">Sarah Bouchard</x:t>
        </x:is>
      </x:c>
      <x:c r="G13" s="6" t="inlineStr">
        <x:is>
          <x:t xml:space="preserve">Safety &amp; Temp Works</x:t>
        </x:is>
      </x:c>
      <x:c r="H13" s="6" t="inlineStr">
        <x:is>
          <x:t xml:space="preserve">Site Hoarding &amp; Fencing</x:t>
        </x:is>
      </x:c>
      <x:c r="I13" s="6" t="inlineStr">
        <x:is>
          <x:t xml:space="preserve">Safway Alberta</x:t>
        </x:is>
      </x:c>
      <x:c r="J13" s="6" t="inlineStr">
        <x:is>
          <x:t xml:space="preserve">Standing Offer Agreement</x:t>
        </x:is>
      </x:c>
      <x:c r="K13" s="7" t="n">
        <x:v>110</x:v>
      </x:c>
      <x:c r="L13" s="6" t="inlineStr">
        <x:is>
          <x:t xml:space="preserve">lot</x:t>
        </x:is>
      </x:c>
      <x:c r="M13" s="8" t="n">
        <x:v>11583.9</x:v>
      </x:c>
      <x:c r="N13" s="8" t="n">
        <x:v>12673.14</x:v>
      </x:c>
      <x:c r="O13" s="8" t="n">
        <x:v>1274229</x:v>
      </x:c>
      <x:c r="P13" s="8" t="n">
        <x:v>1394045.4</x:v>
      </x:c>
      <x:c r="Q13" s="8" t="n">
        <x:v>-119816.4</x:v>
      </x:c>
      <x:c r="R13" s="9" t="n">
        <x:v>-8.6</x:v>
      </x:c>
      <x:c r="S13" s="7" t="n">
        <x:v>13</x:v>
      </x:c>
      <x:c r="T13" s="6" t="inlineStr">
        <x:is>
          <x:t xml:space="preserve">Yes</x:t>
        </x:is>
      </x:c>
      <x:c r="U13" s="6" t="inlineStr">
        <x:is>
          <x:t xml:space="preserve">Delivered</x:t>
        </x:is>
      </x:c>
    </x:row>
    <x:row r="14">
      <x:c r="A14" s="2" t="inlineStr">
        <x:is>
          <x:t xml:space="preserve">PO-2025-0013</x:t>
        </x:is>
      </x:c>
      <x:c r="B14" s="2" t="inlineStr">
        <x:is>
          <x:t xml:space="preserve">09/01/2025</x:t>
        </x:is>
      </x:c>
      <x:c r="C14" s="2" t="inlineStr">
        <x:is>
          <x:t xml:space="preserve">January</x:t>
        </x:is>
      </x:c>
      <x:c r="D14" s="2" t="inlineStr">
        <x:is>
          <x:t xml:space="preserve">Calgary SE Ring Road Extension</x:t>
        </x:is>
      </x:c>
      <x:c r="E14" s="2" t="inlineStr">
        <x:is>
          <x:t xml:space="preserve">Calgary SE</x:t>
        </x:is>
      </x:c>
      <x:c r="F14" s="2" t="inlineStr">
        <x:is>
          <x:t xml:space="preserve">Liam Kowalski</x:t>
        </x:is>
      </x:c>
      <x:c r="G14" s="2" t="inlineStr">
        <x:is>
          <x:t xml:space="preserve">Civil Works</x:t>
        </x:is>
      </x:c>
      <x:c r="H14" s="2" t="inlineStr">
        <x:is>
          <x:t xml:space="preserve">Curb &amp; Gutter Concrete</x:t>
        </x:is>
      </x:c>
      <x:c r="I14" s="2" t="inlineStr">
        <x:is>
          <x:t xml:space="preserve">Graham Construction</x:t>
        </x:is>
      </x:c>
      <x:c r="J14" s="2" t="inlineStr">
        <x:is>
          <x:t xml:space="preserve">LPO – Direct Award</x:t>
        </x:is>
      </x:c>
      <x:c r="K14" s="3" t="n">
        <x:v>48</x:v>
      </x:c>
      <x:c r="L14" s="2" t="inlineStr">
        <x:is>
          <x:t xml:space="preserve">m³</x:t>
        </x:is>
      </x:c>
      <x:c r="M14" s="4" t="n">
        <x:v>99.94</x:v>
      </x:c>
      <x:c r="N14" s="4" t="n">
        <x:v>106.11</x:v>
      </x:c>
      <x:c r="O14" s="4" t="n">
        <x:v>4797.12</x:v>
      </x:c>
      <x:c r="P14" s="4" t="n">
        <x:v>5093.28</x:v>
      </x:c>
      <x:c r="Q14" s="4" t="n">
        <x:v>-296.16</x:v>
      </x:c>
      <x:c r="R14" s="5" t="n">
        <x:v>-5.8</x:v>
      </x:c>
      <x:c r="S14" s="3" t="n">
        <x:v>20</x:v>
      </x:c>
      <x:c r="T14" s="2" t="inlineStr">
        <x:is>
          <x:t xml:space="preserve">No</x:t>
        </x:is>
      </x:c>
      <x:c r="U14" s="2" t="inlineStr">
        <x:is>
          <x:t xml:space="preserve">Delivered</x:t>
        </x:is>
      </x:c>
    </x:row>
    <x:row r="15">
      <x:c r="A15" s="6" t="inlineStr">
        <x:is>
          <x:t xml:space="preserve">PO-2025-0014</x:t>
        </x:is>
      </x:c>
      <x:c r="B15" s="6" t="inlineStr">
        <x:is>
          <x:t xml:space="preserve">19/08/2025</x:t>
        </x:is>
      </x:c>
      <x:c r="C15" s="6" t="inlineStr">
        <x:is>
          <x:t xml:space="preserve">August</x:t>
        </x:is>
      </x:c>
      <x:c r="D15" s="6" t="inlineStr">
        <x:is>
          <x:t xml:space="preserve">Rocky View Industrial Logistics Hub</x:t>
        </x:is>
      </x:c>
      <x:c r="E15" s="6" t="inlineStr">
        <x:is>
          <x:t xml:space="preserve">Calgary SW</x:t>
        </x:is>
      </x:c>
      <x:c r="F15" s="6" t="inlineStr">
        <x:is>
          <x:t xml:space="preserve">Aisha Nkosi</x:t>
        </x:is>
      </x:c>
      <x:c r="G15" s="6" t="inlineStr">
        <x:is>
          <x:t xml:space="preserve">Finishing</x:t>
        </x:is>
      </x:c>
      <x:c r="H15" s="6" t="inlineStr">
        <x:is>
          <x:t xml:space="preserve">Ceramic Floor Tile</x:t>
        </x:is>
      </x:c>
      <x:c r="I15" s="6" t="inlineStr">
        <x:is>
          <x:t xml:space="preserve">Centura Tile Calgary</x:t>
        </x:is>
      </x:c>
      <x:c r="J15" s="6" t="inlineStr">
        <x:is>
          <x:t xml:space="preserve">Tender – Open</x:t>
        </x:is>
      </x:c>
      <x:c r="K15" s="7" t="n">
        <x:v>5</x:v>
      </x:c>
      <x:c r="L15" s="6" t="inlineStr">
        <x:is>
          <x:t xml:space="preserve">m²</x:t>
        </x:is>
      </x:c>
      <x:c r="M15" s="8" t="n">
        <x:v>340.39</x:v>
      </x:c>
      <x:c r="N15" s="8" t="n">
        <x:v>295.49</x:v>
      </x:c>
      <x:c r="O15" s="8" t="n">
        <x:v>1701.95</x:v>
      </x:c>
      <x:c r="P15" s="8" t="n">
        <x:v>1477.45</x:v>
      </x:c>
      <x:c r="Q15" s="8" t="n">
        <x:v>224.5</x:v>
      </x:c>
      <x:c r="R15" s="9" t="n">
        <x:v>15.2</x:v>
      </x:c>
      <x:c r="S15" s="7" t="n">
        <x:v>85</x:v>
      </x:c>
      <x:c r="T15" s="6" t="inlineStr">
        <x:is>
          <x:t xml:space="preserve">No</x:t>
        </x:is>
      </x:c>
      <x:c r="U15" s="6" t="inlineStr">
        <x:is>
          <x:t xml:space="preserve">Delivered</x:t>
        </x:is>
      </x:c>
    </x:row>
    <x:row r="16">
      <x:c r="A16" s="2" t="inlineStr">
        <x:is>
          <x:t xml:space="preserve">PO-2025-0015</x:t>
        </x:is>
      </x:c>
      <x:c r="B16" s="2" t="inlineStr">
        <x:is>
          <x:t xml:space="preserve">09/06/2025</x:t>
        </x:is>
      </x:c>
      <x:c r="C16" s="2" t="inlineStr">
        <x:is>
          <x:t xml:space="preserve">June</x:t>
        </x:is>
      </x:c>
      <x:c r="D16" s="2" t="inlineStr">
        <x:is>
          <x:t xml:space="preserve">Rocky View Industrial Logistics Hub</x:t>
        </x:is>
      </x:c>
      <x:c r="E16" s="2" t="inlineStr">
        <x:is>
          <x:t xml:space="preserve">Calgary SW</x:t>
        </x:is>
      </x:c>
      <x:c r="F16" s="2" t="inlineStr">
        <x:is>
          <x:t xml:space="preserve">Linda Tran</x:t>
        </x:is>
      </x:c>
      <x:c r="G16" s="2" t="inlineStr">
        <x:is>
          <x:t xml:space="preserve">Concrete &amp; Structural</x:t>
        </x:is>
      </x:c>
      <x:c r="H16" s="2" t="inlineStr">
        <x:is>
          <x:t xml:space="preserve">Ready-Mix Concrete</x:t>
        </x:is>
      </x:c>
      <x:c r="I16" s="2" t="inlineStr">
        <x:is>
          <x:t xml:space="preserve">Evraz Steel Calgary</x:t>
        </x:is>
      </x:c>
      <x:c r="J16" s="2" t="inlineStr">
        <x:is>
          <x:t xml:space="preserve">LPO – Direct Award</x:t>
        </x:is>
      </x:c>
      <x:c r="K16" s="3" t="n">
        <x:v>95</x:v>
      </x:c>
      <x:c r="L16" s="2" t="inlineStr">
        <x:is>
          <x:t xml:space="preserve">m³</x:t>
        </x:is>
      </x:c>
      <x:c r="M16" s="4" t="n">
        <x:v>633.09</x:v>
      </x:c>
      <x:c r="N16" s="4" t="n">
        <x:v>721.8</x:v>
      </x:c>
      <x:c r="O16" s="4" t="n">
        <x:v>60143.55</x:v>
      </x:c>
      <x:c r="P16" s="4" t="n">
        <x:v>68571</x:v>
      </x:c>
      <x:c r="Q16" s="4" t="n">
        <x:v>-8427.450000000001</x:v>
      </x:c>
      <x:c r="R16" s="5" t="n">
        <x:v>-12.3</x:v>
      </x:c>
      <x:c r="S16" s="3" t="n">
        <x:v>20</x:v>
      </x:c>
      <x:c r="T16" s="2" t="inlineStr">
        <x:is>
          <x:t xml:space="preserve">Yes</x:t>
        </x:is>
      </x:c>
      <x:c r="U16" s="2" t="inlineStr">
        <x:is>
          <x:t xml:space="preserve">Delivered</x:t>
        </x:is>
      </x:c>
    </x:row>
    <x:row r="17">
      <x:c r="A17" s="6" t="inlineStr">
        <x:is>
          <x:t xml:space="preserve">PO-2025-0016</x:t>
        </x:is>
      </x:c>
      <x:c r="B17" s="6" t="inlineStr">
        <x:is>
          <x:t xml:space="preserve">30/06/2025</x:t>
        </x:is>
      </x:c>
      <x:c r="C17" s="6" t="inlineStr">
        <x:is>
          <x:t xml:space="preserve">June</x:t>
        </x:is>
      </x:c>
      <x:c r="D17" s="6" t="inlineStr">
        <x:is>
          <x:t xml:space="preserve">Calgary SE Ring Road Extension</x:t>
        </x:is>
      </x:c>
      <x:c r="E17" s="6" t="inlineStr">
        <x:is>
          <x:t xml:space="preserve">Rocky View County</x:t>
        </x:is>
      </x:c>
      <x:c r="F17" s="6" t="inlineStr">
        <x:is>
          <x:t xml:space="preserve">Aisha Nkosi</x:t>
        </x:is>
      </x:c>
      <x:c r="G17" s="6" t="inlineStr">
        <x:is>
          <x:t xml:space="preserve">Concrete &amp; Structural</x:t>
        </x:is>
      </x:c>
      <x:c r="H17" s="6" t="inlineStr">
        <x:is>
          <x:t xml:space="preserve">Structural Formwork</x:t>
        </x:is>
      </x:c>
      <x:c r="I17" s="6" t="inlineStr">
        <x:is>
          <x:t xml:space="preserve">Lafarge Canada - Calgary</x:t>
        </x:is>
      </x:c>
      <x:c r="J17" s="6" t="inlineStr">
        <x:is>
          <x:t xml:space="preserve">Emergency Procurement</x:t>
        </x:is>
      </x:c>
      <x:c r="K17" s="7" t="n">
        <x:v>85</x:v>
      </x:c>
      <x:c r="L17" s="6" t="inlineStr">
        <x:is>
          <x:t xml:space="preserve">m³</x:t>
        </x:is>
      </x:c>
      <x:c r="M17" s="10" t="n"/>
      <x:c r="N17" s="8" t="n">
        <x:v>217.98</x:v>
      </x:c>
      <x:c r="O17" s="8" t="n">
        <x:v>18430.55</x:v>
      </x:c>
      <x:c r="P17" s="8" t="n">
        <x:v>18528.3</x:v>
      </x:c>
      <x:c r="Q17" s="8" t="n">
        <x:v>-97.75</x:v>
      </x:c>
      <x:c r="R17" s="9" t="n">
        <x:v>-0.5</x:v>
      </x:c>
      <x:c r="S17" s="7" t="n">
        <x:v>78</x:v>
      </x:c>
      <x:c r="T17" s="6" t="inlineStr">
        <x:is>
          <x:t xml:space="preserve">No</x:t>
        </x:is>
      </x:c>
      <x:c r="U17" s="6" t="inlineStr">
        <x:is>
          <x:t xml:space="preserve">Delivered</x:t>
        </x:is>
      </x:c>
    </x:row>
    <x:row r="18">
      <x:c r="A18" s="2" t="inlineStr">
        <x:is>
          <x:t xml:space="preserve">PO-2025-0017</x:t>
        </x:is>
      </x:c>
      <x:c r="B18" s="2" t="inlineStr">
        <x:is>
          <x:t xml:space="preserve">11/02/2025</x:t>
        </x:is>
      </x:c>
      <x:c r="C18" s="2" t="inlineStr">
        <x:is>
          <x:t xml:space="preserve">February</x:t>
        </x:is>
      </x:c>
      <x:c r="D18" s="2" t="inlineStr">
        <x:is>
          <x:t xml:space="preserve">Calgary SE Ring Road Extension</x:t>
        </x:is>
      </x:c>
      <x:c r="E18" s="2" t="inlineStr">
        <x:is>
          <x:t xml:space="preserve">Calgary NE</x:t>
        </x:is>
      </x:c>
      <x:c r="F18" s="2" t="inlineStr">
        <x:is>
          <x:t xml:space="preserve">Derek McLean</x:t>
        </x:is>
      </x:c>
      <x:c r="G18" s="2" t="inlineStr">
        <x:is>
          <x:t xml:space="preserve">MEP - Electrical</x:t>
        </x:is>
      </x:c>
      <x:c r="H18" s="2" t="inlineStr">
        <x:is>
          <x:t xml:space="preserve">Grounding System</x:t>
        </x:is>
      </x:c>
      <x:c r="I18" s="2" t="inlineStr">
        <x:is>
          <x:t xml:space="preserve">Stuart Olson Electrical</x:t>
        </x:is>
      </x:c>
      <x:c r="J18" s="2" t="inlineStr">
        <x:is>
          <x:t xml:space="preserve">Emergency Procurement</x:t>
        </x:is>
      </x:c>
      <x:c r="K18" s="3" t="n">
        <x:v>60</x:v>
      </x:c>
      <x:c r="L18" s="2" t="inlineStr">
        <x:is>
          <x:t xml:space="preserve">lot</x:t>
        </x:is>
      </x:c>
      <x:c r="M18" s="4" t="n">
        <x:v>42716.31</x:v>
      </x:c>
      <x:c r="N18" s="4" t="n">
        <x:v>50344.61</x:v>
      </x:c>
      <x:c r="O18" s="4" t="n">
        <x:v>2562978.6</x:v>
      </x:c>
      <x:c r="P18" s="4" t="n">
        <x:v>3020676.6</x:v>
      </x:c>
      <x:c r="Q18" s="4" t="n">
        <x:v>-457698</x:v>
      </x:c>
      <x:c r="R18" s="5" t="n">
        <x:v>-15.2</x:v>
      </x:c>
      <x:c r="S18" s="3" t="n">
        <x:v>14</x:v>
      </x:c>
      <x:c r="T18" s="2" t="inlineStr">
        <x:is>
          <x:t xml:space="preserve">Yes</x:t>
        </x:is>
      </x:c>
      <x:c r="U18" s="2" t="inlineStr">
        <x:is>
          <x:t xml:space="preserve">Pending</x:t>
        </x:is>
      </x:c>
    </x:row>
    <x:row r="19">
      <x:c r="A19" s="6" t="inlineStr">
        <x:is>
          <x:t xml:space="preserve">PO-2025-0018</x:t>
        </x:is>
      </x:c>
      <x:c r="B19" s="6" t="inlineStr">
        <x:is>
          <x:t xml:space="preserve">16/01/2025</x:t>
        </x:is>
      </x:c>
      <x:c r="C19" s="6" t="inlineStr">
        <x:is>
          <x:t xml:space="preserve">January</x:t>
        </x:is>
      </x:c>
      <x:c r="D19" s="6" t="inlineStr">
        <x:is>
          <x:t xml:space="preserve">Quarry Park Mixed-Use Development</x:t>
        </x:is>
      </x:c>
      <x:c r="E19" s="6" t="inlineStr">
        <x:is>
          <x:t xml:space="preserve">Calgary NE</x:t>
        </x:is>
      </x:c>
      <x:c r="F19" s="6" t="inlineStr">
        <x:is>
          <x:t xml:space="preserve">Priya Sharma</x:t>
        </x:is>
      </x:c>
      <x:c r="G19" s="6" t="inlineStr">
        <x:is>
          <x:t xml:space="preserve">Civil Works</x:t>
        </x:is>
      </x:c>
      <x:c r="H19" s="6" t="inlineStr">
        <x:is>
          <x:t xml:space="preserve">Bulk Excavation</x:t>
        </x:is>
      </x:c>
      <x:c r="I19" s="6" t="inlineStr">
        <x:is>
          <x:t xml:space="preserve">Graham Construction</x:t>
        </x:is>
      </x:c>
      <x:c r="J19" s="6" t="inlineStr">
        <x:is>
          <x:t xml:space="preserve">Standing Offer Agreement</x:t>
        </x:is>
      </x:c>
      <x:c r="K19" s="7" t="n">
        <x:v>85</x:v>
      </x:c>
      <x:c r="L19" s="6" t="inlineStr">
        <x:is>
          <x:t xml:space="preserve">m³</x:t>
        </x:is>
      </x:c>
      <x:c r="M19" s="8" t="n">
        <x:v>253.89</x:v>
      </x:c>
      <x:c r="N19" s="8" t="n">
        <x:v>307.15</x:v>
      </x:c>
      <x:c r="O19" s="8" t="n">
        <x:v>21580.65</x:v>
      </x:c>
      <x:c r="P19" s="8" t="n">
        <x:v>26107.75</x:v>
      </x:c>
      <x:c r="Q19" s="8" t="n">
        <x:v>-4527.1</x:v>
      </x:c>
      <x:c r="R19" s="9" t="n">
        <x:v>-17.3</x:v>
      </x:c>
      <x:c r="S19" s="7" t="n">
        <x:v>36</x:v>
      </x:c>
      <x:c r="T19" s="6" t="inlineStr">
        <x:is>
          <x:t xml:space="preserve">Yes</x:t>
        </x:is>
      </x:c>
      <x:c r="U19" s="6" t="inlineStr">
        <x:is>
          <x:t xml:space="preserve">Delivered</x:t>
        </x:is>
      </x:c>
    </x:row>
    <x:row r="20">
      <x:c r="A20" s="2" t="inlineStr">
        <x:is>
          <x:t xml:space="preserve">PO-2025-0019</x:t>
        </x:is>
      </x:c>
      <x:c r="B20" s="2" t="inlineStr">
        <x:is>
          <x:t xml:space="preserve">04/06/2025</x:t>
        </x:is>
      </x:c>
      <x:c r="C20" s="2" t="inlineStr">
        <x:is>
          <x:t xml:space="preserve">June</x:t>
        </x:is>
      </x:c>
      <x:c r="D20" s="2" t="inlineStr">
        <x:is>
          <x:t xml:space="preserve">Saddledome Arena Retrofit</x:t>
        </x:is>
      </x:c>
      <x:c r="E20" s="2" t="inlineStr">
        <x:is>
          <x:t xml:space="preserve">Calgary SW</x:t>
        </x:is>
      </x:c>
      <x:c r="F20" s="2" t="inlineStr">
        <x:is>
          <x:t xml:space="preserve">Aisha Nkosi</x:t>
        </x:is>
      </x:c>
      <x:c r="G20" s="2" t="inlineStr">
        <x:is>
          <x:t xml:space="preserve">Finishing</x:t>
        </x:is>
      </x:c>
      <x:c r="H20" s="2" t="inlineStr">
        <x:is>
          <x:t xml:space="preserve">Drywall &amp; Framing</x:t>
        </x:is>
      </x:c>
      <x:c r="I20" s="2" t="inlineStr">
        <x:is>
          <x:t xml:space="preserve">Tremco Roofing</x:t>
        </x:is>
      </x:c>
      <x:c r="J20" s="2" t="inlineStr">
        <x:is>
          <x:t xml:space="preserve">Standing Offer Agreement</x:t>
        </x:is>
      </x:c>
      <x:c r="K20" s="3" t="n">
        <x:v>42</x:v>
      </x:c>
      <x:c r="L20" s="2" t="inlineStr">
        <x:is>
          <x:t xml:space="preserve">m²</x:t>
        </x:is>
      </x:c>
      <x:c r="M20" s="4" t="n">
        <x:v>416.69</x:v>
      </x:c>
      <x:c r="N20" s="4" t="n">
        <x:v>422.44</x:v>
      </x:c>
      <x:c r="O20" s="4" t="n">
        <x:v>17500.98</x:v>
      </x:c>
      <x:c r="P20" s="4" t="n">
        <x:v>17742.48</x:v>
      </x:c>
      <x:c r="Q20" s="4" t="n">
        <x:v>-241.5</x:v>
      </x:c>
      <x:c r="R20" s="5" t="n">
        <x:v>-1.4</x:v>
      </x:c>
      <x:c r="S20" s="3" t="n">
        <x:v>36</x:v>
      </x:c>
      <x:c r="T20" s="2" t="inlineStr">
        <x:is>
          <x:t xml:space="preserve">No</x:t>
        </x:is>
      </x:c>
      <x:c r="U20" s="2" t="inlineStr">
        <x:is>
          <x:t xml:space="preserve">Partially Delivered</x:t>
        </x:is>
      </x:c>
    </x:row>
    <x:row r="21">
      <x:c r="A21" s="6" t="inlineStr">
        <x:is>
          <x:t xml:space="preserve">PO-2025-0020</x:t>
        </x:is>
      </x:c>
      <x:c r="B21" s="6" t="inlineStr">
        <x:is>
          <x:t xml:space="preserve">13/04/2025</x:t>
        </x:is>
      </x:c>
      <x:c r="C21" s="6" t="inlineStr">
        <x:is>
          <x:t xml:space="preserve">April</x:t>
        </x:is>
      </x:c>
      <x:c r="D21" s="6" t="inlineStr">
        <x:is>
          <x:t xml:space="preserve">Foothills Medical Centre Expansion</x:t>
        </x:is>
      </x:c>
      <x:c r="E21" s="6" t="inlineStr">
        <x:is>
          <x:t xml:space="preserve">Rocky View County</x:t>
        </x:is>
      </x:c>
      <x:c r="F21" s="6" t="inlineStr">
        <x:is>
          <x:t xml:space="preserve">Sarah Bouchard</x:t>
        </x:is>
      </x:c>
      <x:c r="G21" s="6" t="inlineStr">
        <x:is>
          <x:t xml:space="preserve">MEP - Mechanical</x:t>
        </x:is>
      </x:c>
      <x:c r="H21" s="6" t="inlineStr">
        <x:is>
          <x:t xml:space="preserve">Insulated Pipework</x:t>
        </x:is>
      </x:c>
      <x:c r="I21" s="6" t="inlineStr">
        <x:is>
          <x:t xml:space="preserve">PCL Mechanical</x:t>
        </x:is>
      </x:c>
      <x:c r="J21" s="6" t="inlineStr">
        <x:is>
          <x:t xml:space="preserve">3-Quote Comparison</x:t>
        </x:is>
      </x:c>
      <x:c r="K21" s="7" t="n">
        <x:v>45</x:v>
      </x:c>
      <x:c r="L21" s="6" t="inlineStr">
        <x:is>
          <x:t xml:space="preserve">lot</x:t>
        </x:is>
      </x:c>
      <x:c r="M21" s="8" t="n">
        <x:v>17946.13</x:v>
      </x:c>
      <x:c r="N21" s="8" t="n">
        <x:v>21142.27</x:v>
      </x:c>
      <x:c r="O21" s="8" t="n">
        <x:v>807575.85</x:v>
      </x:c>
      <x:c r="P21" s="8" t="n">
        <x:v>951402.15</x:v>
      </x:c>
      <x:c r="Q21" s="8" t="n">
        <x:v>-143826.3</x:v>
      </x:c>
      <x:c r="R21" s="9" t="n">
        <x:v>-15.1</x:v>
      </x:c>
      <x:c r="S21" s="7" t="n">
        <x:v>9</x:v>
      </x:c>
      <x:c r="T21" s="6" t="inlineStr">
        <x:is>
          <x:t xml:space="preserve">Yes</x:t>
        </x:is>
      </x:c>
      <x:c r="U21" s="6" t="inlineStr">
        <x:is>
          <x:t xml:space="preserve">Delivered</x:t>
        </x:is>
      </x:c>
    </x:row>
    <x:row r="22">
      <x:c r="A22" s="2" t="inlineStr">
        <x:is>
          <x:t xml:space="preserve">PO-2025-0021</x:t>
        </x:is>
      </x:c>
      <x:c r="B22" s="2" t="inlineStr">
        <x:is>
          <x:t xml:space="preserve">28/03/2025</x:t>
        </x:is>
      </x:c>
      <x:c r="C22" s="2" t="inlineStr">
        <x:is>
          <x:t xml:space="preserve">March</x:t>
        </x:is>
      </x:c>
      <x:c r="D22" s="2" t="inlineStr">
        <x:is>
          <x:t xml:space="preserve">Calgary SE Ring Road Extension</x:t>
        </x:is>
      </x:c>
      <x:c r="E22" s="2" t="inlineStr">
        <x:is>
          <x:t xml:space="preserve">Rocky View County</x:t>
        </x:is>
      </x:c>
      <x:c r="F22" s="2" t="inlineStr">
        <x:is>
          <x:t xml:space="preserve">Derek McLean</x:t>
        </x:is>
      </x:c>
      <x:c r="G22" s="2" t="inlineStr">
        <x:is>
          <x:t xml:space="preserve">Civil Works</x:t>
        </x:is>
      </x:c>
      <x:c r="H22" s="2" t="inlineStr">
        <x:is>
          <x:t xml:space="preserve">Road Base Aggregate</x:t>
        </x:is>
      </x:c>
      <x:c r="I22" s="2" t="inlineStr">
        <x:is>
          <x:t xml:space="preserve">Graham Construction</x:t>
        </x:is>
      </x:c>
      <x:c r="J22" s="2" t="inlineStr">
        <x:is>
          <x:t xml:space="preserve">Standing Offer Agreement</x:t>
        </x:is>
      </x:c>
      <x:c r="K22" s="3" t="n">
        <x:v>64</x:v>
      </x:c>
      <x:c r="L22" s="2" t="inlineStr">
        <x:is>
          <x:t xml:space="preserve">m³</x:t>
        </x:is>
      </x:c>
      <x:c r="M22" s="4" t="n">
        <x:v>214.56</x:v>
      </x:c>
      <x:c r="N22" s="4" t="n">
        <x:v>239.32</x:v>
      </x:c>
      <x:c r="O22" s="4" t="n">
        <x:v>13731.84</x:v>
      </x:c>
      <x:c r="P22" s="4" t="n">
        <x:v>15316.48</x:v>
      </x:c>
      <x:c r="Q22" s="4" t="n">
        <x:v>-1584.64</x:v>
      </x:c>
      <x:c r="R22" s="5" t="n">
        <x:v>-10.3</x:v>
      </x:c>
      <x:c r="S22" s="3" t="n">
        <x:v>83</x:v>
      </x:c>
      <x:c r="T22" s="2" t="inlineStr">
        <x:is>
          <x:t xml:space="preserve">Yes</x:t>
        </x:is>
      </x:c>
      <x:c r="U22" s="2" t="inlineStr">
        <x:is>
          <x:t xml:space="preserve">Delivered</x:t>
        </x:is>
      </x:c>
    </x:row>
    <x:row r="23">
      <x:c r="A23" s="6" t="inlineStr">
        <x:is>
          <x:t xml:space="preserve">PO-2025-0022</x:t>
        </x:is>
      </x:c>
      <x:c r="B23" s="6" t="inlineStr">
        <x:is>
          <x:t xml:space="preserve">17/01/2025</x:t>
        </x:is>
      </x:c>
      <x:c r="C23" s="6" t="inlineStr">
        <x:is>
          <x:t xml:space="preserve">January</x:t>
        </x:is>
      </x:c>
      <x:c r="D23" s="6" t="inlineStr">
        <x:is>
          <x:t xml:space="preserve">Quarry Park Mixed-Use Development</x:t>
        </x:is>
      </x:c>
      <x:c r="E23" s="6" t="inlineStr">
        <x:is>
          <x:t xml:space="preserve">Calgary NE</x:t>
        </x:is>
      </x:c>
      <x:c r="F23" s="6" t="inlineStr">
        <x:is>
          <x:t xml:space="preserve">Mohammed Siddiqui</x:t>
        </x:is>
      </x:c>
      <x:c r="G23" s="6" t="inlineStr">
        <x:is>
          <x:t xml:space="preserve">Safety &amp; Temp Works</x:t>
        </x:is>
      </x:c>
      <x:c r="H23" s="6" t="inlineStr">
        <x:is>
          <x:t xml:space="preserve">Fall Protection Netting</x:t>
        </x:is>
      </x:c>
      <x:c r="I23" s="6" t="inlineStr">
        <x:is>
          <x:t xml:space="preserve">Levitt-Safety Calgary</x:t>
        </x:is>
      </x:c>
      <x:c r="J23" s="6" t="inlineStr">
        <x:is>
          <x:t xml:space="preserve">Emergency Procurement</x:t>
        </x:is>
      </x:c>
      <x:c r="K23" s="7" t="n">
        <x:v>18</x:v>
      </x:c>
      <x:c r="L23" s="6" t="inlineStr">
        <x:is>
          <x:t xml:space="preserve">lot</x:t>
        </x:is>
      </x:c>
      <x:c r="M23" s="8" t="n">
        <x:v>1265.08</x:v>
      </x:c>
      <x:c r="N23" s="8" t="n">
        <x:v>1282.76</x:v>
      </x:c>
      <x:c r="O23" s="8" t="n">
        <x:v>22771.44</x:v>
      </x:c>
      <x:c r="P23" s="8" t="n">
        <x:v>23089.68</x:v>
      </x:c>
      <x:c r="Q23" s="8" t="n">
        <x:v>-318.24</x:v>
      </x:c>
      <x:c r="R23" s="9" t="n">
        <x:v>-1.4</x:v>
      </x:c>
      <x:c r="S23" s="7" t="n">
        <x:v>28</x:v>
      </x:c>
      <x:c r="T23" s="6" t="inlineStr">
        <x:is>
          <x:t xml:space="preserve">No</x:t>
        </x:is>
      </x:c>
      <x:c r="U23" s="6" t="inlineStr">
        <x:is>
          <x:t xml:space="preserve">Delivered</x:t>
        </x:is>
      </x:c>
    </x:row>
    <x:row r="24">
      <x:c r="A24" s="2" t="inlineStr">
        <x:is>
          <x:t xml:space="preserve">PO-2025-0023</x:t>
        </x:is>
      </x:c>
      <x:c r="B24" s="2" t="inlineStr">
        <x:is>
          <x:t xml:space="preserve">02/05/2025</x:t>
        </x:is>
      </x:c>
      <x:c r="C24" s="2" t="inlineStr">
        <x:is>
          <x:t xml:space="preserve">May</x:t>
        </x:is>
      </x:c>
      <x:c r="D24" s="2" t="inlineStr">
        <x:is>
          <x:t xml:space="preserve">Saddledome Arena Retrofit</x:t>
        </x:is>
      </x:c>
      <x:c r="E24" s="2" t="inlineStr">
        <x:is>
          <x:t xml:space="preserve">Calgary NE</x:t>
        </x:is>
      </x:c>
      <x:c r="F24" s="2" t="inlineStr">
        <x:is>
          <x:t xml:space="preserve">Priya Sharma</x:t>
        </x:is>
      </x:c>
      <x:c r="G24" s="2" t="inlineStr">
        <x:is>
          <x:t xml:space="preserve">Safety &amp; Temp Works</x:t>
        </x:is>
      </x:c>
      <x:c r="H24" s="2" t="inlineStr">
        <x:is>
          <x:t xml:space="preserve">Site Hoarding &amp; Fencing</x:t>
        </x:is>
      </x:c>
      <x:c r="I24" s="2" t="inlineStr">
        <x:is>
          <x:t xml:space="preserve">Sunbelt Rentals Canada</x:t>
        </x:is>
      </x:c>
      <x:c r="J24" s="2" t="inlineStr">
        <x:is>
          <x:t xml:space="preserve">Emergency Procurement</x:t>
        </x:is>
      </x:c>
      <x:c r="K24" s="3" t="n">
        <x:v>104</x:v>
      </x:c>
      <x:c r="L24" s="2" t="inlineStr">
        <x:is>
          <x:t xml:space="preserve">lot</x:t>
        </x:is>
      </x:c>
      <x:c r="M24" s="4" t="n">
        <x:v>13411.32</x:v>
      </x:c>
      <x:c r="N24" s="4" t="n">
        <x:v>13412.66</x:v>
      </x:c>
      <x:c r="O24" s="4" t="n">
        <x:v>1394777.28</x:v>
      </x:c>
      <x:c r="P24" s="4" t="n">
        <x:v>1394916.64</x:v>
      </x:c>
      <x:c r="Q24" s="4" t="n">
        <x:v>-139.36</x:v>
      </x:c>
      <x:c r="R24" s="5" t="n">
        <x:v>-0</x:v>
      </x:c>
      <x:c r="S24" s="3" t="n">
        <x:v>13</x:v>
      </x:c>
      <x:c r="T24" s="2" t="inlineStr">
        <x:is>
          <x:t xml:space="preserve">Yes</x:t>
        </x:is>
      </x:c>
      <x:c r="U24" s="2" t="inlineStr">
        <x:is>
          <x:t xml:space="preserve">Delivered</x:t>
        </x:is>
      </x:c>
    </x:row>
    <x:row r="25">
      <x:c r="A25" s="6" t="inlineStr">
        <x:is>
          <x:t xml:space="preserve">PO-2025-0024</x:t>
        </x:is>
      </x:c>
      <x:c r="B25" s="6" t="inlineStr">
        <x:is>
          <x:t xml:space="preserve">01/09/2025</x:t>
        </x:is>
      </x:c>
      <x:c r="C25" s="6" t="inlineStr">
        <x:is>
          <x:t xml:space="preserve">September</x:t>
        </x:is>
      </x:c>
      <x:c r="D25" s="6" t="inlineStr">
        <x:is>
          <x:t xml:space="preserve">Quarry Park Mixed-Use Development</x:t>
        </x:is>
      </x:c>
      <x:c r="E25" s="6" t="inlineStr">
        <x:is>
          <x:t xml:space="preserve">Calgary SW</x:t>
        </x:is>
      </x:c>
      <x:c r="F25" s="6" t="inlineStr">
        <x:is>
          <x:t xml:space="preserve">Liam Kowalski</x:t>
        </x:is>
      </x:c>
      <x:c r="G25" s="6" t="inlineStr">
        <x:is>
          <x:t xml:space="preserve">Safety &amp; Temp Works</x:t>
        </x:is>
      </x:c>
      <x:c r="H25" s="6" t="inlineStr">
        <x:is>
          <x:t xml:space="preserve">Site Hoarding &amp; Fencing</x:t>
        </x:is>
      </x:c>
      <x:c r="I25" s="6" t="inlineStr">
        <x:is>
          <x:t xml:space="preserve">Sunbelt Rentals Canada</x:t>
        </x:is>
      </x:c>
      <x:c r="J25" s="6" t="inlineStr">
        <x:is>
          <x:t xml:space="preserve">3-Quote Comparison</x:t>
        </x:is>
      </x:c>
      <x:c r="K25" s="7" t="n">
        <x:v>100</x:v>
      </x:c>
      <x:c r="L25" s="6" t="inlineStr">
        <x:is>
          <x:t xml:space="preserve">lot</x:t>
        </x:is>
      </x:c>
      <x:c r="M25" s="8" t="n">
        <x:v>5225.32</x:v>
      </x:c>
      <x:c r="N25" s="8" t="n">
        <x:v>5180.28</x:v>
      </x:c>
      <x:c r="O25" s="8" t="n">
        <x:v>522532</x:v>
      </x:c>
      <x:c r="P25" s="8" t="n">
        <x:v>518028</x:v>
      </x:c>
      <x:c r="Q25" s="8" t="n">
        <x:v>4504</x:v>
      </x:c>
      <x:c r="R25" s="9" t="n">
        <x:v>0.9</x:v>
      </x:c>
      <x:c r="S25" s="7" t="n">
        <x:v>70</x:v>
      </x:c>
      <x:c r="T25" s="6" t="inlineStr">
        <x:is>
          <x:t xml:space="preserve">Yes</x:t>
        </x:is>
      </x:c>
      <x:c r="U25" s="6" t="inlineStr">
        <x:is>
          <x:t xml:space="preserve">Delivered</x:t>
        </x:is>
      </x:c>
    </x:row>
    <x:row r="26">
      <x:c r="A26" s="2" t="inlineStr">
        <x:is>
          <x:t xml:space="preserve">PO-2025-0025</x:t>
        </x:is>
      </x:c>
      <x:c r="B26" s="2" t="inlineStr">
        <x:is>
          <x:t xml:space="preserve">21/07/2025</x:t>
        </x:is>
      </x:c>
      <x:c r="C26" s="2" t="inlineStr">
        <x:is>
          <x:t xml:space="preserve">July</x:t>
        </x:is>
      </x:c>
      <x:c r="D26" s="2" t="inlineStr">
        <x:is>
          <x:t xml:space="preserve">Foothills Medical Centre Expansion</x:t>
        </x:is>
      </x:c>
      <x:c r="E26" s="2" t="inlineStr">
        <x:is>
          <x:t xml:space="preserve">Calgary NE</x:t>
        </x:is>
      </x:c>
      <x:c r="F26" s="2" t="inlineStr">
        <x:is>
          <x:t xml:space="preserve">Aisha Nkosi</x:t>
        </x:is>
      </x:c>
      <x:c r="G26" s="2" t="inlineStr">
        <x:is>
          <x:t xml:space="preserve">Civil Works</x:t>
        </x:is>
      </x:c>
      <x:c r="H26" s="2" t="inlineStr">
        <x:is>
          <x:t xml:space="preserve">Curb &amp; Gutter Concrete</x:t>
        </x:is>
      </x:c>
      <x:c r="I26" s="2" t="inlineStr">
        <x:is>
          <x:t xml:space="preserve">Graham Construction</x:t>
        </x:is>
      </x:c>
      <x:c r="J26" s="2" t="inlineStr">
        <x:is>
          <x:t xml:space="preserve">Standing Offer Agreement</x:t>
        </x:is>
      </x:c>
      <x:c r="K26" s="3" t="n">
        <x:v>114</x:v>
      </x:c>
      <x:c r="L26" s="2" t="inlineStr">
        <x:is>
          <x:t xml:space="preserve">m³</x:t>
        </x:is>
      </x:c>
      <x:c r="M26" s="4" t="n">
        <x:v>105.2</x:v>
      </x:c>
      <x:c r="N26" s="4" t="n">
        <x:v>126.85</x:v>
      </x:c>
      <x:c r="O26" s="4" t="n">
        <x:v>11992.8</x:v>
      </x:c>
      <x:c r="P26" s="4" t="n">
        <x:v>14460.9</x:v>
      </x:c>
      <x:c r="Q26" s="4" t="n">
        <x:v>-2468.1</x:v>
      </x:c>
      <x:c r="R26" s="5" t="n">
        <x:v>-17.1</x:v>
      </x:c>
      <x:c r="S26" s="3" t="n">
        <x:v>52</x:v>
      </x:c>
      <x:c r="T26" s="2" t="inlineStr">
        <x:is>
          <x:t xml:space="preserve">Yes</x:t>
        </x:is>
      </x:c>
      <x:c r="U26" s="2" t="inlineStr">
        <x:is>
          <x:t xml:space="preserve">Cancelled</x:t>
        </x:is>
      </x:c>
    </x:row>
    <x:row r="27">
      <x:c r="A27" s="6" t="inlineStr">
        <x:is>
          <x:t xml:space="preserve">PO-2025-0026</x:t>
        </x:is>
      </x:c>
      <x:c r="B27" s="6" t="inlineStr">
        <x:is>
          <x:t xml:space="preserve">15/09/2025</x:t>
        </x:is>
      </x:c>
      <x:c r="C27" s="6" t="inlineStr">
        <x:is>
          <x:t xml:space="preserve">September</x:t>
        </x:is>
      </x:c>
      <x:c r="D27" s="6" t="inlineStr">
        <x:is>
          <x:t xml:space="preserve">Rocky View Industrial Logistics Hub</x:t>
        </x:is>
      </x:c>
      <x:c r="E27" s="6" t="inlineStr">
        <x:is>
          <x:t xml:space="preserve">Rocky View County</x:t>
        </x:is>
      </x:c>
      <x:c r="F27" s="6" t="inlineStr">
        <x:is>
          <x:t xml:space="preserve">Priya Sharma</x:t>
        </x:is>
      </x:c>
      <x:c r="G27" s="6" t="inlineStr">
        <x:is>
          <x:t xml:space="preserve">MEP - Electrical</x:t>
        </x:is>
      </x:c>
      <x:c r="H27" s="6" t="inlineStr">
        <x:is>
          <x:t xml:space="preserve">LV Switchgear Panel</x:t>
        </x:is>
      </x:c>
      <x:c r="I27" s="6" t="inlineStr">
        <x:is>
          <x:t xml:space="preserve">Schneider Electric Canada</x:t>
        </x:is>
      </x:c>
      <x:c r="J27" s="6" t="inlineStr">
        <x:is>
          <x:t xml:space="preserve">3-Quote Comparison</x:t>
        </x:is>
      </x:c>
      <x:c r="K27" s="7" t="n">
        <x:v>50</x:v>
      </x:c>
      <x:c r="L27" s="6" t="inlineStr">
        <x:is>
          <x:t xml:space="preserve">lot</x:t>
        </x:is>
      </x:c>
      <x:c r="M27" s="8" t="n">
        <x:v>23927.85</x:v>
      </x:c>
      <x:c r="N27" s="8" t="n">
        <x:v>29493.17</x:v>
      </x:c>
      <x:c r="O27" s="8" t="n">
        <x:v>1196392.5</x:v>
      </x:c>
      <x:c r="P27" s="8" t="n">
        <x:v>1474658.5</x:v>
      </x:c>
      <x:c r="Q27" s="8" t="n">
        <x:v>-278266</x:v>
      </x:c>
      <x:c r="R27" s="9" t="n">
        <x:v>-18.9</x:v>
      </x:c>
      <x:c r="S27" s="7" t="n">
        <x:v>43</x:v>
      </x:c>
      <x:c r="T27" s="6" t="inlineStr">
        <x:is>
          <x:t xml:space="preserve">Yes</x:t>
        </x:is>
      </x:c>
      <x:c r="U27" s="6" t="inlineStr">
        <x:is>
          <x:t xml:space="preserve">Delivered</x:t>
        </x:is>
      </x:c>
    </x:row>
    <x:row r="28">
      <x:c r="A28" s="2" t="inlineStr">
        <x:is>
          <x:t xml:space="preserve">PO-2025-0027</x:t>
        </x:is>
      </x:c>
      <x:c r="B28" s="2" t="inlineStr">
        <x:is>
          <x:t xml:space="preserve">15/05/2025</x:t>
        </x:is>
      </x:c>
      <x:c r="C28" s="2" t="inlineStr">
        <x:is>
          <x:t xml:space="preserve">May</x:t>
        </x:is>
      </x:c>
      <x:c r="D28" s="2" t="inlineStr">
        <x:is>
          <x:t xml:space="preserve">Bow River Crossing Overpass</x:t>
        </x:is>
      </x:c>
      <x:c r="E28" s="2" t="inlineStr">
        <x:is>
          <x:t xml:space="preserve">Calgary SE</x:t>
        </x:is>
      </x:c>
      <x:c r="F28" s="2" t="inlineStr">
        <x:is>
          <x:t xml:space="preserve">Aisha Nkosi</x:t>
        </x:is>
      </x:c>
      <x:c r="G28" s="2" t="inlineStr">
        <x:is>
          <x:t xml:space="preserve">Finishing</x:t>
        </x:is>
      </x:c>
      <x:c r="H28" s="2" t="inlineStr">
        <x:is>
          <x:t xml:space="preserve">Ceramic Floor Tile</x:t>
        </x:is>
      </x:c>
      <x:c r="I28" s="2" t="inlineStr">
        <x:is>
          <x:t xml:space="preserve">Centura Tile Calgary</x:t>
        </x:is>
      </x:c>
      <x:c r="J28" s="2" t="inlineStr">
        <x:is>
          <x:t xml:space="preserve">Tender – Open</x:t>
        </x:is>
      </x:c>
      <x:c r="K28" s="3" t="n">
        <x:v>99</x:v>
      </x:c>
      <x:c r="L28" s="2" t="inlineStr">
        <x:is>
          <x:t xml:space="preserve">m²</x:t>
        </x:is>
      </x:c>
      <x:c r="M28" s="4" t="n">
        <x:v>280.12</x:v>
      </x:c>
      <x:c r="N28" s="4" t="n">
        <x:v>270.2</x:v>
      </x:c>
      <x:c r="O28" s="4" t="n">
        <x:v>27731.88</x:v>
      </x:c>
      <x:c r="P28" s="4" t="n">
        <x:v>26749.8</x:v>
      </x:c>
      <x:c r="Q28" s="4" t="n">
        <x:v>982.08</x:v>
      </x:c>
      <x:c r="R28" s="5" t="n">
        <x:v>3.7</x:v>
      </x:c>
      <x:c r="S28" s="3" t="n">
        <x:v>7</x:v>
      </x:c>
      <x:c r="T28" s="2" t="inlineStr">
        <x:is>
          <x:t xml:space="preserve">No</x:t>
        </x:is>
      </x:c>
      <x:c r="U28" s="2" t="inlineStr">
        <x:is>
          <x:t xml:space="preserve">Delivered</x:t>
        </x:is>
      </x:c>
    </x:row>
    <x:row r="29">
      <x:c r="A29" s="6" t="inlineStr">
        <x:is>
          <x:t xml:space="preserve">PO-2025-0028</x:t>
        </x:is>
      </x:c>
      <x:c r="B29" s="6" t="inlineStr">
        <x:is>
          <x:t xml:space="preserve">08/08/2025</x:t>
        </x:is>
      </x:c>
      <x:c r="C29" s="6" t="inlineStr">
        <x:is>
          <x:t xml:space="preserve">August</x:t>
        </x:is>
      </x:c>
      <x:c r="D29" s="6" t="inlineStr">
        <x:is>
          <x:t xml:space="preserve">Bow River Crossing Overpass</x:t>
        </x:is>
      </x:c>
      <x:c r="E29" s="6" t="inlineStr">
        <x:is>
          <x:t xml:space="preserve">Calgary SW</x:t>
        </x:is>
      </x:c>
      <x:c r="F29" s="6" t="inlineStr">
        <x:is>
          <x:t xml:space="preserve">Aisha Nkosi</x:t>
        </x:is>
      </x:c>
      <x:c r="G29" s="6" t="inlineStr">
        <x:is>
          <x:t xml:space="preserve">Finishing</x:t>
        </x:is>
      </x:c>
      <x:c r="H29" s="6" t="inlineStr">
        <x:is>
          <x:t xml:space="preserve">Acoustic Ceiling Grid</x:t>
        </x:is>
      </x:c>
      <x:c r="I29" s="6" t="inlineStr">
        <x:is>
          <x:t xml:space="preserve">Armstrong World Industries</x:t>
        </x:is>
      </x:c>
      <x:c r="J29" s="6" t="inlineStr">
        <x:is>
          <x:t xml:space="preserve">3-Quote Comparison</x:t>
        </x:is>
      </x:c>
      <x:c r="K29" s="7" t="n">
        <x:v>116</x:v>
      </x:c>
      <x:c r="L29" s="6" t="inlineStr">
        <x:is>
          <x:t xml:space="preserve">m²</x:t>
        </x:is>
      </x:c>
      <x:c r="M29" s="8" t="n">
        <x:v>459.93</x:v>
      </x:c>
      <x:c r="N29" s="8" t="n">
        <x:v>522</x:v>
      </x:c>
      <x:c r="O29" s="8" t="n">
        <x:v>53351.88</x:v>
      </x:c>
      <x:c r="P29" s="8" t="n">
        <x:v>60552</x:v>
      </x:c>
      <x:c r="Q29" s="8" t="n">
        <x:v>-7200.12</x:v>
      </x:c>
      <x:c r="R29" s="9" t="n">
        <x:v>-11.9</x:v>
      </x:c>
      <x:c r="S29" s="7" t="n">
        <x:v>60</x:v>
      </x:c>
      <x:c r="T29" s="6" t="inlineStr">
        <x:is>
          <x:t xml:space="preserve">Yes</x:t>
        </x:is>
      </x:c>
      <x:c r="U29" s="6" t="inlineStr">
        <x:is>
          <x:t xml:space="preserve">Partially Delivered</x:t>
        </x:is>
      </x:c>
    </x:row>
    <x:row r="30">
      <x:c r="A30" s="2" t="inlineStr">
        <x:is>
          <x:t xml:space="preserve">PO-2025-0029</x:t>
        </x:is>
      </x:c>
      <x:c r="B30" s="2" t="inlineStr">
        <x:is>
          <x:t xml:space="preserve">24/10/2025</x:t>
        </x:is>
      </x:c>
      <x:c r="C30" s="2" t="inlineStr">
        <x:is>
          <x:t xml:space="preserve">October</x:t>
        </x:is>
      </x:c>
      <x:c r="D30" s="2" t="inlineStr">
        <x:is>
          <x:t xml:space="preserve">Calgary SE Ring Road Extension</x:t>
        </x:is>
      </x:c>
      <x:c r="E30" s="2" t="inlineStr">
        <x:is>
          <x:t xml:space="preserve">Calgary SW</x:t>
        </x:is>
      </x:c>
      <x:c r="F30" s="2" t="inlineStr">
        <x:is>
          <x:t xml:space="preserve">James Okafor</x:t>
        </x:is>
      </x:c>
      <x:c r="G30" s="2" t="inlineStr">
        <x:is>
          <x:t xml:space="preserve">Civil Works</x:t>
        </x:is>
      </x:c>
      <x:c r="H30" s="2" t="inlineStr">
        <x:is>
          <x:t xml:space="preserve">Storm Drainage Pipe</x:t>
        </x:is>
      </x:c>
      <x:c r="I30" s="2" t="inlineStr">
        <x:is>
          <x:t xml:space="preserve">Kiewit Infrastructure</x:t>
        </x:is>
      </x:c>
      <x:c r="J30" s="2" t="inlineStr">
        <x:is>
          <x:t xml:space="preserve">Emergency Procurement</x:t>
        </x:is>
      </x:c>
      <x:c r="K30" s="3" t="n">
        <x:v>117</x:v>
      </x:c>
      <x:c r="L30" s="2" t="inlineStr">
        <x:is>
          <x:t xml:space="preserve">m³</x:t>
        </x:is>
      </x:c>
      <x:c r="M30" s="4" t="n">
        <x:v>186.12</x:v>
      </x:c>
      <x:c r="N30" s="4" t="n">
        <x:v>199.67</x:v>
      </x:c>
      <x:c r="O30" s="4" t="n">
        <x:v>21776.04</x:v>
      </x:c>
      <x:c r="P30" s="4" t="n">
        <x:v>23361.39</x:v>
      </x:c>
      <x:c r="Q30" s="4" t="n">
        <x:v>-1585.35</x:v>
      </x:c>
      <x:c r="R30" s="5" t="n">
        <x:v>-6.8</x:v>
      </x:c>
      <x:c r="S30" s="3" t="n">
        <x:v>43</x:v>
      </x:c>
      <x:c r="T30" s="2" t="inlineStr">
        <x:is>
          <x:t xml:space="preserve">Yes</x:t>
        </x:is>
      </x:c>
      <x:c r="U30" s="2" t="inlineStr">
        <x:is>
          <x:t xml:space="preserve">Pending</x:t>
        </x:is>
      </x:c>
    </x:row>
    <x:row r="31">
      <x:c r="A31" s="6" t="inlineStr">
        <x:is>
          <x:t xml:space="preserve">PO-2025-0005</x:t>
        </x:is>
      </x:c>
      <x:c r="B31" s="6" t="inlineStr">
        <x:is>
          <x:t xml:space="preserve">17/04/2025</x:t>
        </x:is>
      </x:c>
      <x:c r="C31" s="6" t="inlineStr">
        <x:is>
          <x:t xml:space="preserve">April</x:t>
        </x:is>
      </x:c>
      <x:c r="D31" s="6" t="inlineStr">
        <x:is>
          <x:t xml:space="preserve">Quarry Park Mixed-Use Development</x:t>
        </x:is>
      </x:c>
      <x:c r="E31" s="6" t="inlineStr">
        <x:is>
          <x:t xml:space="preserve">Calgary SW</x:t>
        </x:is>
      </x:c>
      <x:c r="F31" s="6" t="inlineStr">
        <x:is>
          <x:t xml:space="preserve">Aisha Nkosi</x:t>
        </x:is>
      </x:c>
      <x:c r="G31" s="6" t="inlineStr">
        <x:is>
          <x:t xml:space="preserve">Finishing</x:t>
        </x:is>
      </x:c>
      <x:c r="H31" s="6" t="inlineStr">
        <x:is>
          <x:t xml:space="preserve">Waterproofing Membrane</x:t>
        </x:is>
      </x:c>
      <x:c r="I31" s="6" t="inlineStr">
        <x:is>
          <x:t xml:space="preserve">Tremco Roofing</x:t>
        </x:is>
      </x:c>
      <x:c r="J31" s="6" t="inlineStr">
        <x:is>
          <x:t xml:space="preserve">3-Quote Comparison</x:t>
        </x:is>
      </x:c>
      <x:c r="K31" s="7" t="n">
        <x:v>15</x:v>
      </x:c>
      <x:c r="L31" s="6" t="inlineStr">
        <x:is>
          <x:t xml:space="preserve">m²</x:t>
        </x:is>
      </x:c>
      <x:c r="M31" s="8" t="n">
        <x:v>224.43</x:v>
      </x:c>
      <x:c r="N31" s="8" t="n">
        <x:v>235.92</x:v>
      </x:c>
      <x:c r="O31" s="8" t="n">
        <x:v>3366.45</x:v>
      </x:c>
      <x:c r="P31" s="8" t="n">
        <x:v>3538.8</x:v>
      </x:c>
      <x:c r="Q31" s="8" t="n">
        <x:v>-172.35</x:v>
      </x:c>
      <x:c r="R31" s="9" t="n">
        <x:v>-4.9</x:v>
      </x:c>
      <x:c r="S31" s="7" t="n">
        <x:v>81</x:v>
      </x:c>
      <x:c r="T31" s="6" t="inlineStr">
        <x:is>
          <x:t xml:space="preserve">Yes</x:t>
        </x:is>
      </x:c>
      <x:c r="U31" s="6" t="inlineStr">
        <x:is>
          <x:t xml:space="preserve">Pending</x:t>
        </x:is>
      </x:c>
    </x:row>
    <x:row r="32">
      <x:c r="A32" s="2" t="inlineStr">
        <x:is>
          <x:t xml:space="preserve">PO-2025-0031</x:t>
        </x:is>
      </x:c>
      <x:c r="B32" s="2" t="inlineStr">
        <x:is>
          <x:t xml:space="preserve">23/01/2025</x:t>
        </x:is>
      </x:c>
      <x:c r="C32" s="2" t="inlineStr">
        <x:is>
          <x:t xml:space="preserve">January</x:t>
        </x:is>
      </x:c>
      <x:c r="D32" s="2" t="inlineStr">
        <x:is>
          <x:t xml:space="preserve">Deerfoot Trail Widening - North</x:t>
        </x:is>
      </x:c>
      <x:c r="E32" s="2" t="inlineStr">
        <x:is>
          <x:t xml:space="preserve">Rocky View County</x:t>
        </x:is>
      </x:c>
      <x:c r="F32" s="2" t="inlineStr">
        <x:is>
          <x:t xml:space="preserve">Aisha Nkosi</x:t>
        </x:is>
      </x:c>
      <x:c r="G32" s="2" t="inlineStr">
        <x:is>
          <x:t xml:space="preserve">Finishing</x:t>
        </x:is>
      </x:c>
      <x:c r="H32" s="2" t="inlineStr">
        <x:is>
          <x:t xml:space="preserve">Waterproofing Membrane</x:t>
        </x:is>
      </x:c>
      <x:c r="I32" s="2" t="inlineStr">
        <x:is>
          <x:t xml:space="preserve">Centura Tile Calgary</x:t>
        </x:is>
      </x:c>
      <x:c r="J32" s="2" t="inlineStr">
        <x:is>
          <x:t xml:space="preserve">LPO – Direct Award</x:t>
        </x:is>
      </x:c>
      <x:c r="K32" s="3" t="n">
        <x:v>9</x:v>
      </x:c>
      <x:c r="L32" s="2" t="inlineStr">
        <x:is>
          <x:t xml:space="preserve">m²</x:t>
        </x:is>
      </x:c>
      <x:c r="M32" s="4" t="n">
        <x:v>336.39</x:v>
      </x:c>
      <x:c r="N32" s="4" t="n">
        <x:v>408.28</x:v>
      </x:c>
      <x:c r="O32" s="4" t="n">
        <x:v>3027.51</x:v>
      </x:c>
      <x:c r="P32" s="4" t="n">
        <x:v>3674.52</x:v>
      </x:c>
      <x:c r="Q32" s="4" t="n">
        <x:v>-647.01</x:v>
      </x:c>
      <x:c r="R32" s="5" t="n">
        <x:v>-17.6</x:v>
      </x:c>
      <x:c r="S32" s="3" t="n">
        <x:v>62</x:v>
      </x:c>
      <x:c r="T32" s="2" t="inlineStr">
        <x:is>
          <x:t xml:space="preserve">Yes</x:t>
        </x:is>
      </x:c>
      <x:c r="U32" s="2" t="inlineStr">
        <x:is>
          <x:t xml:space="preserve">Partially Delivered</x:t>
        </x:is>
      </x:c>
    </x:row>
    <x:row r="33">
      <x:c r="A33" s="6" t="inlineStr">
        <x:is>
          <x:t xml:space="preserve">PO-2025-0032</x:t>
        </x:is>
      </x:c>
      <x:c r="B33" s="6" t="inlineStr">
        <x:is>
          <x:t xml:space="preserve">18/05/2025</x:t>
        </x:is>
      </x:c>
      <x:c r="C33" s="6" t="inlineStr">
        <x:is>
          <x:t xml:space="preserve">May</x:t>
        </x:is>
      </x:c>
      <x:c r="D33" s="6" t="inlineStr">
        <x:is>
          <x:t xml:space="preserve">Foothills Medical Centre Expansion</x:t>
        </x:is>
      </x:c>
      <x:c r="E33" s="6" t="inlineStr">
        <x:is>
          <x:t xml:space="preserve">Rocky View County</x:t>
        </x:is>
      </x:c>
      <x:c r="F33" s="6" t="inlineStr">
        <x:is>
          <x:t xml:space="preserve">Derek McLean</x:t>
        </x:is>
      </x:c>
      <x:c r="G33" s="6" t="inlineStr">
        <x:is>
          <x:t xml:space="preserve">Civil Works</x:t>
        </x:is>
      </x:c>
      <x:c r="H33" s="6" t="inlineStr">
        <x:is>
          <x:t xml:space="preserve">Granular Backfill</x:t>
        </x:is>
      </x:c>
      <x:c r="I33" s="6" t="inlineStr">
        <x:is>
          <x:t xml:space="preserve">Kiewit Infrastructure</x:t>
        </x:is>
      </x:c>
      <x:c r="J33" s="6" t="inlineStr">
        <x:is>
          <x:t xml:space="preserve">Standing Offer Agreement</x:t>
        </x:is>
      </x:c>
      <x:c r="K33" s="7" t="n">
        <x:v>14</x:v>
      </x:c>
      <x:c r="L33" s="6" t="inlineStr">
        <x:is>
          <x:t xml:space="preserve">m³</x:t>
        </x:is>
      </x:c>
      <x:c r="M33" s="8" t="n">
        <x:v>188.87</x:v>
      </x:c>
      <x:c r="N33" s="8" t="n">
        <x:v>176.17</x:v>
      </x:c>
      <x:c r="O33" s="8" t="n">
        <x:v>2644.18</x:v>
      </x:c>
      <x:c r="P33" s="8" t="n">
        <x:v>2466.38</x:v>
      </x:c>
      <x:c r="Q33" s="8" t="n">
        <x:v>177.8</x:v>
      </x:c>
      <x:c r="R33" s="9" t="n">
        <x:v>7.2</x:v>
      </x:c>
      <x:c r="S33" s="7" t="n">
        <x:v>83</x:v>
      </x:c>
      <x:c r="T33" s="6" t="inlineStr">
        <x:is>
          <x:t xml:space="preserve">No</x:t>
        </x:is>
      </x:c>
      <x:c r="U33" s="6" t="inlineStr">
        <x:is>
          <x:t xml:space="preserve">Delivered</x:t>
        </x:is>
      </x:c>
    </x:row>
    <x:row r="34">
      <x:c r="A34" s="2" t="inlineStr">
        <x:is>
          <x:t xml:space="preserve">PO-2025-0033</x:t>
        </x:is>
      </x:c>
      <x:c r="B34" s="2" t="inlineStr">
        <x:is>
          <x:t xml:space="preserve">08/03/2025</x:t>
        </x:is>
      </x:c>
      <x:c r="C34" s="2" t="inlineStr">
        <x:is>
          <x:t xml:space="preserve">March</x:t>
        </x:is>
      </x:c>
      <x:c r="D34" s="2" t="inlineStr">
        <x:is>
          <x:t xml:space="preserve">Bow River Crossing Overpass</x:t>
        </x:is>
      </x:c>
      <x:c r="E34" s="2" t="inlineStr">
        <x:is>
          <x:t xml:space="preserve">Calgary NE</x:t>
        </x:is>
      </x:c>
      <x:c r="F34" s="2" t="inlineStr">
        <x:is>
          <x:t xml:space="preserve">Liam Kowalski</x:t>
        </x:is>
      </x:c>
      <x:c r="G34" s="2" t="inlineStr">
        <x:is>
          <x:t xml:space="preserve">MEP - Mechanical</x:t>
        </x:is>
      </x:c>
      <x:c r="H34" s="2" t="inlineStr">
        <x:is>
          <x:t xml:space="preserve">Boiler System</x:t>
        </x:is>
      </x:c>
      <x:c r="I34" s="2" t="inlineStr">
        <x:is>
          <x:t xml:space="preserve">Ainsworth Inc.</x:t>
        </x:is>
      </x:c>
      <x:c r="J34" s="2" t="inlineStr">
        <x:is>
          <x:t xml:space="preserve">Tender – Open</x:t>
        </x:is>
      </x:c>
      <x:c r="K34" s="3" t="n">
        <x:v>46</x:v>
      </x:c>
      <x:c r="L34" s="2" t="inlineStr">
        <x:is>
          <x:t xml:space="preserve">lot</x:t>
        </x:is>
      </x:c>
      <x:c r="M34" s="4" t="n">
        <x:v>35292.61</x:v>
      </x:c>
      <x:c r="N34" s="4" t="n">
        <x:v>33630.23</x:v>
      </x:c>
      <x:c r="O34" s="4" t="n">
        <x:v>1623460.06</x:v>
      </x:c>
      <x:c r="P34" s="4" t="n">
        <x:v>1546990.58</x:v>
      </x:c>
      <x:c r="Q34" s="4" t="n">
        <x:v>76469.48</x:v>
      </x:c>
      <x:c r="R34" s="5" t="n">
        <x:v>4.9</x:v>
      </x:c>
      <x:c r="S34" s="3" t="n">
        <x:v>67</x:v>
      </x:c>
      <x:c r="T34" s="2" t="inlineStr">
        <x:is>
          <x:t xml:space="preserve">No</x:t>
        </x:is>
      </x:c>
      <x:c r="U34" s="2" t="inlineStr">
        <x:is>
          <x:t xml:space="preserve">Cancelled</x:t>
        </x:is>
      </x:c>
    </x:row>
    <x:row r="35">
      <x:c r="A35" s="6" t="inlineStr">
        <x:is>
          <x:t xml:space="preserve">PO-2025-0034</x:t>
        </x:is>
      </x:c>
      <x:c r="B35" s="6" t="inlineStr">
        <x:is>
          <x:t xml:space="preserve">26/10/2025</x:t>
        </x:is>
      </x:c>
      <x:c r="C35" s="6" t="inlineStr">
        <x:is>
          <x:t xml:space="preserve">October</x:t>
        </x:is>
      </x:c>
      <x:c r="D35" s="6" t="inlineStr">
        <x:is>
          <x:t xml:space="preserve">Calgary SE Ring Road Extension</x:t>
        </x:is>
      </x:c>
      <x:c r="E35" s="6" t="inlineStr">
        <x:is>
          <x:t xml:space="preserve">Calgary SE</x:t>
        </x:is>
      </x:c>
      <x:c r="F35" s="6" t="inlineStr">
        <x:is>
          <x:t xml:space="preserve">Liam Kowalski</x:t>
        </x:is>
      </x:c>
      <x:c r="G35" s="6" t="inlineStr">
        <x:is>
          <x:t xml:space="preserve">Safety &amp; Temp Works</x:t>
        </x:is>
      </x:c>
      <x:c r="H35" s="6" t="inlineStr">
        <x:is>
          <x:t xml:space="preserve">Scaffolding System</x:t>
        </x:is>
      </x:c>
      <x:c r="I35" s="6" t="inlineStr">
        <x:is>
          <x:t xml:space="preserve">Sunbelt Rentals Canada</x:t>
        </x:is>
      </x:c>
      <x:c r="J35" s="6" t="inlineStr">
        <x:is>
          <x:t xml:space="preserve">Standing Offer Agreement</x:t>
        </x:is>
      </x:c>
      <x:c r="K35" s="7" t="n">
        <x:v>106</x:v>
      </x:c>
      <x:c r="L35" s="6" t="inlineStr">
        <x:is>
          <x:t xml:space="preserve">lot</x:t>
        </x:is>
      </x:c>
      <x:c r="M35" s="8" t="n">
        <x:v>12990.43</x:v>
      </x:c>
      <x:c r="N35" s="8" t="n">
        <x:v>13784.82</x:v>
      </x:c>
      <x:c r="O35" s="8" t="n">
        <x:v>1376985.58</x:v>
      </x:c>
      <x:c r="P35" s="8" t="n">
        <x:v>1461190.92</x:v>
      </x:c>
      <x:c r="Q35" s="8" t="n">
        <x:v>-84205.34</x:v>
      </x:c>
      <x:c r="R35" s="9" t="n">
        <x:v>-5.8</x:v>
      </x:c>
      <x:c r="S35" s="7" t="n">
        <x:v>24</x:v>
      </x:c>
      <x:c r="T35" s="6" t="inlineStr">
        <x:is>
          <x:t xml:space="preserve">Yes</x:t>
        </x:is>
      </x:c>
      <x:c r="U35" s="6" t="inlineStr">
        <x:is>
          <x:t xml:space="preserve">Cancelled</x:t>
        </x:is>
      </x:c>
    </x:row>
    <x:row r="36">
      <x:c r="A36" s="2" t="inlineStr">
        <x:is>
          <x:t xml:space="preserve">PO-2025-0035</x:t>
        </x:is>
      </x:c>
      <x:c r="B36" s="2" t="inlineStr">
        <x:is>
          <x:t xml:space="preserve">01/10/2025</x:t>
        </x:is>
      </x:c>
      <x:c r="C36" s="2" t="inlineStr">
        <x:is>
          <x:t xml:space="preserve">October</x:t>
        </x:is>
      </x:c>
      <x:c r="D36" s="2" t="inlineStr">
        <x:is>
          <x:t xml:space="preserve">Foothills Medical Centre Expansion</x:t>
        </x:is>
      </x:c>
      <x:c r="E36" s="2" t="inlineStr">
        <x:is>
          <x:t xml:space="preserve">Calgary SW</x:t>
        </x:is>
      </x:c>
      <x:c r="F36" s="2" t="inlineStr">
        <x:is>
          <x:t xml:space="preserve">Sarah Bouchard</x:t>
        </x:is>
      </x:c>
      <x:c r="G36" s="2" t="inlineStr">
        <x:is>
          <x:t xml:space="preserve">Finishing</x:t>
        </x:is>
      </x:c>
      <x:c r="H36" s="2" t="inlineStr">
        <x:is>
          <x:t xml:space="preserve">Waterproofing Membrane</x:t>
        </x:is>
      </x:c>
      <x:c r="I36" s="2" t="inlineStr">
        <x:is>
          <x:t xml:space="preserve">Armstrong World Industries</x:t>
        </x:is>
      </x:c>
      <x:c r="J36" s="2" t="inlineStr">
        <x:is>
          <x:t xml:space="preserve">Tender – Open</x:t>
        </x:is>
      </x:c>
      <x:c r="K36" s="3" t="n">
        <x:v>41</x:v>
      </x:c>
      <x:c r="L36" s="2" t="inlineStr">
        <x:is>
          <x:t xml:space="preserve">m²</x:t>
        </x:is>
      </x:c>
      <x:c r="M36" s="4" t="n">
        <x:v>421.07</x:v>
      </x:c>
      <x:c r="N36" s="4" t="n">
        <x:v>458.62</x:v>
      </x:c>
      <x:c r="O36" s="4" t="n">
        <x:v>17263.87</x:v>
      </x:c>
      <x:c r="P36" s="4" t="n">
        <x:v>18803.42</x:v>
      </x:c>
      <x:c r="Q36" s="4" t="n">
        <x:v>-1539.55</x:v>
      </x:c>
      <x:c r="R36" s="5" t="n">
        <x:v>-8.199999999999999</x:v>
      </x:c>
      <x:c r="S36" s="3" t="n">
        <x:v>28</x:v>
      </x:c>
      <x:c r="T36" s="2" t="inlineStr">
        <x:is>
          <x:t xml:space="preserve">No</x:t>
        </x:is>
      </x:c>
      <x:c r="U36" s="2" t="inlineStr">
        <x:is>
          <x:t xml:space="preserve">Delivered</x:t>
        </x:is>
      </x:c>
    </x:row>
    <x:row r="37">
      <x:c r="A37" s="6" t="inlineStr">
        <x:is>
          <x:t xml:space="preserve">PO-2025-0036</x:t>
        </x:is>
      </x:c>
      <x:c r="B37" s="6" t="inlineStr">
        <x:is>
          <x:t xml:space="preserve">19/02/2025</x:t>
        </x:is>
      </x:c>
      <x:c r="C37" s="6" t="inlineStr">
        <x:is>
          <x:t xml:space="preserve">February</x:t>
        </x:is>
      </x:c>
      <x:c r="D37" s="6" t="inlineStr">
        <x:is>
          <x:t xml:space="preserve">Saddledome Arena Retrofit</x:t>
        </x:is>
      </x:c>
      <x:c r="E37" s="6" t="inlineStr">
        <x:is>
          <x:t xml:space="preserve">Calgary SW</x:t>
        </x:is>
      </x:c>
      <x:c r="F37" s="6" t="inlineStr">
        <x:is>
          <x:t xml:space="preserve">Derek McLean</x:t>
        </x:is>
      </x:c>
      <x:c r="G37" s="6" t="inlineStr">
        <x:is>
          <x:t xml:space="preserve">MEP - Mechanical</x:t>
        </x:is>
      </x:c>
      <x:c r="H37" s="6" t="inlineStr">
        <x:is>
          <x:t xml:space="preserve">HVAC Rooftop Unit</x:t>
        </x:is>
      </x:c>
      <x:c r="I37" s="6" t="inlineStr">
        <x:is>
          <x:t xml:space="preserve">PCL Mechanical</x:t>
        </x:is>
      </x:c>
      <x:c r="J37" s="6" t="inlineStr">
        <x:is>
          <x:t xml:space="preserve">LPO – Direct Award</x:t>
        </x:is>
      </x:c>
      <x:c r="K37" s="7" t="n">
        <x:v>54</x:v>
      </x:c>
      <x:c r="L37" s="6" t="inlineStr">
        <x:is>
          <x:t xml:space="preserve">lot</x:t>
        </x:is>
      </x:c>
      <x:c r="M37" s="8" t="n">
        <x:v>45718.74</x:v>
      </x:c>
      <x:c r="N37" s="8" t="n">
        <x:v>48756.53</x:v>
      </x:c>
      <x:c r="O37" s="8" t="n">
        <x:v>2468811.96</x:v>
      </x:c>
      <x:c r="P37" s="8" t="n">
        <x:v>2632852.62</x:v>
      </x:c>
      <x:c r="Q37" s="8" t="n">
        <x:v>-164040.66</x:v>
      </x:c>
      <x:c r="R37" s="9" t="n">
        <x:v>-6.2</x:v>
      </x:c>
      <x:c r="S37" s="7" t="n">
        <x:v>20</x:v>
      </x:c>
      <x:c r="T37" s="6" t="inlineStr">
        <x:is>
          <x:t xml:space="preserve">No</x:t>
        </x:is>
      </x:c>
      <x:c r="U37" s="6" t="inlineStr">
        <x:is>
          <x:t xml:space="preserve">Cancelled</x:t>
        </x:is>
      </x:c>
    </x:row>
    <x:row r="38">
      <x:c r="A38" s="2" t="inlineStr">
        <x:is>
          <x:t xml:space="preserve">PO-2025-0037</x:t>
        </x:is>
      </x:c>
      <x:c r="B38" s="2" t="inlineStr">
        <x:is>
          <x:t xml:space="preserve">10/01/2025</x:t>
        </x:is>
      </x:c>
      <x:c r="C38" s="2" t="inlineStr">
        <x:is>
          <x:t xml:space="preserve">January</x:t>
        </x:is>
      </x:c>
      <x:c r="D38" s="2" t="inlineStr">
        <x:is>
          <x:t xml:space="preserve">Calgary SE Ring Road Extension</x:t>
        </x:is>
      </x:c>
      <x:c r="E38" s="2" t="inlineStr">
        <x:is>
          <x:t xml:space="preserve">Calgary SW</x:t>
        </x:is>
      </x:c>
      <x:c r="F38" s="2" t="inlineStr">
        <x:is>
          <x:t xml:space="preserve">Priya Sharma</x:t>
        </x:is>
      </x:c>
      <x:c r="G38" s="2" t="inlineStr">
        <x:is>
          <x:t xml:space="preserve">Finishing</x:t>
        </x:is>
      </x:c>
      <x:c r="H38" s="2" t="inlineStr">
        <x:is>
          <x:t xml:space="preserve">Acoustic Ceiling Grid</x:t>
        </x:is>
      </x:c>
      <x:c r="I38" s="2" t="inlineStr">
        <x:is>
          <x:t xml:space="preserve">Tremco Roofing</x:t>
        </x:is>
      </x:c>
      <x:c r="J38" s="2" t="inlineStr">
        <x:is>
          <x:t xml:space="preserve">Emergency Procurement</x:t>
        </x:is>
      </x:c>
      <x:c r="K38" s="3" t="n">
        <x:v>44</x:v>
      </x:c>
      <x:c r="L38" s="2" t="inlineStr">
        <x:is>
          <x:t xml:space="preserve">m²</x:t>
        </x:is>
      </x:c>
      <x:c r="M38" s="4" t="n">
        <x:v>313.86</x:v>
      </x:c>
      <x:c r="N38" s="4" t="n">
        <x:v>329.89</x:v>
      </x:c>
      <x:c r="O38" s="4" t="n">
        <x:v>13809.84</x:v>
      </x:c>
      <x:c r="P38" s="4" t="n">
        <x:v>14515.16</x:v>
      </x:c>
      <x:c r="Q38" s="4" t="n">
        <x:v>-705.3200000000001</x:v>
      </x:c>
      <x:c r="R38" s="5" t="n">
        <x:v>-4.9</x:v>
      </x:c>
      <x:c r="S38" s="3" t="n">
        <x:v>28</x:v>
      </x:c>
      <x:c r="T38" s="2" t="inlineStr">
        <x:is>
          <x:t xml:space="preserve">Yes</x:t>
        </x:is>
      </x:c>
      <x:c r="U38" s="2" t="inlineStr">
        <x:is>
          <x:t xml:space="preserve">Partially Delivered</x:t>
        </x:is>
      </x:c>
    </x:row>
    <x:row r="39">
      <x:c r="A39" s="6" t="inlineStr">
        <x:is>
          <x:t xml:space="preserve">PO-2025-0038</x:t>
        </x:is>
      </x:c>
      <x:c r="B39" s="6" t="inlineStr">
        <x:is>
          <x:t xml:space="preserve">24/02/2025</x:t>
        </x:is>
      </x:c>
      <x:c r="C39" s="6" t="inlineStr">
        <x:is>
          <x:t xml:space="preserve">February</x:t>
        </x:is>
      </x:c>
      <x:c r="D39" s="6" t="inlineStr">
        <x:is>
          <x:t xml:space="preserve">Bow River Crossing Overpass</x:t>
        </x:is>
      </x:c>
      <x:c r="E39" s="6" t="inlineStr">
        <x:is>
          <x:t xml:space="preserve">Calgary NE</x:t>
        </x:is>
      </x:c>
      <x:c r="F39" s="6" t="inlineStr">
        <x:is>
          <x:t xml:space="preserve">James Okafor</x:t>
        </x:is>
      </x:c>
      <x:c r="G39" s="6" t="inlineStr">
        <x:is>
          <x:t xml:space="preserve">Finishing</x:t>
        </x:is>
      </x:c>
      <x:c r="H39" s="6" t="inlineStr">
        <x:is>
          <x:t xml:space="preserve">Waterproofing Membrane</x:t>
        </x:is>
      </x:c>
      <x:c r="I39" s="6" t="inlineStr">
        <x:is>
          <x:t xml:space="preserve">Dryvit Systems Canada</x:t>
        </x:is>
      </x:c>
      <x:c r="J39" s="6" t="inlineStr">
        <x:is>
          <x:t xml:space="preserve">3-Quote Comparison</x:t>
        </x:is>
      </x:c>
      <x:c r="K39" s="7" t="n">
        <x:v>27</x:v>
      </x:c>
      <x:c r="L39" s="6" t="inlineStr">
        <x:is>
          <x:t xml:space="preserve">m²</x:t>
        </x:is>
      </x:c>
      <x:c r="M39" s="8" t="n">
        <x:v>133.81</x:v>
      </x:c>
      <x:c r="N39" s="8" t="n">
        <x:v>123.85</x:v>
      </x:c>
      <x:c r="O39" s="8" t="n">
        <x:v>3612.87</x:v>
      </x:c>
      <x:c r="P39" s="8" t="n">
        <x:v>3343.95</x:v>
      </x:c>
      <x:c r="Q39" s="8" t="n">
        <x:v>268.92</x:v>
      </x:c>
      <x:c r="R39" s="9" t="n">
        <x:v>8</x:v>
      </x:c>
      <x:c r="S39" s="7" t="n">
        <x:v>24</x:v>
      </x:c>
      <x:c r="T39" s="6" t="inlineStr">
        <x:is>
          <x:t xml:space="preserve">Yes</x:t>
        </x:is>
      </x:c>
      <x:c r="U39" s="6" t="inlineStr">
        <x:is>
          <x:t xml:space="preserve">Cancelled</x:t>
        </x:is>
      </x:c>
    </x:row>
    <x:row r="40">
      <x:c r="A40" s="2" t="inlineStr">
        <x:is>
          <x:t xml:space="preserve">PO-2025-0039</x:t>
        </x:is>
      </x:c>
      <x:c r="B40" s="2" t="inlineStr">
        <x:is>
          <x:t xml:space="preserve">18/02/2025</x:t>
        </x:is>
      </x:c>
      <x:c r="C40" s="2" t="inlineStr">
        <x:is>
          <x:t xml:space="preserve">February</x:t>
        </x:is>
      </x:c>
      <x:c r="D40" s="2" t="inlineStr">
        <x:is>
          <x:t xml:space="preserve">Springbank Off-Stream Reservoir</x:t>
        </x:is>
      </x:c>
      <x:c r="E40" s="2" t="inlineStr">
        <x:is>
          <x:t xml:space="preserve">Calgary NE</x:t>
        </x:is>
      </x:c>
      <x:c r="F40" s="2" t="inlineStr">
        <x:is>
          <x:t xml:space="preserve">Priya Sharma</x:t>
        </x:is>
      </x:c>
      <x:c r="G40" s="2" t="inlineStr">
        <x:is>
          <x:t xml:space="preserve">MEP - Mechanical</x:t>
        </x:is>
      </x:c>
      <x:c r="H40" s="2" t="inlineStr">
        <x:is>
          <x:t xml:space="preserve">Heat Pump Assembly</x:t>
        </x:is>
      </x:c>
      <x:c r="I40" s="2" t="inlineStr">
        <x:is>
          <x:t xml:space="preserve">Johnson Controls Alberta</x:t>
        </x:is>
      </x:c>
      <x:c r="J40" s="2" t="inlineStr">
        <x:is>
          <x:t xml:space="preserve">Tender – Open</x:t>
        </x:is>
      </x:c>
      <x:c r="K40" s="3" t="n">
        <x:v>55</x:v>
      </x:c>
      <x:c r="L40" s="2" t="inlineStr">
        <x:is>
          <x:t xml:space="preserve">lot</x:t>
        </x:is>
      </x:c>
      <x:c r="M40" s="4" t="n">
        <x:v>41656.8</x:v>
      </x:c>
      <x:c r="N40" s="4" t="n">
        <x:v>43981.63</x:v>
      </x:c>
      <x:c r="O40" s="4" t="n">
        <x:v>2291124</x:v>
      </x:c>
      <x:c r="P40" s="4" t="n">
        <x:v>2418989.65</x:v>
      </x:c>
      <x:c r="Q40" s="4" t="n">
        <x:v>-127865.65</x:v>
      </x:c>
      <x:c r="R40" s="5" t="n">
        <x:v>-5.3</x:v>
      </x:c>
      <x:c r="S40" s="3" t="n">
        <x:v>59</x:v>
      </x:c>
      <x:c r="T40" s="2" t="inlineStr">
        <x:is>
          <x:t xml:space="preserve">No</x:t>
        </x:is>
      </x:c>
      <x:c r="U40" s="2" t="inlineStr">
        <x:is>
          <x:t xml:space="preserve">Delivered</x:t>
        </x:is>
      </x:c>
    </x:row>
    <x:row r="41">
      <x:c r="A41" s="6" t="inlineStr">
        <x:is>
          <x:t xml:space="preserve">PO-2025-0040</x:t>
        </x:is>
      </x:c>
      <x:c r="B41" s="6" t="inlineStr">
        <x:is>
          <x:t xml:space="preserve">07/01/2025</x:t>
        </x:is>
      </x:c>
      <x:c r="C41" s="6" t="inlineStr">
        <x:is>
          <x:t xml:space="preserve">January</x:t>
        </x:is>
      </x:c>
      <x:c r="D41" s="6" t="inlineStr">
        <x:is>
          <x:t xml:space="preserve">Bow River Crossing Overpass</x:t>
        </x:is>
      </x:c>
      <x:c r="E41" s="6" t="inlineStr">
        <x:is>
          <x:t xml:space="preserve">Calgary SW</x:t>
        </x:is>
      </x:c>
      <x:c r="F41" s="6" t="inlineStr">
        <x:is>
          <x:t xml:space="preserve">Linda Tran</x:t>
        </x:is>
      </x:c>
      <x:c r="G41" s="6" t="inlineStr">
        <x:is>
          <x:t xml:space="preserve">MEP - Mechanical</x:t>
        </x:is>
      </x:c>
      <x:c r="H41" s="6" t="inlineStr">
        <x:is>
          <x:t xml:space="preserve">Heat Pump Assembly</x:t>
        </x:is>
      </x:c>
      <x:c r="I41" s="6" t="inlineStr">
        <x:is>
          <x:t xml:space="preserve">Stantec MEP</x:t>
        </x:is>
      </x:c>
      <x:c r="J41" s="6" t="inlineStr">
        <x:is>
          <x:t xml:space="preserve">Tender – Open</x:t>
        </x:is>
      </x:c>
      <x:c r="K41" s="7" t="n">
        <x:v>25</x:v>
      </x:c>
      <x:c r="L41" s="6" t="inlineStr">
        <x:is>
          <x:t xml:space="preserve">lot</x:t>
        </x:is>
      </x:c>
      <x:c r="M41" s="8" t="n">
        <x:v>42990.44</x:v>
      </x:c>
      <x:c r="N41" s="8" t="n">
        <x:v>46853.19</x:v>
      </x:c>
      <x:c r="O41" s="8" t="n">
        <x:v>1074761</x:v>
      </x:c>
      <x:c r="P41" s="8" t="n">
        <x:v>1171329.75</x:v>
      </x:c>
      <x:c r="Q41" s="8" t="n">
        <x:v>-96568.75</x:v>
      </x:c>
      <x:c r="R41" s="9" t="n">
        <x:v>-8.199999999999999</x:v>
      </x:c>
      <x:c r="S41" s="7" t="n">
        <x:v>16</x:v>
      </x:c>
      <x:c r="T41" s="6" t="inlineStr">
        <x:is>
          <x:t xml:space="preserve">Yes</x:t>
        </x:is>
      </x:c>
      <x:c r="U41" s="6" t="inlineStr">
        <x:is>
          <x:t xml:space="preserve">Delivered</x:t>
        </x:is>
      </x:c>
    </x:row>
    <x:row r="42">
      <x:c r="A42" s="2" t="inlineStr">
        <x:is>
          <x:t xml:space="preserve">PO-2025-0041</x:t>
        </x:is>
      </x:c>
      <x:c r="B42" s="2" t="inlineStr">
        <x:is>
          <x:t xml:space="preserve">15/06/2025</x:t>
        </x:is>
      </x:c>
      <x:c r="C42" s="2" t="inlineStr">
        <x:is>
          <x:t xml:space="preserve">June</x:t>
        </x:is>
      </x:c>
      <x:c r="D42" s="2" t="inlineStr">
        <x:is>
          <x:t xml:space="preserve">Calgary SE Ring Road Extension</x:t>
        </x:is>
      </x:c>
      <x:c r="E42" s="2" t="inlineStr">
        <x:is>
          <x:t xml:space="preserve">Rocky View County</x:t>
        </x:is>
      </x:c>
      <x:c r="F42" s="2" t="inlineStr">
        <x:is>
          <x:t xml:space="preserve">Linda Tran</x:t>
        </x:is>
      </x:c>
      <x:c r="G42" s="2" t="inlineStr">
        <x:is>
          <x:t xml:space="preserve">Finishing</x:t>
        </x:is>
      </x:c>
      <x:c r="H42" s="2" t="inlineStr">
        <x:is>
          <x:t xml:space="preserve">Waterproofing Membrane</x:t>
        </x:is>
      </x:c>
      <x:c r="I42" s="2" t="inlineStr">
        <x:is>
          <x:t xml:space="preserve">Armstrong World Industries</x:t>
        </x:is>
      </x:c>
      <x:c r="J42" s="2" t="inlineStr">
        <x:is>
          <x:t xml:space="preserve">Tender – Open</x:t>
        </x:is>
      </x:c>
      <x:c r="K42" s="3" t="n">
        <x:v>15</x:v>
      </x:c>
      <x:c r="L42" s="2" t="inlineStr">
        <x:is>
          <x:t xml:space="preserve">m²</x:t>
        </x:is>
      </x:c>
      <x:c r="M42" s="4" t="n">
        <x:v>171.81</x:v>
      </x:c>
      <x:c r="N42" s="4" t="n">
        <x:v>196.36</x:v>
      </x:c>
      <x:c r="O42" s="4" t="n">
        <x:v>2577.15</x:v>
      </x:c>
      <x:c r="P42" s="4" t="n">
        <x:v>2945.4</x:v>
      </x:c>
      <x:c r="Q42" s="4" t="n">
        <x:v>-368.25</x:v>
      </x:c>
      <x:c r="R42" s="5" t="n">
        <x:v>-12.5</x:v>
      </x:c>
      <x:c r="S42" s="3" t="n">
        <x:v>24</x:v>
      </x:c>
      <x:c r="T42" s="2" t="inlineStr">
        <x:is>
          <x:t xml:space="preserve">Yes</x:t>
        </x:is>
      </x:c>
      <x:c r="U42" s="2" t="inlineStr">
        <x:is>
          <x:t xml:space="preserve">Partially Delivered</x:t>
        </x:is>
      </x:c>
    </x:row>
    <x:row r="43">
      <x:c r="A43" s="6" t="inlineStr">
        <x:is>
          <x:t xml:space="preserve">PO-2025-0042</x:t>
        </x:is>
      </x:c>
      <x:c r="B43" s="6" t="inlineStr">
        <x:is>
          <x:t xml:space="preserve">10/03/2025</x:t>
        </x:is>
      </x:c>
      <x:c r="C43" s="6" t="inlineStr">
        <x:is>
          <x:t xml:space="preserve">March</x:t>
        </x:is>
      </x:c>
      <x:c r="D43" s="6" t="inlineStr">
        <x:is>
          <x:t xml:space="preserve">Rocky View Industrial Logistics Hub</x:t>
        </x:is>
      </x:c>
      <x:c r="E43" s="6" t="inlineStr">
        <x:is>
          <x:t xml:space="preserve">Calgary SE</x:t>
        </x:is>
      </x:c>
      <x:c r="F43" s="6" t="inlineStr">
        <x:is>
          <x:t xml:space="preserve">Sarah Bouchard</x:t>
        </x:is>
      </x:c>
      <x:c r="G43" s="6" t="inlineStr">
        <x:is>
          <x:t xml:space="preserve">Civil Works</x:t>
        </x:is>
      </x:c>
      <x:c r="H43" s="6" t="inlineStr">
        <x:is>
          <x:t xml:space="preserve">Granular Backfill</x:t>
        </x:is>
      </x:c>
      <x:c r="I43" s="6" t="inlineStr">
        <x:is>
          <x:t xml:space="preserve">EllisDon Civil</x:t>
        </x:is>
      </x:c>
      <x:c r="J43" s="6" t="inlineStr">
        <x:is>
          <x:t xml:space="preserve">3-Quote Comparison</x:t>
        </x:is>
      </x:c>
      <x:c r="K43" s="7" t="n">
        <x:v>44</x:v>
      </x:c>
      <x:c r="L43" s="6" t="inlineStr">
        <x:is>
          <x:t xml:space="preserve">m³</x:t>
        </x:is>
      </x:c>
      <x:c r="M43" s="8" t="n">
        <x:v>72.98999999999999</x:v>
      </x:c>
      <x:c r="N43" s="8" t="n">
        <x:v>71.14</x:v>
      </x:c>
      <x:c r="O43" s="8" t="n">
        <x:v>3211.56</x:v>
      </x:c>
      <x:c r="P43" s="8" t="n">
        <x:v>3130.16</x:v>
      </x:c>
      <x:c r="Q43" s="8" t="n">
        <x:v>81.40000000000001</x:v>
      </x:c>
      <x:c r="R43" s="9" t="n">
        <x:v>2.6</x:v>
      </x:c>
      <x:c r="S43" s="7" t="n">
        <x:v>16</x:v>
      </x:c>
      <x:c r="T43" s="6" t="inlineStr">
        <x:is>
          <x:t xml:space="preserve">No</x:t>
        </x:is>
      </x:c>
      <x:c r="U43" s="6" t="inlineStr">
        <x:is>
          <x:t xml:space="preserve">Delivered</x:t>
        </x:is>
      </x:c>
    </x:row>
    <x:row r="44">
      <x:c r="A44" s="2" t="inlineStr">
        <x:is>
          <x:t xml:space="preserve">PO-2025-0043</x:t>
        </x:is>
      </x:c>
      <x:c r="B44" s="2" t="inlineStr">
        <x:is>
          <x:t xml:space="preserve">24/11/2025</x:t>
        </x:is>
      </x:c>
      <x:c r="C44" s="2" t="inlineStr">
        <x:is>
          <x:t xml:space="preserve">November</x:t>
        </x:is>
      </x:c>
      <x:c r="D44" s="2" t="inlineStr">
        <x:is>
          <x:t xml:space="preserve">Springbank Off-Stream Reservoir</x:t>
        </x:is>
      </x:c>
      <x:c r="E44" s="2" t="inlineStr">
        <x:is>
          <x:t xml:space="preserve">Calgary NE</x:t>
        </x:is>
      </x:c>
      <x:c r="F44" s="2" t="inlineStr">
        <x:is>
          <x:t xml:space="preserve">Linda Tran</x:t>
        </x:is>
      </x:c>
      <x:c r="G44" s="2" t="inlineStr">
        <x:is>
          <x:t xml:space="preserve">MEP - Mechanical</x:t>
        </x:is>
      </x:c>
      <x:c r="H44" s="2" t="inlineStr">
        <x:is>
          <x:t xml:space="preserve">Air Handling Unit</x:t>
        </x:is>
      </x:c>
      <x:c r="I44" s="2" t="inlineStr">
        <x:is>
          <x:t xml:space="preserve">PCL Mechanical</x:t>
        </x:is>
      </x:c>
      <x:c r="J44" s="2" t="inlineStr">
        <x:is>
          <x:t xml:space="preserve">3-Quote Comparison</x:t>
        </x:is>
      </x:c>
      <x:c r="K44" s="3" t="n">
        <x:v>73</x:v>
      </x:c>
      <x:c r="L44" s="2" t="inlineStr">
        <x:is>
          <x:t xml:space="preserve">lot</x:t>
        </x:is>
      </x:c>
      <x:c r="M44" s="4" t="n">
        <x:v>66527.91</x:v>
      </x:c>
      <x:c r="N44" s="4" t="n">
        <x:v>61814.1</x:v>
      </x:c>
      <x:c r="O44" s="4" t="n">
        <x:v>4856537.43</x:v>
      </x:c>
      <x:c r="P44" s="4" t="n">
        <x:v>4512429.3</x:v>
      </x:c>
      <x:c r="Q44" s="4" t="n">
        <x:v>344108.13</x:v>
      </x:c>
      <x:c r="R44" s="5" t="n">
        <x:v>7.6</x:v>
      </x:c>
      <x:c r="S44" s="3" t="n">
        <x:v>13</x:v>
      </x:c>
      <x:c r="T44" s="2" t="inlineStr">
        <x:is>
          <x:t xml:space="preserve">Yes</x:t>
        </x:is>
      </x:c>
      <x:c r="U44" s="2" t="inlineStr">
        <x:is>
          <x:t xml:space="preserve">Partially Delivered</x:t>
        </x:is>
      </x:c>
    </x:row>
    <x:row r="45">
      <x:c r="A45" s="6" t="inlineStr">
        <x:is>
          <x:t xml:space="preserve">PO-2025-0044</x:t>
        </x:is>
      </x:c>
      <x:c r="B45" s="6" t="inlineStr">
        <x:is>
          <x:t xml:space="preserve">25/11/2025</x:t>
        </x:is>
      </x:c>
      <x:c r="C45" s="6" t="inlineStr">
        <x:is>
          <x:t xml:space="preserve">November</x:t>
        </x:is>
      </x:c>
      <x:c r="D45" s="6" t="inlineStr">
        <x:is>
          <x:t xml:space="preserve">Foothills Medical Centre Expansion</x:t>
        </x:is>
      </x:c>
      <x:c r="E45" s="6" t="inlineStr">
        <x:is>
          <x:t xml:space="preserve">Calgary NE</x:t>
        </x:is>
      </x:c>
      <x:c r="F45" s="6" t="inlineStr">
        <x:is>
          <x:t xml:space="preserve">Priya Sharma</x:t>
        </x:is>
      </x:c>
      <x:c r="G45" s="6" t="inlineStr">
        <x:is>
          <x:t xml:space="preserve">Civil Works</x:t>
        </x:is>
      </x:c>
      <x:c r="H45" s="6" t="inlineStr">
        <x:is>
          <x:t xml:space="preserve">Storm Drainage Pipe</x:t>
        </x:is>
      </x:c>
      <x:c r="I45" s="6" t="inlineStr">
        <x:is>
          <x:t xml:space="preserve">Ledcor Civil Alberta</x:t>
        </x:is>
      </x:c>
      <x:c r="J45" s="6" t="inlineStr">
        <x:is>
          <x:t xml:space="preserve">Emergency Procurement</x:t>
        </x:is>
      </x:c>
      <x:c r="K45" s="7" t="n">
        <x:v>31</x:v>
      </x:c>
      <x:c r="L45" s="6" t="inlineStr">
        <x:is>
          <x:t xml:space="preserve">m³</x:t>
        </x:is>
      </x:c>
      <x:c r="M45" s="8" t="n">
        <x:v>82.55</x:v>
      </x:c>
      <x:c r="N45" s="8" t="n">
        <x:v>79.04000000000001</x:v>
      </x:c>
      <x:c r="O45" s="8" t="n">
        <x:v>2559.05</x:v>
      </x:c>
      <x:c r="P45" s="8" t="n">
        <x:v>2450.24</x:v>
      </x:c>
      <x:c r="Q45" s="8" t="n">
        <x:v>108.81</x:v>
      </x:c>
      <x:c r="R45" s="9" t="n">
        <x:v>4.4</x:v>
      </x:c>
      <x:c r="S45" s="7" t="n">
        <x:v>55</x:v>
      </x:c>
      <x:c r="T45" s="6" t="inlineStr">
        <x:is>
          <x:t xml:space="preserve">Yes</x:t>
        </x:is>
      </x:c>
      <x:c r="U45" s="6" t="inlineStr">
        <x:is>
          <x:t xml:space="preserve">Delivered</x:t>
        </x:is>
      </x:c>
    </x:row>
    <x:row r="46">
      <x:c r="A46" s="2" t="inlineStr">
        <x:is>
          <x:t xml:space="preserve">PO-2025-0045</x:t>
        </x:is>
      </x:c>
      <x:c r="B46" s="2" t="inlineStr">
        <x:is>
          <x:t xml:space="preserve">28/11/2025</x:t>
        </x:is>
      </x:c>
      <x:c r="C46" s="2" t="inlineStr">
        <x:is>
          <x:t xml:space="preserve">November</x:t>
        </x:is>
      </x:c>
      <x:c r="D46" s="2" t="inlineStr">
        <x:is>
          <x:t xml:space="preserve">University District Residential Phase 3</x:t>
        </x:is>
      </x:c>
      <x:c r="E46" s="2" t="inlineStr">
        <x:is>
          <x:t xml:space="preserve">Calgary NE</x:t>
        </x:is>
      </x:c>
      <x:c r="F46" s="2" t="inlineStr">
        <x:is>
          <x:t xml:space="preserve">Mohammed Siddiqui</x:t>
        </x:is>
      </x:c>
      <x:c r="G46" s="2" t="inlineStr">
        <x:is>
          <x:t xml:space="preserve">Concrete &amp; Structural</x:t>
        </x:is>
      </x:c>
      <x:c r="H46" s="2" t="inlineStr">
        <x:is>
          <x:t xml:space="preserve">Rebar Steel</x:t>
        </x:is>
      </x:c>
      <x:c r="I46" s="2" t="inlineStr">
        <x:is>
          <x:t xml:space="preserve">Alberta Precast</x:t>
        </x:is>
      </x:c>
      <x:c r="J46" s="2" t="inlineStr">
        <x:is>
          <x:t xml:space="preserve">Tender – Open</x:t>
        </x:is>
      </x:c>
      <x:c r="K46" s="3" t="n">
        <x:v>66</x:v>
      </x:c>
      <x:c r="L46" s="2" t="inlineStr">
        <x:is>
          <x:t xml:space="preserve">m³</x:t>
        </x:is>
      </x:c>
      <x:c r="M46" s="4" t="n">
        <x:v>99999</x:v>
      </x:c>
      <x:c r="N46" s="4" t="n">
        <x:v>476.95</x:v>
      </x:c>
      <x:c r="O46" s="4" t="n">
        <x:v>6599934</x:v>
      </x:c>
      <x:c r="P46" s="4" t="n">
        <x:v>31478.7</x:v>
      </x:c>
      <x:c r="Q46" s="4" t="n">
        <x:v>-555.72</x:v>
      </x:c>
      <x:c r="R46" s="5" t="n">
        <x:v>-1.8</x:v>
      </x:c>
      <x:c r="S46" s="3" t="n">
        <x:v>70</x:v>
      </x:c>
      <x:c r="T46" s="2" t="inlineStr">
        <x:is>
          <x:t xml:space="preserve">Yes</x:t>
        </x:is>
      </x:c>
      <x:c r="U46" s="2" t="inlineStr">
        <x:is>
          <x:t xml:space="preserve">Delivered</x:t>
        </x:is>
      </x:c>
    </x:row>
    <x:row r="47">
      <x:c r="A47" s="6" t="inlineStr">
        <x:is>
          <x:t xml:space="preserve">PO-2025-0046</x:t>
        </x:is>
      </x:c>
      <x:c r="B47" s="6" t="inlineStr">
        <x:is>
          <x:t xml:space="preserve">23/11/2025</x:t>
        </x:is>
      </x:c>
      <x:c r="C47" s="6" t="inlineStr">
        <x:is>
          <x:t xml:space="preserve">November</x:t>
        </x:is>
      </x:c>
      <x:c r="D47" s="6" t="inlineStr">
        <x:is>
          <x:t xml:space="preserve">Stampede Park Infrastructure Upgrade</x:t>
        </x:is>
      </x:c>
      <x:c r="E47" s="6" t="inlineStr">
        <x:is>
          <x:t xml:space="preserve">Calgary NE</x:t>
        </x:is>
      </x:c>
      <x:c r="F47" s="6" t="inlineStr">
        <x:is>
          <x:t xml:space="preserve">Derek McLean</x:t>
        </x:is>
      </x:c>
      <x:c r="G47" s="6" t="inlineStr">
        <x:is>
          <x:t xml:space="preserve">Finishing</x:t>
        </x:is>
      </x:c>
      <x:c r="H47" s="6" t="inlineStr">
        <x:is>
          <x:t xml:space="preserve">Waterproofing Membrane</x:t>
        </x:is>
      </x:c>
      <x:c r="I47" s="6" t="inlineStr">
        <x:is>
          <x:t xml:space="preserve">Centura Tile Calgary</x:t>
        </x:is>
      </x:c>
      <x:c r="J47" s="6" t="inlineStr">
        <x:is>
          <x:t xml:space="preserve">3-Quote Comparison</x:t>
        </x:is>
      </x:c>
      <x:c r="K47" s="7" t="n">
        <x:v>22</x:v>
      </x:c>
      <x:c r="L47" s="6" t="inlineStr">
        <x:is>
          <x:t xml:space="preserve">m²</x:t>
        </x:is>
      </x:c>
      <x:c r="M47" s="8" t="n">
        <x:v>214.36</x:v>
      </x:c>
      <x:c r="N47" s="8" t="n">
        <x:v>254.05</x:v>
      </x:c>
      <x:c r="O47" s="8" t="n">
        <x:v>4715.92</x:v>
      </x:c>
      <x:c r="P47" s="8" t="n">
        <x:v>5589.1</x:v>
      </x:c>
      <x:c r="Q47" s="8" t="n">
        <x:v>-873.1799999999999</x:v>
      </x:c>
      <x:c r="R47" s="9" t="n">
        <x:v>-15.6</x:v>
      </x:c>
      <x:c r="S47" s="7" t="n">
        <x:v>73</x:v>
      </x:c>
      <x:c r="T47" s="6" t="inlineStr">
        <x:is>
          <x:t xml:space="preserve">Yes</x:t>
        </x:is>
      </x:c>
      <x:c r="U47" s="6" t="inlineStr">
        <x:is>
          <x:t xml:space="preserve">Delivered</x:t>
        </x:is>
      </x:c>
    </x:row>
    <x:row r="48">
      <x:c r="A48" s="2" t="inlineStr">
        <x:is>
          <x:t xml:space="preserve">PO-2025-0047</x:t>
        </x:is>
      </x:c>
      <x:c r="B48" s="2" t="inlineStr">
        <x:is>
          <x:t xml:space="preserve">08/08/2025</x:t>
        </x:is>
      </x:c>
      <x:c r="C48" s="2" t="inlineStr">
        <x:is>
          <x:t xml:space="preserve">August</x:t>
        </x:is>
      </x:c>
      <x:c r="D48" s="2" t="inlineStr">
        <x:is>
          <x:t xml:space="preserve">Stampede Park Infrastructure Upgrade</x:t>
        </x:is>
      </x:c>
      <x:c r="E48" s="2" t="inlineStr">
        <x:is>
          <x:t xml:space="preserve">Rocky View County</x:t>
        </x:is>
      </x:c>
      <x:c r="F48" s="2" t="inlineStr">
        <x:is>
          <x:t xml:space="preserve">Mohammed Siddiqui</x:t>
        </x:is>
      </x:c>
      <x:c r="G48" s="2" t="inlineStr">
        <x:is>
          <x:t xml:space="preserve">MEP - Electrical</x:t>
        </x:is>
      </x:c>
      <x:c r="H48" s="2" t="inlineStr">
        <x:is>
          <x:t xml:space="preserve">Standby Generator</x:t>
        </x:is>
      </x:c>
      <x:c r="I48" s="2" t="inlineStr">
        <x:is>
          <x:t xml:space="preserve">Flint Energy Services</x:t>
        </x:is>
      </x:c>
      <x:c r="J48" s="2" t="inlineStr">
        <x:is>
          <x:t xml:space="preserve">Tender – Open</x:t>
        </x:is>
      </x:c>
      <x:c r="K48" s="3" t="n">
        <x:v>62</x:v>
      </x:c>
      <x:c r="L48" s="2" t="inlineStr">
        <x:is>
          <x:t xml:space="preserve">lot</x:t>
        </x:is>
      </x:c>
      <x:c r="M48" s="4" t="n">
        <x:v>49051.58</x:v>
      </x:c>
      <x:c r="N48" s="4" t="n">
        <x:v>54395.38</x:v>
      </x:c>
      <x:c r="O48" s="4" t="n">
        <x:v>3041197.96</x:v>
      </x:c>
      <x:c r="P48" s="4" t="n">
        <x:v>3372513.56</x:v>
      </x:c>
      <x:c r="Q48" s="4" t="n">
        <x:v>-331315.6</x:v>
      </x:c>
      <x:c r="R48" s="5" t="n">
        <x:v>-9.800000000000001</x:v>
      </x:c>
      <x:c r="S48" s="3" t="n">
        <x:v>75</x:v>
      </x:c>
      <x:c r="T48" s="2" t="inlineStr">
        <x:is>
          <x:t xml:space="preserve">Yes</x:t>
        </x:is>
      </x:c>
      <x:c r="U48" s="2" t="inlineStr">
        <x:is>
          <x:t xml:space="preserve">Cancelled</x:t>
        </x:is>
      </x:c>
    </x:row>
    <x:row r="49">
      <x:c r="A49" s="6" t="inlineStr">
        <x:is>
          <x:t xml:space="preserve">PO-2025-0048</x:t>
        </x:is>
      </x:c>
      <x:c r="B49" s="6" t="inlineStr">
        <x:is>
          <x:t xml:space="preserve">01/06/2025</x:t>
        </x:is>
      </x:c>
      <x:c r="C49" s="6" t="inlineStr">
        <x:is>
          <x:t xml:space="preserve">June</x:t>
        </x:is>
      </x:c>
      <x:c r="D49" s="6" t="inlineStr">
        <x:is>
          <x:t xml:space="preserve">Bow River Crossing Overpass</x:t>
        </x:is>
      </x:c>
      <x:c r="E49" s="6" t="inlineStr">
        <x:is>
          <x:t xml:space="preserve">Calgary NE</x:t>
        </x:is>
      </x:c>
      <x:c r="F49" s="6" t="inlineStr">
        <x:is>
          <x:t xml:space="preserve">James Okafor</x:t>
        </x:is>
      </x:c>
      <x:c r="G49" s="6" t="inlineStr">
        <x:is>
          <x:t xml:space="preserve">MEP - Mechanical</x:t>
        </x:is>
      </x:c>
      <x:c r="H49" s="6" t="inlineStr">
        <x:is>
          <x:t xml:space="preserve">Insulated Pipework</x:t>
        </x:is>
      </x:c>
      <x:c r="I49" s="6" t="inlineStr">
        <x:is>
          <x:t xml:space="preserve">Johnson Controls Alberta</x:t>
        </x:is>
      </x:c>
      <x:c r="J49" s="6" t="inlineStr">
        <x:is>
          <x:t xml:space="preserve">Standing Offer Agreement</x:t>
        </x:is>
      </x:c>
      <x:c r="K49" s="7" t="n">
        <x:v>50</x:v>
      </x:c>
      <x:c r="L49" s="6" t="inlineStr">
        <x:is>
          <x:t xml:space="preserve">lot</x:t>
        </x:is>
      </x:c>
      <x:c r="M49" s="8" t="n">
        <x:v>75304.62</x:v>
      </x:c>
      <x:c r="N49" s="8" t="n">
        <x:v>66272.64</x:v>
      </x:c>
      <x:c r="O49" s="8" t="n">
        <x:v>3765231</x:v>
      </x:c>
      <x:c r="P49" s="8" t="n">
        <x:v>3313632</x:v>
      </x:c>
      <x:c r="Q49" s="8" t="n">
        <x:v>451599</x:v>
      </x:c>
      <x:c r="R49" s="9" t="n">
        <x:v>13.6</x:v>
      </x:c>
      <x:c r="S49" s="7" t="n">
        <x:v>44</x:v>
      </x:c>
      <x:c r="T49" s="6" t="inlineStr">
        <x:is>
          <x:t xml:space="preserve">Yes</x:t>
        </x:is>
      </x:c>
      <x:c r="U49" s="6" t="inlineStr">
        <x:is>
          <x:t xml:space="preserve">Delivered</x:t>
        </x:is>
      </x:c>
    </x:row>
    <x:row r="50">
      <x:c r="A50" s="2" t="inlineStr">
        <x:is>
          <x:t xml:space="preserve">PO-2025-0049</x:t>
        </x:is>
      </x:c>
      <x:c r="B50" s="2" t="inlineStr">
        <x:is>
          <x:t xml:space="preserve">25/10/2025</x:t>
        </x:is>
      </x:c>
      <x:c r="C50" s="2" t="inlineStr">
        <x:is>
          <x:t xml:space="preserve">October</x:t>
        </x:is>
      </x:c>
      <x:c r="D50" s="2" t="inlineStr">
        <x:is>
          <x:t xml:space="preserve">Rocky View Industrial Logistics Hub</x:t>
        </x:is>
      </x:c>
      <x:c r="E50" s="2" t="inlineStr">
        <x:is>
          <x:t xml:space="preserve">Calgary NE</x:t>
        </x:is>
      </x:c>
      <x:c r="F50" s="2" t="inlineStr">
        <x:is>
          <x:t xml:space="preserve">Mohammed Siddiqui</x:t>
        </x:is>
      </x:c>
      <x:c r="G50" s="2" t="inlineStr">
        <x:is>
          <x:t xml:space="preserve">MEP - Mechanical</x:t>
        </x:is>
      </x:c>
      <x:c r="H50" s="2" t="inlineStr">
        <x:is>
          <x:t xml:space="preserve">Heat Pump Assembly</x:t>
        </x:is>
      </x:c>
      <x:c r="I50" s="2" t="inlineStr">
        <x:is>
          <x:t xml:space="preserve">Stantec MEP</x:t>
        </x:is>
      </x:c>
      <x:c r="J50" s="2" t="inlineStr">
        <x:is>
          <x:t xml:space="preserve">3-Quote Comparison</x:t>
        </x:is>
      </x:c>
      <x:c r="K50" s="3" t="n">
        <x:v>13</x:v>
      </x:c>
      <x:c r="L50" s="2" t="inlineStr">
        <x:is>
          <x:t xml:space="preserve">lot</x:t>
        </x:is>
      </x:c>
      <x:c r="M50" s="4" t="n">
        <x:v>9702.639999999999</x:v>
      </x:c>
      <x:c r="N50" s="4" t="n">
        <x:v>11799.99</x:v>
      </x:c>
      <x:c r="O50" s="4" t="n">
        <x:v>126134.32</x:v>
      </x:c>
      <x:c r="P50" s="4" t="n">
        <x:v>153399.87</x:v>
      </x:c>
      <x:c r="Q50" s="4" t="n">
        <x:v>-27265.55</x:v>
      </x:c>
      <x:c r="R50" s="5" t="n">
        <x:v>-17.8</x:v>
      </x:c>
      <x:c r="S50" s="3" t="n">
        <x:v>63</x:v>
      </x:c>
      <x:c r="T50" s="2" t="inlineStr">
        <x:is>
          <x:t xml:space="preserve">No</x:t>
        </x:is>
      </x:c>
      <x:c r="U50" s="2" t="inlineStr">
        <x:is>
          <x:t xml:space="preserve">Delivered</x:t>
        </x:is>
      </x:c>
    </x:row>
    <x:row r="51">
      <x:c r="A51" s="6" t="inlineStr">
        <x:is>
          <x:t xml:space="preserve">PO-2025-0050</x:t>
        </x:is>
      </x:c>
      <x:c r="B51" s="6" t="inlineStr">
        <x:is>
          <x:t xml:space="preserve">06/11/2025</x:t>
        </x:is>
      </x:c>
      <x:c r="C51" s="6" t="inlineStr">
        <x:is>
          <x:t xml:space="preserve">November</x:t>
        </x:is>
      </x:c>
      <x:c r="D51" s="6" t="inlineStr">
        <x:is>
          <x:t xml:space="preserve">Calgary SE Ring Road Extension</x:t>
        </x:is>
      </x:c>
      <x:c r="E51" s="6" t="inlineStr">
        <x:is>
          <x:t xml:space="preserve">Calgary NE</x:t>
        </x:is>
      </x:c>
      <x:c r="F51" s="6" t="inlineStr">
        <x:is>
          <x:t xml:space="preserve">Priya Sharma</x:t>
        </x:is>
      </x:c>
      <x:c r="G51" s="6" t="inlineStr">
        <x:is>
          <x:t xml:space="preserve">Finishing</x:t>
        </x:is>
      </x:c>
      <x:c r="H51" s="6" t="inlineStr">
        <x:is>
          <x:t xml:space="preserve">Exterior Cladding Panel</x:t>
        </x:is>
      </x:c>
      <x:c r="I51" s="6" t="inlineStr">
        <x:is>
          <x:t xml:space="preserve">Dryvit Systems Canada</x:t>
        </x:is>
      </x:c>
      <x:c r="J51" s="6" t="inlineStr">
        <x:is>
          <x:t xml:space="preserve">3-Quote Comparison</x:t>
        </x:is>
      </x:c>
      <x:c r="K51" s="7" t="n">
        <x:v>46</x:v>
      </x:c>
      <x:c r="L51" s="6" t="inlineStr">
        <x:is>
          <x:t xml:space="preserve">m²</x:t>
        </x:is>
      </x:c>
      <x:c r="M51" s="8" t="n">
        <x:v>404.45</x:v>
      </x:c>
      <x:c r="N51" s="8" t="n">
        <x:v>428.99</x:v>
      </x:c>
      <x:c r="O51" s="8" t="n">
        <x:v>18604.7</x:v>
      </x:c>
      <x:c r="P51" s="8" t="n">
        <x:v>19733.54</x:v>
      </x:c>
      <x:c r="Q51" s="8" t="n">
        <x:v>-1128.84</x:v>
      </x:c>
      <x:c r="R51" s="9" t="n">
        <x:v>-5.7</x:v>
      </x:c>
      <x:c r="S51" s="7" t="n">
        <x:v>19</x:v>
      </x:c>
      <x:c r="T51" s="6" t="inlineStr">
        <x:is>
          <x:t xml:space="preserve">Yes</x:t>
        </x:is>
      </x:c>
      <x:c r="U51" s="6" t="inlineStr">
        <x:is>
          <x:t xml:space="preserve">Delivered</x:t>
        </x:is>
      </x:c>
    </x:row>
    <x:row r="52">
      <x:c r="A52" s="2" t="inlineStr">
        <x:is>
          <x:t xml:space="preserve">PO-2025-0051</x:t>
        </x:is>
      </x:c>
      <x:c r="B52" s="2" t="inlineStr">
        <x:is>
          <x:t xml:space="preserve">02/08/2025</x:t>
        </x:is>
      </x:c>
      <x:c r="C52" s="2" t="inlineStr">
        <x:is>
          <x:t xml:space="preserve">August</x:t>
        </x:is>
      </x:c>
      <x:c r="D52" s="2" t="inlineStr">
        <x:is>
          <x:t xml:space="preserve">Stampede Park Infrastructure Upgrade</x:t>
        </x:is>
      </x:c>
      <x:c r="E52" s="2" t="inlineStr">
        <x:is>
          <x:t xml:space="preserve">Calgary SE</x:t>
        </x:is>
      </x:c>
      <x:c r="F52" s="2" t="inlineStr">
        <x:is>
          <x:t xml:space="preserve">Linda Tran</x:t>
        </x:is>
      </x:c>
      <x:c r="G52" s="2" t="inlineStr">
        <x:is>
          <x:t xml:space="preserve">Safety &amp; Temp Works</x:t>
        </x:is>
      </x:c>
      <x:c r="H52" s="2" t="inlineStr">
        <x:is>
          <x:t xml:space="preserve">Site Office Trailer</x:t>
        </x:is>
      </x:c>
      <x:c r="I52" s="2" t="inlineStr">
        <x:is>
          <x:t xml:space="preserve">Sunbelt Rentals Canada</x:t>
        </x:is>
      </x:c>
      <x:c r="J52" s="2" t="inlineStr">
        <x:is>
          <x:t xml:space="preserve">Emergency Procurement</x:t>
        </x:is>
      </x:c>
      <x:c r="K52" s="3" t="n">
        <x:v>18</x:v>
      </x:c>
      <x:c r="L52" s="2" t="inlineStr">
        <x:is>
          <x:t xml:space="preserve">lot</x:t>
        </x:is>
      </x:c>
      <x:c r="M52" s="4" t="n">
        <x:v>16469.02</x:v>
      </x:c>
      <x:c r="N52" s="4" t="n">
        <x:v>20125.16</x:v>
      </x:c>
      <x:c r="O52" s="4" t="n">
        <x:v>296442.36</x:v>
      </x:c>
      <x:c r="P52" s="4" t="n">
        <x:v>362252.88</x:v>
      </x:c>
      <x:c r="Q52" s="4" t="n">
        <x:v>-65810.52</x:v>
      </x:c>
      <x:c r="R52" s="5" t="n">
        <x:v>-18.2</x:v>
      </x:c>
      <x:c r="S52" s="3" t="n">
        <x:v>20</x:v>
      </x:c>
      <x:c r="T52" s="2" t="inlineStr">
        <x:is>
          <x:t xml:space="preserve">No</x:t>
        </x:is>
      </x:c>
      <x:c r="U52" s="2" t="inlineStr">
        <x:is>
          <x:t xml:space="preserve">Delivered</x:t>
        </x:is>
      </x:c>
    </x:row>
    <x:row r="53">
      <x:c r="A53" s="6" t="inlineStr">
        <x:is>
          <x:t xml:space="preserve">PO-2025-0052</x:t>
        </x:is>
      </x:c>
      <x:c r="B53" s="6" t="inlineStr">
        <x:is>
          <x:t xml:space="preserve">15/09/2025</x:t>
        </x:is>
      </x:c>
      <x:c r="C53" s="6" t="inlineStr">
        <x:is>
          <x:t xml:space="preserve">September</x:t>
        </x:is>
      </x:c>
      <x:c r="D53" s="6" t="inlineStr">
        <x:is>
          <x:t xml:space="preserve">Quarry Park Mixed-Use Development</x:t>
        </x:is>
      </x:c>
      <x:c r="E53" s="6" t="inlineStr">
        <x:is>
          <x:t xml:space="preserve">Calgary SE</x:t>
        </x:is>
      </x:c>
      <x:c r="F53" s="6" t="inlineStr">
        <x:is>
          <x:t xml:space="preserve">Mohammed Siddiqui</x:t>
        </x:is>
      </x:c>
      <x:c r="G53" s="6" t="inlineStr">
        <x:is>
          <x:t xml:space="preserve">MEP - Electrical</x:t>
        </x:is>
      </x:c>
      <x:c r="H53" s="6" t="inlineStr">
        <x:is>
          <x:t xml:space="preserve">LED Site Lighting</x:t>
        </x:is>
      </x:c>
      <x:c r="I53" s="6" t="inlineStr">
        <x:is>
          <x:t xml:space="preserve">Houle Electric</x:t>
        </x:is>
      </x:c>
      <x:c r="J53" s="6" t="inlineStr">
        <x:is>
          <x:t xml:space="preserve">3-Quote Comparison</x:t>
        </x:is>
      </x:c>
      <x:c r="K53" s="7" t="n">
        <x:v>32</x:v>
      </x:c>
      <x:c r="L53" s="6" t="inlineStr">
        <x:is>
          <x:t xml:space="preserve">lot</x:t>
        </x:is>
      </x:c>
      <x:c r="M53" s="8" t="n">
        <x:v>19351.91</x:v>
      </x:c>
      <x:c r="N53" s="8" t="n">
        <x:v>20335.31</x:v>
      </x:c>
      <x:c r="O53" s="8" t="n">
        <x:v>619261.12</x:v>
      </x:c>
      <x:c r="P53" s="8" t="n">
        <x:v>650729.92</x:v>
      </x:c>
      <x:c r="Q53" s="8" t="n">
        <x:v>-31468.8</x:v>
      </x:c>
      <x:c r="R53" s="9" t="n">
        <x:v>-4.8</x:v>
      </x:c>
      <x:c r="S53" s="7" t="n">
        <x:v>29</x:v>
      </x:c>
      <x:c r="T53" s="6" t="inlineStr">
        <x:is>
          <x:t xml:space="preserve">Yes</x:t>
        </x:is>
      </x:c>
      <x:c r="U53" s="6" t="inlineStr">
        <x:is>
          <x:t xml:space="preserve">Delivered</x:t>
        </x:is>
      </x:c>
    </x:row>
    <x:row r="54">
      <x:c r="A54" s="2" t="inlineStr">
        <x:is>
          <x:t xml:space="preserve">PO-2025-0053</x:t>
        </x:is>
      </x:c>
      <x:c r="B54" s="2" t="inlineStr">
        <x:is>
          <x:t xml:space="preserve">18/11/2025</x:t>
        </x:is>
      </x:c>
      <x:c r="C54" s="2" t="inlineStr">
        <x:is>
          <x:t xml:space="preserve">November</x:t>
        </x:is>
      </x:c>
      <x:c r="D54" s="2" t="inlineStr">
        <x:is>
          <x:t xml:space="preserve">Bow River Crossing Overpass</x:t>
        </x:is>
      </x:c>
      <x:c r="E54" s="2" t="inlineStr">
        <x:is>
          <x:t xml:space="preserve">Calgary NE</x:t>
        </x:is>
      </x:c>
      <x:c r="F54" s="2" t="inlineStr">
        <x:is>
          <x:t xml:space="preserve">Liam Kowalski</x:t>
        </x:is>
      </x:c>
      <x:c r="G54" s="2" t="inlineStr">
        <x:is>
          <x:t xml:space="preserve">MEP - Electrical</x:t>
        </x:is>
      </x:c>
      <x:c r="H54" s="2" t="inlineStr">
        <x:is>
          <x:t xml:space="preserve">LED Site Lighting</x:t>
        </x:is>
      </x:c>
      <x:c r="I54" s="2" t="inlineStr">
        <x:is>
          <x:t xml:space="preserve">Flint Energy Services</x:t>
        </x:is>
      </x:c>
      <x:c r="J54" s="2" t="inlineStr">
        <x:is>
          <x:t xml:space="preserve">Emergency Procurement</x:t>
        </x:is>
      </x:c>
      <x:c r="K54" s="3" t="n">
        <x:v>29</x:v>
      </x:c>
      <x:c r="L54" s="2" t="inlineStr">
        <x:is>
          <x:t xml:space="preserve">lot</x:t>
        </x:is>
      </x:c>
      <x:c r="M54" s="4" t="n">
        <x:v>6117.54</x:v>
      </x:c>
      <x:c r="N54" s="4" t="n">
        <x:v>6520.24</x:v>
      </x:c>
      <x:c r="O54" s="4" t="n">
        <x:v>177408.66</x:v>
      </x:c>
      <x:c r="P54" s="4" t="n">
        <x:v>189086.96</x:v>
      </x:c>
      <x:c r="Q54" s="4" t="n">
        <x:v>-11678.3</x:v>
      </x:c>
      <x:c r="R54" s="5" t="n">
        <x:v>-6.2</x:v>
      </x:c>
      <x:c r="S54" s="3" t="n">
        <x:v>13</x:v>
      </x:c>
      <x:c r="T54" s="2" t="inlineStr">
        <x:is>
          <x:t xml:space="preserve">Yes</x:t>
        </x:is>
      </x:c>
      <x:c r="U54" s="2" t="inlineStr">
        <x:is>
          <x:t xml:space="preserve">Cancelled</x:t>
        </x:is>
      </x:c>
    </x:row>
    <x:row r="55">
      <x:c r="A55" s="6" t="inlineStr">
        <x:is>
          <x:t xml:space="preserve">PO-2025-0054</x:t>
        </x:is>
      </x:c>
      <x:c r="B55" s="6" t="inlineStr">
        <x:is>
          <x:t xml:space="preserve">24/03/2025</x:t>
        </x:is>
      </x:c>
      <x:c r="C55" s="6" t="inlineStr">
        <x:is>
          <x:t xml:space="preserve">March</x:t>
        </x:is>
      </x:c>
      <x:c r="D55" s="6" t="inlineStr">
        <x:is>
          <x:t xml:space="preserve">Deerfoot Trail Widening - North</x:t>
        </x:is>
      </x:c>
      <x:c r="E55" s="6" t="inlineStr">
        <x:is>
          <x:t xml:space="preserve">Calgary SW</x:t>
        </x:is>
      </x:c>
      <x:c r="F55" s="6" t="inlineStr">
        <x:is>
          <x:t xml:space="preserve">Aisha Nkosi</x:t>
        </x:is>
      </x:c>
      <x:c r="G55" s="6" t="inlineStr">
        <x:is>
          <x:t xml:space="preserve">Safety &amp; Temp Works</x:t>
        </x:is>
      </x:c>
      <x:c r="H55" s="6" t="inlineStr">
        <x:is>
          <x:t xml:space="preserve">Fall Protection Netting</x:t>
        </x:is>
      </x:c>
      <x:c r="I55" s="6" t="inlineStr">
        <x:is>
          <x:t xml:space="preserve">Sunbelt Rentals Canada</x:t>
        </x:is>
      </x:c>
      <x:c r="J55" s="6" t="inlineStr">
        <x:is>
          <x:t xml:space="preserve">Tender – Open</x:t>
        </x:is>
      </x:c>
      <x:c r="K55" s="7" t="n">
        <x:v>44</x:v>
      </x:c>
      <x:c r="L55" s="6" t="inlineStr">
        <x:is>
          <x:t xml:space="preserve">lot</x:t>
        </x:is>
      </x:c>
      <x:c r="M55" s="8" t="n">
        <x:v>4923.08</x:v>
      </x:c>
      <x:c r="N55" s="8" t="n">
        <x:v>5158.77</x:v>
      </x:c>
      <x:c r="O55" s="8" t="n">
        <x:v>216615.52</x:v>
      </x:c>
      <x:c r="P55" s="8" t="n">
        <x:v>226985.88</x:v>
      </x:c>
      <x:c r="Q55" s="8" t="n">
        <x:v>-10370.36</x:v>
      </x:c>
      <x:c r="R55" s="9" t="n">
        <x:v>-4.6</x:v>
      </x:c>
      <x:c r="S55" s="7" t="n">
        <x:v>21</x:v>
      </x:c>
      <x:c r="T55" s="6" t="inlineStr">
        <x:is>
          <x:t xml:space="preserve">Yes</x:t>
        </x:is>
      </x:c>
      <x:c r="U55" s="6" t="inlineStr">
        <x:is>
          <x:t xml:space="preserve">Delivered</x:t>
        </x:is>
      </x:c>
    </x:row>
    <x:row r="56">
      <x:c r="A56" s="2" t="inlineStr">
        <x:is>
          <x:t xml:space="preserve">PO-2025-0055</x:t>
        </x:is>
      </x:c>
      <x:c r="B56" s="2" t="inlineStr">
        <x:is>
          <x:t xml:space="preserve">03/03/2025</x:t>
        </x:is>
      </x:c>
      <x:c r="C56" s="2" t="inlineStr">
        <x:is>
          <x:t xml:space="preserve">March</x:t>
        </x:is>
      </x:c>
      <x:c r="D56" s="2" t="inlineStr">
        <x:is>
          <x:t xml:space="preserve">Stampede Park Infrastructure Upgrade</x:t>
        </x:is>
      </x:c>
      <x:c r="E56" s="2" t="inlineStr">
        <x:is>
          <x:t xml:space="preserve">Calgary SW</x:t>
        </x:is>
      </x:c>
      <x:c r="F56" s="2" t="inlineStr">
        <x:is>
          <x:t xml:space="preserve">Derek McLean</x:t>
        </x:is>
      </x:c>
      <x:c r="G56" s="2" t="inlineStr">
        <x:is>
          <x:t xml:space="preserve">Civil Works</x:t>
        </x:is>
      </x:c>
      <x:c r="H56" s="2" t="inlineStr">
        <x:is>
          <x:t xml:space="preserve">Curb &amp; Gutter Concrete</x:t>
        </x:is>
      </x:c>
      <x:c r="I56" s="2" t="inlineStr">
        <x:is>
          <x:t xml:space="preserve">Kiewit Infrastructure</x:t>
        </x:is>
      </x:c>
      <x:c r="J56" s="2" t="inlineStr">
        <x:is>
          <x:t xml:space="preserve">3-Quote Comparison</x:t>
        </x:is>
      </x:c>
      <x:c r="K56" s="3" t="n">
        <x:v>84</x:v>
      </x:c>
      <x:c r="L56" s="2" t="inlineStr">
        <x:is>
          <x:t xml:space="preserve">m³</x:t>
        </x:is>
      </x:c>
      <x:c r="M56" s="4" t="n">
        <x:v>149.08</x:v>
      </x:c>
      <x:c r="N56" s="4" t="n">
        <x:v>175.59</x:v>
      </x:c>
      <x:c r="O56" s="4" t="n">
        <x:v>12522.72</x:v>
      </x:c>
      <x:c r="P56" s="4" t="n">
        <x:v>14749.56</x:v>
      </x:c>
      <x:c r="Q56" s="4" t="n">
        <x:v>-2226.84</x:v>
      </x:c>
      <x:c r="R56" s="5" t="n">
        <x:v>-15.1</x:v>
      </x:c>
      <x:c r="S56" s="3" t="n">
        <x:v>80</x:v>
      </x:c>
      <x:c r="T56" s="2" t="inlineStr">
        <x:is>
          <x:t xml:space="preserve">Yes</x:t>
        </x:is>
      </x:c>
      <x:c r="U56" s="2" t="inlineStr">
        <x:is>
          <x:t xml:space="preserve">Pending</x:t>
        </x:is>
      </x:c>
    </x:row>
    <x:row r="57">
      <x:c r="A57" s="6" t="inlineStr">
        <x:is>
          <x:t xml:space="preserve">PO-2025-0056</x:t>
        </x:is>
      </x:c>
      <x:c r="B57" s="6" t="inlineStr">
        <x:is>
          <x:t xml:space="preserve">05/04/2025</x:t>
        </x:is>
      </x:c>
      <x:c r="C57" s="6" t="inlineStr">
        <x:is>
          <x:t xml:space="preserve">April</x:t>
        </x:is>
      </x:c>
      <x:c r="D57" s="6" t="inlineStr">
        <x:is>
          <x:t xml:space="preserve">University District Residential Phase 3</x:t>
        </x:is>
      </x:c>
      <x:c r="E57" s="6" t="inlineStr">
        <x:is>
          <x:t xml:space="preserve">Calgary SE</x:t>
        </x:is>
      </x:c>
      <x:c r="F57" s="6" t="inlineStr">
        <x:is>
          <x:t xml:space="preserve">Linda Tran</x:t>
        </x:is>
      </x:c>
      <x:c r="G57" s="6" t="inlineStr">
        <x:is>
          <x:t xml:space="preserve">Finishing</x:t>
        </x:is>
      </x:c>
      <x:c r="H57" s="6" t="inlineStr">
        <x:is>
          <x:t xml:space="preserve">Ceramic Floor Tile</x:t>
        </x:is>
      </x:c>
      <x:c r="I57" s="6" t="inlineStr">
        <x:is>
          <x:t xml:space="preserve">Dryvit Systems Canada</x:t>
        </x:is>
      </x:c>
      <x:c r="J57" s="6" t="inlineStr">
        <x:is>
          <x:t xml:space="preserve">LPO – Direct Award</x:t>
        </x:is>
      </x:c>
      <x:c r="K57" s="7" t="n">
        <x:v>56</x:v>
      </x:c>
      <x:c r="L57" s="6" t="inlineStr">
        <x:is>
          <x:t xml:space="preserve">m²</x:t>
        </x:is>
      </x:c>
      <x:c r="M57" s="8" t="n">
        <x:v>277.45</x:v>
      </x:c>
      <x:c r="N57" s="8" t="n">
        <x:v>298.09</x:v>
      </x:c>
      <x:c r="O57" s="8" t="n">
        <x:v>15537.2</x:v>
      </x:c>
      <x:c r="P57" s="8" t="n">
        <x:v>16693.04</x:v>
      </x:c>
      <x:c r="Q57" s="8" t="n">
        <x:v>-1155.84</x:v>
      </x:c>
      <x:c r="R57" s="9" t="n">
        <x:v>-6.9</x:v>
      </x:c>
      <x:c r="S57" s="7" t="n">
        <x:v>66</x:v>
      </x:c>
      <x:c r="T57" s="6" t="inlineStr">
        <x:is>
          <x:t xml:space="preserve">Yes</x:t>
        </x:is>
      </x:c>
      <x:c r="U57" s="6" t="inlineStr">
        <x:is>
          <x:t xml:space="preserve">Partially Delivered</x:t>
        </x:is>
      </x:c>
    </x:row>
    <x:row r="58">
      <x:c r="A58" s="2" t="inlineStr">
        <x:is>
          <x:t xml:space="preserve">PO-2025-0057</x:t>
        </x:is>
      </x:c>
      <x:c r="B58" s="2" t="inlineStr">
        <x:is>
          <x:t xml:space="preserve">03/06/2025</x:t>
        </x:is>
      </x:c>
      <x:c r="C58" s="2" t="inlineStr">
        <x:is>
          <x:t xml:space="preserve">June</x:t>
        </x:is>
      </x:c>
      <x:c r="D58" s="2" t="inlineStr">
        <x:is>
          <x:t xml:space="preserve">Bow River Crossing Overpass</x:t>
        </x:is>
      </x:c>
      <x:c r="E58" s="2" t="inlineStr">
        <x:is>
          <x:t xml:space="preserve">Calgary NE</x:t>
        </x:is>
      </x:c>
      <x:c r="F58" s="2" t="inlineStr">
        <x:is>
          <x:t xml:space="preserve">Mohammed Siddiqui</x:t>
        </x:is>
      </x:c>
      <x:c r="G58" s="2" t="inlineStr">
        <x:is>
          <x:t xml:space="preserve">MEP - Electrical</x:t>
        </x:is>
      </x:c>
      <x:c r="H58" s="2" t="inlineStr">
        <x:is>
          <x:t xml:space="preserve">LV Switchgear Panel</x:t>
        </x:is>
      </x:c>
      <x:c r="I58" s="2" t="inlineStr">
        <x:is>
          <x:t xml:space="preserve">Schneider Electric Canada</x:t>
        </x:is>
      </x:c>
      <x:c r="J58" s="2" t="inlineStr">
        <x:is>
          <x:t xml:space="preserve">Standing Offer Agreement</x:t>
        </x:is>
      </x:c>
      <x:c r="K58" s="3" t="n">
        <x:v>89</x:v>
      </x:c>
      <x:c r="L58" s="2" t="inlineStr">
        <x:is>
          <x:t xml:space="preserve">lot</x:t>
        </x:is>
      </x:c>
      <x:c r="M58" s="4" t="n">
        <x:v>66019.75</x:v>
      </x:c>
      <x:c r="N58" s="4" t="n">
        <x:v>65004.42</x:v>
      </x:c>
      <x:c r="O58" s="4" t="n">
        <x:v>5875757.75</x:v>
      </x:c>
      <x:c r="P58" s="4" t="n">
        <x:v>5785393.38</x:v>
      </x:c>
      <x:c r="Q58" s="4" t="n">
        <x:v>90364.37</x:v>
      </x:c>
      <x:c r="R58" s="5" t="n">
        <x:v>1.6</x:v>
      </x:c>
      <x:c r="S58" s="3" t="n">
        <x:v>22</x:v>
      </x:c>
      <x:c r="T58" s="2" t="inlineStr">
        <x:is>
          <x:t xml:space="preserve">No</x:t>
        </x:is>
      </x:c>
      <x:c r="U58" s="2" t="inlineStr">
        <x:is>
          <x:t xml:space="preserve">Cancelled</x:t>
        </x:is>
      </x:c>
    </x:row>
    <x:row r="59">
      <x:c r="A59" s="6" t="inlineStr">
        <x:is>
          <x:t xml:space="preserve">PO-2025-0058</x:t>
        </x:is>
      </x:c>
      <x:c r="B59" s="6" t="inlineStr">
        <x:is>
          <x:t xml:space="preserve">17/06/2025</x:t>
        </x:is>
      </x:c>
      <x:c r="C59" s="6" t="inlineStr">
        <x:is>
          <x:t xml:space="preserve">June</x:t>
        </x:is>
      </x:c>
      <x:c r="D59" s="6" t="inlineStr">
        <x:is>
          <x:t xml:space="preserve">Rocky View Industrial Logistics Hub</x:t>
        </x:is>
      </x:c>
      <x:c r="E59" s="6" t="inlineStr">
        <x:is>
          <x:t xml:space="preserve">Calgary NE</x:t>
        </x:is>
      </x:c>
      <x:c r="F59" s="6" t="inlineStr">
        <x:is>
          <x:t xml:space="preserve">Aisha Nkosi</x:t>
        </x:is>
      </x:c>
      <x:c r="G59" s="6" t="inlineStr">
        <x:is>
          <x:t xml:space="preserve">MEP - Electrical</x:t>
        </x:is>
      </x:c>
      <x:c r="H59" s="6" t="inlineStr">
        <x:is>
          <x:t xml:space="preserve">Grounding System</x:t>
        </x:is>
      </x:c>
      <x:c r="I59" s="6" t="inlineStr">
        <x:is>
          <x:t xml:space="preserve">Stuart Olson Electrical</x:t>
        </x:is>
      </x:c>
      <x:c r="J59" s="6" t="inlineStr">
        <x:is>
          <x:t xml:space="preserve">Emergency Procurement</x:t>
        </x:is>
      </x:c>
      <x:c r="K59" s="7" t="n">
        <x:v>40</x:v>
      </x:c>
      <x:c r="L59" s="6" t="inlineStr">
        <x:is>
          <x:t xml:space="preserve">lot</x:t>
        </x:is>
      </x:c>
      <x:c r="M59" s="8" t="n">
        <x:v>72825.91</x:v>
      </x:c>
      <x:c r="N59" s="8" t="n">
        <x:v>75312.53999999999</x:v>
      </x:c>
      <x:c r="O59" s="8" t="n">
        <x:v>2913036.4</x:v>
      </x:c>
      <x:c r="P59" s="8" t="n">
        <x:v>3012501.6</x:v>
      </x:c>
      <x:c r="Q59" s="8" t="n">
        <x:v>-99465.2</x:v>
      </x:c>
      <x:c r="R59" s="9" t="n">
        <x:v>-3.3</x:v>
      </x:c>
      <x:c r="S59" s="7" t="n">
        <x:v>32</x:v>
      </x:c>
      <x:c r="T59" s="6" t="inlineStr">
        <x:is>
          <x:t xml:space="preserve">Yes</x:t>
        </x:is>
      </x:c>
      <x:c r="U59" s="6" t="inlineStr">
        <x:is>
          <x:t xml:space="preserve">Cancelled</x:t>
        </x:is>
      </x:c>
    </x:row>
    <x:row r="60">
      <x:c r="A60" s="2" t="inlineStr">
        <x:is>
          <x:t xml:space="preserve">PO-2025-0059</x:t>
        </x:is>
      </x:c>
      <x:c r="B60" s="2" t="inlineStr">
        <x:is>
          <x:t xml:space="preserve">22/09/2025</x:t>
        </x:is>
      </x:c>
      <x:c r="C60" s="2" t="inlineStr">
        <x:is>
          <x:t xml:space="preserve">September</x:t>
        </x:is>
      </x:c>
      <x:c r="D60" s="2" t="inlineStr">
        <x:is>
          <x:t xml:space="preserve">Foothills Medical Centre Expansion</x:t>
        </x:is>
      </x:c>
      <x:c r="E60" s="2" t="inlineStr">
        <x:is>
          <x:t xml:space="preserve">Calgary NE</x:t>
        </x:is>
      </x:c>
      <x:c r="F60" s="2" t="inlineStr">
        <x:is>
          <x:t xml:space="preserve">Linda Tran</x:t>
        </x:is>
      </x:c>
      <x:c r="G60" s="2" t="inlineStr">
        <x:is>
          <x:t xml:space="preserve">MEP - Electrical</x:t>
        </x:is>
      </x:c>
      <x:c r="H60" s="2" t="inlineStr">
        <x:is>
          <x:t xml:space="preserve">LED Site Lighting</x:t>
        </x:is>
      </x:c>
      <x:c r="I60" s="2" t="inlineStr">
        <x:is>
          <x:t xml:space="preserve">Schneider Electric Canada</x:t>
        </x:is>
      </x:c>
      <x:c r="J60" s="2" t="inlineStr">
        <x:is>
          <x:t xml:space="preserve">Standing Offer Agreement</x:t>
        </x:is>
      </x:c>
      <x:c r="K60" s="3" t="n">
        <x:v>102</x:v>
      </x:c>
      <x:c r="L60" s="2" t="inlineStr">
        <x:is>
          <x:t xml:space="preserve">lot</x:t>
        </x:is>
      </x:c>
      <x:c r="M60" s="4" t="n">
        <x:v>53795.32</x:v>
      </x:c>
      <x:c r="N60" s="4" t="n">
        <x:v>50249.4</x:v>
      </x:c>
      <x:c r="O60" s="4" t="n">
        <x:v>5487122.64</x:v>
      </x:c>
      <x:c r="P60" s="4" t="n">
        <x:v>5125438.8</x:v>
      </x:c>
      <x:c r="Q60" s="4" t="n">
        <x:v>361683.84</x:v>
      </x:c>
      <x:c r="R60" s="5" t="n">
        <x:v>7.1</x:v>
      </x:c>
      <x:c r="S60" s="3" t="n">
        <x:v>76</x:v>
      </x:c>
      <x:c r="T60" s="2" t="inlineStr">
        <x:is>
          <x:t xml:space="preserve">Yes</x:t>
        </x:is>
      </x:c>
      <x:c r="U60" s="2" t="inlineStr">
        <x:is>
          <x:t xml:space="preserve">Partially Delivered</x:t>
        </x:is>
      </x:c>
    </x:row>
    <x:row r="61">
      <x:c r="A61" s="6" t="inlineStr">
        <x:is>
          <x:t xml:space="preserve">PO-2025-0060</x:t>
        </x:is>
      </x:c>
      <x:c r="B61" s="6" t="inlineStr">
        <x:is>
          <x:t xml:space="preserve">04/10/2025</x:t>
        </x:is>
      </x:c>
      <x:c r="C61" s="6" t="inlineStr">
        <x:is>
          <x:t xml:space="preserve">October</x:t>
        </x:is>
      </x:c>
      <x:c r="D61" s="6" t="inlineStr">
        <x:is>
          <x:t xml:space="preserve">Saddledome Arena Retrofit</x:t>
        </x:is>
      </x:c>
      <x:c r="E61" s="6" t="inlineStr">
        <x:is>
          <x:t xml:space="preserve">Calgary SW</x:t>
        </x:is>
      </x:c>
      <x:c r="F61" s="6" t="inlineStr">
        <x:is>
          <x:t xml:space="preserve">Mohammed Siddiqui</x:t>
        </x:is>
      </x:c>
      <x:c r="G61" s="6" t="inlineStr">
        <x:is>
          <x:t xml:space="preserve">MEP - Mechanical</x:t>
        </x:is>
      </x:c>
      <x:c r="H61" s="6" t="inlineStr">
        <x:is>
          <x:t xml:space="preserve">HVAC Rooftop Unit</x:t>
        </x:is>
      </x:c>
      <x:c r="I61" s="6" t="inlineStr">
        <x:is>
          <x:t xml:space="preserve">Stantec MEP</x:t>
        </x:is>
      </x:c>
      <x:c r="J61" s="6" t="inlineStr">
        <x:is>
          <x:t xml:space="preserve">LPO – Direct Award</x:t>
        </x:is>
      </x:c>
      <x:c r="K61" s="7" t="n">
        <x:v>8</x:v>
      </x:c>
      <x:c r="L61" s="6" t="inlineStr">
        <x:is>
          <x:t xml:space="preserve">lot</x:t>
        </x:is>
      </x:c>
      <x:c r="M61" s="8" t="n">
        <x:v>25964.71</x:v>
      </x:c>
      <x:c r="N61" s="8" t="n">
        <x:v>27698.57</x:v>
      </x:c>
      <x:c r="O61" s="8" t="n">
        <x:v>207717.68</x:v>
      </x:c>
      <x:c r="P61" s="8" t="n">
        <x:v>221588.56</x:v>
      </x:c>
      <x:c r="Q61" s="8" t="n">
        <x:v>-13870.88</x:v>
      </x:c>
      <x:c r="R61" s="9" t="n">
        <x:v>-6.3</x:v>
      </x:c>
      <x:c r="S61" s="7" t="n">
        <x:v>76</x:v>
      </x:c>
      <x:c r="T61" s="6" t="inlineStr">
        <x:is>
          <x:t xml:space="preserve">Yes</x:t>
        </x:is>
      </x:c>
      <x:c r="U61" s="6" t="inlineStr">
        <x:is>
          <x:t xml:space="preserve">Delivered</x:t>
        </x:is>
      </x:c>
    </x:row>
    <x:row r="62">
      <x:c r="A62" s="2" t="inlineStr">
        <x:is>
          <x:t xml:space="preserve">PO-2025-0061</x:t>
        </x:is>
      </x:c>
      <x:c r="B62" s="2" t="inlineStr">
        <x:is>
          <x:t xml:space="preserve">30/11/2025</x:t>
        </x:is>
      </x:c>
      <x:c r="C62" s="2" t="inlineStr">
        <x:is>
          <x:t xml:space="preserve">November</x:t>
        </x:is>
      </x:c>
      <x:c r="D62" s="2" t="inlineStr">
        <x:is>
          <x:t xml:space="preserve">University District Residential Phase 3</x:t>
        </x:is>
      </x:c>
      <x:c r="E62" s="2" t="inlineStr">
        <x:is>
          <x:t xml:space="preserve">Calgary NE</x:t>
        </x:is>
      </x:c>
      <x:c r="F62" s="2" t="inlineStr">
        <x:is>
          <x:t xml:space="preserve">Priya Sharma</x:t>
        </x:is>
      </x:c>
      <x:c r="G62" s="2" t="inlineStr">
        <x:is>
          <x:t xml:space="preserve">Finishing</x:t>
        </x:is>
      </x:c>
      <x:c r="H62" s="2" t="inlineStr">
        <x:is>
          <x:t xml:space="preserve">Waterproofing Membrane</x:t>
        </x:is>
      </x:c>
      <x:c r="I62" s="2" t="inlineStr">
        <x:is>
          <x:t xml:space="preserve">Tremco Roofing</x:t>
        </x:is>
      </x:c>
      <x:c r="J62" s="2" t="inlineStr">
        <x:is>
          <x:t xml:space="preserve">Tender – Open</x:t>
        </x:is>
      </x:c>
      <x:c r="K62" s="3" t="n">
        <x:v>95</x:v>
      </x:c>
      <x:c r="L62" s="2" t="inlineStr">
        <x:is>
          <x:t xml:space="preserve">m²</x:t>
        </x:is>
      </x:c>
      <x:c r="M62" s="4" t="n">
        <x:v>92.67</x:v>
      </x:c>
      <x:c r="N62" s="4" t="n">
        <x:v>83.41</x:v>
      </x:c>
      <x:c r="O62" s="4" t="n">
        <x:v>8803.65</x:v>
      </x:c>
      <x:c r="P62" s="4" t="n">
        <x:v>7923.95</x:v>
      </x:c>
      <x:c r="Q62" s="4" t="n">
        <x:v>879.7</x:v>
      </x:c>
      <x:c r="R62" s="5" t="n">
        <x:v>11.1</x:v>
      </x:c>
      <x:c r="S62" s="3" t="n">
        <x:v>44</x:v>
      </x:c>
      <x:c r="T62" s="2" t="inlineStr">
        <x:is>
          <x:t xml:space="preserve">No</x:t>
        </x:is>
      </x:c>
      <x:c r="U62" s="2" t="inlineStr">
        <x:is>
          <x:t xml:space="preserve">Cancelled</x:t>
        </x:is>
      </x:c>
    </x:row>
    <x:row r="63">
      <x:c r="A63" s="6" t="inlineStr">
        <x:is>
          <x:t xml:space="preserve">PO-2025-0062</x:t>
        </x:is>
      </x:c>
      <x:c r="B63" s="6" t="inlineStr">
        <x:is>
          <x:t xml:space="preserve">01/12/2025</x:t>
        </x:is>
      </x:c>
      <x:c r="C63" s="6" t="inlineStr">
        <x:is>
          <x:t xml:space="preserve">December</x:t>
        </x:is>
      </x:c>
      <x:c r="D63" s="6" t="inlineStr">
        <x:is>
          <x:t xml:space="preserve">Saddledome Arena Retrofit</x:t>
        </x:is>
      </x:c>
      <x:c r="E63" s="6" t="inlineStr">
        <x:is>
          <x:t xml:space="preserve">Calgary NE</x:t>
        </x:is>
      </x:c>
      <x:c r="F63" s="6" t="inlineStr">
        <x:is>
          <x:t xml:space="preserve">Sarah Bouchard</x:t>
        </x:is>
      </x:c>
      <x:c r="G63" s="6" t="inlineStr">
        <x:is>
          <x:t xml:space="preserve">Safety &amp; Temp Works</x:t>
        </x:is>
      </x:c>
      <x:c r="H63" s="6" t="inlineStr">
        <x:is>
          <x:t xml:space="preserve">PPE Bulk Supply</x:t>
        </x:is>
      </x:c>
      <x:c r="I63" s="6" t="inlineStr">
        <x:is>
          <x:t xml:space="preserve">Safway Alberta</x:t>
        </x:is>
      </x:c>
      <x:c r="J63" s="6" t="inlineStr">
        <x:is>
          <x:t xml:space="preserve">Standing Offer Agreement</x:t>
        </x:is>
      </x:c>
      <x:c r="K63" s="7" t="n">
        <x:v>67</x:v>
      </x:c>
      <x:c r="L63" s="6" t="inlineStr">
        <x:is>
          <x:t xml:space="preserve">lot</x:t>
        </x:is>
      </x:c>
      <x:c r="M63" s="8" t="n">
        <x:v>15518.24</x:v>
      </x:c>
      <x:c r="N63" s="8" t="n">
        <x:v>15339.84</x:v>
      </x:c>
      <x:c r="O63" s="8" t="n">
        <x:v>1039722.08</x:v>
      </x:c>
      <x:c r="P63" s="8" t="n">
        <x:v>1027769.28</x:v>
      </x:c>
      <x:c r="Q63" s="8" t="n">
        <x:v>11952.8</x:v>
      </x:c>
      <x:c r="R63" s="9" t="n">
        <x:v>1.2</x:v>
      </x:c>
      <x:c r="S63" s="7" t="n">
        <x:v>62</x:v>
      </x:c>
      <x:c r="T63" s="6" t="inlineStr">
        <x:is>
          <x:t xml:space="preserve">Yes</x:t>
        </x:is>
      </x:c>
      <x:c r="U63" s="6" t="inlineStr">
        <x:is>
          <x:t xml:space="preserve">Delivered</x:t>
        </x:is>
      </x:c>
    </x:row>
    <x:row r="64">
      <x:c r="A64" s="2" t="inlineStr">
        <x:is>
          <x:t xml:space="preserve">PO-2025-0063</x:t>
        </x:is>
      </x:c>
      <x:c r="B64" s="2" t="inlineStr">
        <x:is>
          <x:t xml:space="preserve">20/06/2025</x:t>
        </x:is>
      </x:c>
      <x:c r="C64" s="2" t="inlineStr">
        <x:is>
          <x:t xml:space="preserve">June</x:t>
        </x:is>
      </x:c>
      <x:c r="D64" s="2" t="inlineStr">
        <x:is>
          <x:t xml:space="preserve">Saddledome Arena Retrofit</x:t>
        </x:is>
      </x:c>
      <x:c r="E64" s="2" t="inlineStr">
        <x:is>
          <x:t xml:space="preserve">Rocky View County</x:t>
        </x:is>
      </x:c>
      <x:c r="F64" s="2" t="inlineStr">
        <x:is>
          <x:t xml:space="preserve">Liam Kowalski</x:t>
        </x:is>
      </x:c>
      <x:c r="G64" s="2" t="inlineStr">
        <x:is>
          <x:t xml:space="preserve">Civil Works</x:t>
        </x:is>
      </x:c>
      <x:c r="H64" s="2" t="inlineStr">
        <x:is>
          <x:t xml:space="preserve">Storm Drainage Pipe</x:t>
        </x:is>
      </x:c>
      <x:c r="I64" s="2" t="inlineStr">
        <x:is>
          <x:t xml:space="preserve">Ledcor Civil Alberta</x:t>
        </x:is>
      </x:c>
      <x:c r="J64" s="2" t="inlineStr">
        <x:is>
          <x:t xml:space="preserve">Standing Offer Agreement</x:t>
        </x:is>
      </x:c>
      <x:c r="K64" s="3" t="n">
        <x:v>86</x:v>
      </x:c>
      <x:c r="L64" s="2" t="inlineStr">
        <x:is>
          <x:t xml:space="preserve">m³</x:t>
        </x:is>
      </x:c>
      <x:c r="M64" s="4" t="n">
        <x:v>248.05</x:v>
      </x:c>
      <x:c r="N64" s="4" t="n">
        <x:v>246.23</x:v>
      </x:c>
      <x:c r="O64" s="4" t="n">
        <x:v>21332.3</x:v>
      </x:c>
      <x:c r="P64" s="4" t="n">
        <x:v>21175.78</x:v>
      </x:c>
      <x:c r="Q64" s="4" t="n">
        <x:v>156.52</x:v>
      </x:c>
      <x:c r="R64" s="5" t="n">
        <x:v>0.7</x:v>
      </x:c>
      <x:c r="S64" s="3" t="n">
        <x:v>4</x:v>
      </x:c>
      <x:c r="T64" s="2" t="inlineStr">
        <x:is>
          <x:t xml:space="preserve">Yes</x:t>
        </x:is>
      </x:c>
      <x:c r="U64" s="2" t="inlineStr">
        <x:is>
          <x:t xml:space="preserve">Delivered</x:t>
        </x:is>
      </x:c>
    </x:row>
    <x:row r="65">
      <x:c r="A65" s="6" t="inlineStr">
        <x:is>
          <x:t xml:space="preserve">PO-2025-0064</x:t>
        </x:is>
      </x:c>
      <x:c r="B65" s="6" t="inlineStr">
        <x:is>
          <x:t xml:space="preserve">26/08/2025</x:t>
        </x:is>
      </x:c>
      <x:c r="C65" s="6" t="inlineStr">
        <x:is>
          <x:t xml:space="preserve">August</x:t>
        </x:is>
      </x:c>
      <x:c r="D65" s="6" t="inlineStr">
        <x:is>
          <x:t xml:space="preserve">Deerfoot Trail Widening - North</x:t>
        </x:is>
      </x:c>
      <x:c r="E65" s="6" t="inlineStr">
        <x:is>
          <x:t xml:space="preserve">Calgary NE</x:t>
        </x:is>
      </x:c>
      <x:c r="F65" s="6" t="inlineStr">
        <x:is>
          <x:t xml:space="preserve">Priya Sharma</x:t>
        </x:is>
      </x:c>
      <x:c r="G65" s="6" t="inlineStr">
        <x:is>
          <x:t xml:space="preserve">Finishing</x:t>
        </x:is>
      </x:c>
      <x:c r="H65" s="6" t="inlineStr">
        <x:is>
          <x:t xml:space="preserve">Acoustic Ceiling Grid</x:t>
        </x:is>
      </x:c>
      <x:c r="I65" s="6" t="inlineStr">
        <x:is>
          <x:t xml:space="preserve">Centura Tile Calgary</x:t>
        </x:is>
      </x:c>
      <x:c r="J65" s="6" t="inlineStr">
        <x:is>
          <x:t xml:space="preserve">Standing Offer Agreement</x:t>
        </x:is>
      </x:c>
      <x:c r="K65" s="7" t="n">
        <x:v>118</x:v>
      </x:c>
      <x:c r="L65" s="6" t="inlineStr">
        <x:is>
          <x:t xml:space="preserve">m²</x:t>
        </x:is>
      </x:c>
      <x:c r="M65" s="8" t="n">
        <x:v>429.42</x:v>
      </x:c>
      <x:c r="N65" s="8" t="n">
        <x:v>393.16</x:v>
      </x:c>
      <x:c r="O65" s="8" t="n">
        <x:v>50671.56</x:v>
      </x:c>
      <x:c r="P65" s="8" t="n">
        <x:v>46392.88</x:v>
      </x:c>
      <x:c r="Q65" s="8" t="n">
        <x:v>4278.68</x:v>
      </x:c>
      <x:c r="R65" s="9" t="n">
        <x:v>9.199999999999999</x:v>
      </x:c>
      <x:c r="S65" s="7" t="n">
        <x:v>24</x:v>
      </x:c>
      <x:c r="T65" s="6" t="inlineStr">
        <x:is>
          <x:t xml:space="preserve">Yes</x:t>
        </x:is>
      </x:c>
      <x:c r="U65" s="6" t="inlineStr">
        <x:is>
          <x:t xml:space="preserve">Partially Delivered</x:t>
        </x:is>
      </x:c>
    </x:row>
    <x:row r="66">
      <x:c r="A66" s="2" t="inlineStr">
        <x:is>
          <x:t xml:space="preserve">PO-2025-0065</x:t>
        </x:is>
      </x:c>
      <x:c r="B66" s="2" t="inlineStr">
        <x:is>
          <x:t xml:space="preserve">27/03/2025</x:t>
        </x:is>
      </x:c>
      <x:c r="C66" s="2" t="inlineStr">
        <x:is>
          <x:t xml:space="preserve">March</x:t>
        </x:is>
      </x:c>
      <x:c r="D66" s="2" t="inlineStr">
        <x:is>
          <x:t xml:space="preserve">Rocky View Industrial Logistics Hub</x:t>
        </x:is>
      </x:c>
      <x:c r="E66" s="2" t="inlineStr">
        <x:is>
          <x:t xml:space="preserve">Calgary SW</x:t>
        </x:is>
      </x:c>
      <x:c r="F66" s="2" t="inlineStr">
        <x:is>
          <x:t xml:space="preserve">Mohammed Siddiqui</x:t>
        </x:is>
      </x:c>
      <x:c r="G66" s="2" t="inlineStr">
        <x:is>
          <x:t xml:space="preserve">Civil Works</x:t>
        </x:is>
      </x:c>
      <x:c r="H66" s="2" t="inlineStr">
        <x:is>
          <x:t xml:space="preserve">Curb &amp; Gutter Concrete</x:t>
        </x:is>
      </x:c>
      <x:c r="I66" s="2" t="inlineStr">
        <x:is>
          <x:t xml:space="preserve">Kiewit Infrastructure</x:t>
        </x:is>
      </x:c>
      <x:c r="J66" s="2" t="inlineStr">
        <x:is>
          <x:t xml:space="preserve">LPO – Direct Award</x:t>
        </x:is>
      </x:c>
      <x:c r="K66" s="3" t="n">
        <x:v>94</x:v>
      </x:c>
      <x:c r="L66" s="2" t="inlineStr">
        <x:is>
          <x:t xml:space="preserve">m³</x:t>
        </x:is>
      </x:c>
      <x:c r="M66" s="4" t="n">
        <x:v>175.22</x:v>
      </x:c>
      <x:c r="N66" s="4" t="n">
        <x:v>158.33</x:v>
      </x:c>
      <x:c r="O66" s="4" t="n">
        <x:v>16470.68</x:v>
      </x:c>
      <x:c r="P66" s="4" t="n">
        <x:v>14883.02</x:v>
      </x:c>
      <x:c r="Q66" s="4" t="n">
        <x:v>1587.66</x:v>
      </x:c>
      <x:c r="R66" s="5" t="n">
        <x:v>10.7</x:v>
      </x:c>
      <x:c r="S66" s="3" t="n">
        <x:v>23</x:v>
      </x:c>
      <x:c r="T66" s="2" t="inlineStr">
        <x:is>
          <x:t xml:space="preserve">Yes</x:t>
        </x:is>
      </x:c>
      <x:c r="U66" s="2" t="inlineStr">
        <x:is>
          <x:t xml:space="preserve">Delivered</x:t>
        </x:is>
      </x:c>
    </x:row>
    <x:row r="67">
      <x:c r="A67" s="6" t="inlineStr">
        <x:is>
          <x:t xml:space="preserve">PO-2025-0066</x:t>
        </x:is>
      </x:c>
      <x:c r="B67" s="6" t="inlineStr">
        <x:is>
          <x:t xml:space="preserve">01/02/2025</x:t>
        </x:is>
      </x:c>
      <x:c r="C67" s="6" t="inlineStr">
        <x:is>
          <x:t xml:space="preserve">February</x:t>
        </x:is>
      </x:c>
      <x:c r="D67" s="6" t="inlineStr">
        <x:is>
          <x:t xml:space="preserve">Stampede Park Infrastructure Upgrade</x:t>
        </x:is>
      </x:c>
      <x:c r="E67" s="6" t="inlineStr">
        <x:is>
          <x:t xml:space="preserve">Calgary NE</x:t>
        </x:is>
      </x:c>
      <x:c r="F67" s="6" t="inlineStr">
        <x:is>
          <x:t xml:space="preserve">Linda Tran</x:t>
        </x:is>
      </x:c>
      <x:c r="G67" s="6" t="inlineStr">
        <x:is>
          <x:t xml:space="preserve">Finishing</x:t>
        </x:is>
      </x:c>
      <x:c r="H67" s="6" t="inlineStr">
        <x:is>
          <x:t xml:space="preserve">Exterior Cladding Panel</x:t>
        </x:is>
      </x:c>
      <x:c r="I67" s="6" t="inlineStr">
        <x:is>
          <x:t xml:space="preserve">Centura Tile Calgary</x:t>
        </x:is>
      </x:c>
      <x:c r="J67" s="6" t="inlineStr">
        <x:is>
          <x:t xml:space="preserve">LPO – Direct Award</x:t>
        </x:is>
      </x:c>
      <x:c r="K67" s="7" t="n">
        <x:v>46</x:v>
      </x:c>
      <x:c r="L67" s="6" t="inlineStr">
        <x:is>
          <x:t xml:space="preserve">m²</x:t>
        </x:is>
      </x:c>
      <x:c r="M67" s="8" t="n">
        <x:v>139.05</x:v>
      </x:c>
      <x:c r="N67" s="8" t="n">
        <x:v>131.07</x:v>
      </x:c>
      <x:c r="O67" s="8" t="n">
        <x:v>6396.3</x:v>
      </x:c>
      <x:c r="P67" s="8" t="n">
        <x:v>6029.22</x:v>
      </x:c>
      <x:c r="Q67" s="8" t="n">
        <x:v>367.08</x:v>
      </x:c>
      <x:c r="R67" s="9" t="n">
        <x:v>6.1</x:v>
      </x:c>
      <x:c r="S67" s="7" t="n">
        <x:v>34</x:v>
      </x:c>
      <x:c r="T67" s="6" t="inlineStr">
        <x:is>
          <x:t xml:space="preserve">Yes</x:t>
        </x:is>
      </x:c>
      <x:c r="U67" s="6" t="inlineStr">
        <x:is>
          <x:t xml:space="preserve">Partially Delivered</x:t>
        </x:is>
      </x:c>
    </x:row>
    <x:row r="68">
      <x:c r="A68" s="2" t="inlineStr">
        <x:is>
          <x:t xml:space="preserve">PO-2025-0067</x:t>
        </x:is>
      </x:c>
      <x:c r="B68" s="2" t="inlineStr">
        <x:is>
          <x:t xml:space="preserve">01/11/2025</x:t>
        </x:is>
      </x:c>
      <x:c r="C68" s="2" t="inlineStr">
        <x:is>
          <x:t xml:space="preserve">November</x:t>
        </x:is>
      </x:c>
      <x:c r="D68" s="2" t="inlineStr">
        <x:is>
          <x:t xml:space="preserve">Deerfoot Trail Widening - North</x:t>
        </x:is>
      </x:c>
      <x:c r="E68" s="2" t="inlineStr">
        <x:is>
          <x:t xml:space="preserve">Calgary SW</x:t>
        </x:is>
      </x:c>
      <x:c r="F68" s="2" t="inlineStr">
        <x:is>
          <x:t xml:space="preserve">Derek McLean</x:t>
        </x:is>
      </x:c>
      <x:c r="G68" s="2" t="inlineStr">
        <x:is>
          <x:t xml:space="preserve">Civil Works</x:t>
        </x:is>
      </x:c>
      <x:c r="H68" s="2" t="inlineStr">
        <x:is>
          <x:t xml:space="preserve">Granular Backfill</x:t>
        </x:is>
      </x:c>
      <x:c r="I68" s="2" t="inlineStr">
        <x:is>
          <x:t xml:space="preserve">Kiewit Infrastructure</x:t>
        </x:is>
      </x:c>
      <x:c r="J68" s="2" t="inlineStr">
        <x:is>
          <x:t xml:space="preserve">3-Quote Comparison</x:t>
        </x:is>
      </x:c>
      <x:c r="K68" s="3" t="n">
        <x:v>120</x:v>
      </x:c>
      <x:c r="L68" s="2" t="inlineStr">
        <x:is>
          <x:t xml:space="preserve">m³</x:t>
        </x:is>
      </x:c>
      <x:c r="M68" s="4" t="n">
        <x:v>287.22</x:v>
      </x:c>
      <x:c r="N68" s="4" t="n">
        <x:v>281.03</x:v>
      </x:c>
      <x:c r="O68" s="4" t="n">
        <x:v>34466.4</x:v>
      </x:c>
      <x:c r="P68" s="4" t="n">
        <x:v>33723.6</x:v>
      </x:c>
      <x:c r="Q68" s="4" t="n">
        <x:v>742.8</x:v>
      </x:c>
      <x:c r="R68" s="5" t="n">
        <x:v>2.2</x:v>
      </x:c>
      <x:c r="S68" s="3" t="n">
        <x:v>74</x:v>
      </x:c>
      <x:c r="T68" s="2" t="inlineStr">
        <x:is>
          <x:t xml:space="preserve">Yes</x:t>
        </x:is>
      </x:c>
      <x:c r="U68" s="2" t="inlineStr">
        <x:is>
          <x:t xml:space="preserve">Pending</x:t>
        </x:is>
      </x:c>
    </x:row>
    <x:row r="69">
      <x:c r="A69" s="6" t="inlineStr">
        <x:is>
          <x:t xml:space="preserve">PO-2025-0068</x:t>
        </x:is>
      </x:c>
      <x:c r="B69" s="6" t="inlineStr">
        <x:is>
          <x:t xml:space="preserve">03/09/2025</x:t>
        </x:is>
      </x:c>
      <x:c r="C69" s="6" t="inlineStr">
        <x:is>
          <x:t xml:space="preserve">September</x:t>
        </x:is>
      </x:c>
      <x:c r="D69" s="6" t="inlineStr">
        <x:is>
          <x:t xml:space="preserve">Quarry Park Mixed-Use Development</x:t>
        </x:is>
      </x:c>
      <x:c r="E69" s="6" t="inlineStr">
        <x:is>
          <x:t xml:space="preserve">Rocky View County</x:t>
        </x:is>
      </x:c>
      <x:c r="F69" s="6" t="inlineStr">
        <x:is>
          <x:t xml:space="preserve">Aisha Nkosi</x:t>
        </x:is>
      </x:c>
      <x:c r="G69" s="6" t="inlineStr">
        <x:is>
          <x:t xml:space="preserve">Civil Works</x:t>
        </x:is>
      </x:c>
      <x:c r="H69" s="6" t="inlineStr">
        <x:is>
          <x:t xml:space="preserve">Road Base Aggregate</x:t>
        </x:is>
      </x:c>
      <x:c r="I69" s="6" t="inlineStr">
        <x:is>
          <x:t xml:space="preserve">Ledcor Civil Alberta</x:t>
        </x:is>
      </x:c>
      <x:c r="J69" s="6" t="inlineStr">
        <x:is>
          <x:t xml:space="preserve">3-Quote Comparison</x:t>
        </x:is>
      </x:c>
      <x:c r="K69" s="7" t="n">
        <x:v>28</x:v>
      </x:c>
      <x:c r="L69" s="6" t="inlineStr">
        <x:is>
          <x:t xml:space="preserve">m³</x:t>
        </x:is>
      </x:c>
      <x:c r="M69" s="8" t="n">
        <x:v>156.85</x:v>
      </x:c>
      <x:c r="N69" s="8" t="n">
        <x:v>191.37</x:v>
      </x:c>
      <x:c r="O69" s="8" t="n">
        <x:v>4391.8</x:v>
      </x:c>
      <x:c r="P69" s="8" t="n">
        <x:v>5358.36</x:v>
      </x:c>
      <x:c r="Q69" s="8" t="n">
        <x:v>-966.5599999999999</x:v>
      </x:c>
      <x:c r="R69" s="9" t="n">
        <x:v>-18</x:v>
      </x:c>
      <x:c r="S69" s="7" t="n">
        <x:v>53</x:v>
      </x:c>
      <x:c r="T69" s="6" t="inlineStr">
        <x:is>
          <x:t xml:space="preserve">Yes</x:t>
        </x:is>
      </x:c>
      <x:c r="U69" s="6" t="inlineStr">
        <x:is>
          <x:t xml:space="preserve">Pending</x:t>
        </x:is>
      </x:c>
    </x:row>
    <x:row r="70">
      <x:c r="A70" s="2" t="inlineStr">
        <x:is>
          <x:t xml:space="preserve">PO-2025-0069</x:t>
        </x:is>
      </x:c>
      <x:c r="B70" s="2" t="inlineStr">
        <x:is>
          <x:t xml:space="preserve">21/05/2025</x:t>
        </x:is>
      </x:c>
      <x:c r="C70" s="2" t="inlineStr">
        <x:is>
          <x:t xml:space="preserve">May</x:t>
        </x:is>
      </x:c>
      <x:c r="D70" s="2" t="inlineStr">
        <x:is>
          <x:t xml:space="preserve">Bow River Crossing Overpass</x:t>
        </x:is>
      </x:c>
      <x:c r="E70" s="2" t="inlineStr">
        <x:is>
          <x:t xml:space="preserve">Calgary SW</x:t>
        </x:is>
      </x:c>
      <x:c r="F70" s="2" t="inlineStr">
        <x:is>
          <x:t xml:space="preserve">Aisha Nkosi</x:t>
        </x:is>
      </x:c>
      <x:c r="G70" s="2" t="inlineStr">
        <x:is>
          <x:t xml:space="preserve">Concrete &amp; Structural</x:t>
        </x:is>
      </x:c>
      <x:c r="H70" s="2" t="inlineStr">
        <x:is>
          <x:t xml:space="preserve">Structural Formwork</x:t>
        </x:is>
      </x:c>
      <x:c r="I70" s="2" t="inlineStr">
        <x:is>
          <x:t xml:space="preserve">Alberta Precast</x:t>
        </x:is>
      </x:c>
      <x:c r="J70" s="2" t="inlineStr">
        <x:is>
          <x:t xml:space="preserve">3-Quote Comparison</x:t>
        </x:is>
      </x:c>
      <x:c r="K70" s="3" t="n">
        <x:v>78</x:v>
      </x:c>
      <x:c r="L70" s="2" t="inlineStr">
        <x:is>
          <x:t xml:space="preserve">m³</x:t>
        </x:is>
      </x:c>
      <x:c r="M70" s="4" t="n">
        <x:v>545.25</x:v>
      </x:c>
      <x:c r="N70" s="4" t="n">
        <x:v>650.1799999999999</x:v>
      </x:c>
      <x:c r="O70" s="4" t="n">
        <x:v>42529.5</x:v>
      </x:c>
      <x:c r="P70" s="4" t="n">
        <x:v>50714.04</x:v>
      </x:c>
      <x:c r="Q70" s="4" t="n">
        <x:v>-8184.54</x:v>
      </x:c>
      <x:c r="R70" s="5" t="n">
        <x:v>-16.1</x:v>
      </x:c>
      <x:c r="S70" s="3" t="n">
        <x:v>57</x:v>
      </x:c>
      <x:c r="T70" s="2" t="inlineStr">
        <x:is>
          <x:t xml:space="preserve">No</x:t>
        </x:is>
      </x:c>
      <x:c r="U70" s="2" t="inlineStr">
        <x:is>
          <x:t xml:space="preserve">Delivered</x:t>
        </x:is>
      </x:c>
    </x:row>
    <x:row r="71">
      <x:c r="A71" s="6" t="inlineStr">
        <x:is>
          <x:t xml:space="preserve">PO-2025-0070</x:t>
        </x:is>
      </x:c>
      <x:c r="B71" s="6" t="inlineStr">
        <x:is>
          <x:t xml:space="preserve">16/03/2025</x:t>
        </x:is>
      </x:c>
      <x:c r="C71" s="6" t="inlineStr">
        <x:is>
          <x:t xml:space="preserve">March</x:t>
        </x:is>
      </x:c>
      <x:c r="D71" s="6" t="inlineStr">
        <x:is>
          <x:t xml:space="preserve">Quarry Park Mixed-Use Development</x:t>
        </x:is>
      </x:c>
      <x:c r="E71" s="6" t="inlineStr">
        <x:is>
          <x:t xml:space="preserve">Calgary SW</x:t>
        </x:is>
      </x:c>
      <x:c r="F71" s="6" t="inlineStr">
        <x:is>
          <x:t xml:space="preserve">Liam Kowalski</x:t>
        </x:is>
      </x:c>
      <x:c r="G71" s="6" t="inlineStr">
        <x:is>
          <x:t xml:space="preserve">Safety &amp; Temp Works</x:t>
        </x:is>
      </x:c>
      <x:c r="H71" s="6" t="inlineStr">
        <x:is>
          <x:t xml:space="preserve">Site Office Trailer</x:t>
        </x:is>
      </x:c>
      <x:c r="I71" s="6" t="inlineStr">
        <x:is>
          <x:t xml:space="preserve">Levitt-Safety Calgary</x:t>
        </x:is>
      </x:c>
      <x:c r="J71" s="6" t="inlineStr">
        <x:is>
          <x:t xml:space="preserve">3-Quote Comparison</x:t>
        </x:is>
      </x:c>
      <x:c r="K71" s="7" t="n">
        <x:v>23</x:v>
      </x:c>
      <x:c r="L71" s="6" t="inlineStr">
        <x:is>
          <x:t xml:space="preserve">lot</x:t>
        </x:is>
      </x:c>
      <x:c r="M71" s="8" t="n">
        <x:v>11822.82</x:v>
      </x:c>
      <x:c r="N71" s="8" t="n">
        <x:v>10173.76</x:v>
      </x:c>
      <x:c r="O71" s="8" t="n">
        <x:v>271924.86</x:v>
      </x:c>
      <x:c r="P71" s="8" t="n">
        <x:v>233996.48</x:v>
      </x:c>
      <x:c r="Q71" s="8" t="n">
        <x:v>37928.38</x:v>
      </x:c>
      <x:c r="R71" s="9" t="n">
        <x:v>16.2</x:v>
      </x:c>
      <x:c r="S71" s="7" t="n">
        <x:v>23</x:v>
      </x:c>
      <x:c r="T71" s="6" t="inlineStr">
        <x:is>
          <x:t xml:space="preserve">Yes</x:t>
        </x:is>
      </x:c>
      <x:c r="U71" s="6" t="inlineStr">
        <x:is>
          <x:t xml:space="preserve">Delivered</x:t>
        </x:is>
      </x:c>
    </x:row>
    <x:row r="72">
      <x:c r="A72" s="2" t="inlineStr">
        <x:is>
          <x:t xml:space="preserve">PO-2025-0071</x:t>
        </x:is>
      </x:c>
      <x:c r="B72" s="2" t="inlineStr">
        <x:is>
          <x:t xml:space="preserve">30/06/2025</x:t>
        </x:is>
      </x:c>
      <x:c r="C72" s="2" t="inlineStr">
        <x:is>
          <x:t xml:space="preserve">June</x:t>
        </x:is>
      </x:c>
      <x:c r="D72" s="2" t="inlineStr">
        <x:is>
          <x:t xml:space="preserve">Quarry Park Mixed-Use Development</x:t>
        </x:is>
      </x:c>
      <x:c r="E72" s="2" t="inlineStr">
        <x:is>
          <x:t xml:space="preserve">Calgary NE</x:t>
        </x:is>
      </x:c>
      <x:c r="F72" s="2" t="inlineStr">
        <x:is>
          <x:t xml:space="preserve">Mohammed Siddiqui</x:t>
        </x:is>
      </x:c>
      <x:c r="G72" s="2" t="inlineStr">
        <x:is>
          <x:t xml:space="preserve">Civil Works</x:t>
        </x:is>
      </x:c>
      <x:c r="H72" s="2" t="inlineStr">
        <x:is>
          <x:t xml:space="preserve">Curb &amp; Gutter Concrete</x:t>
        </x:is>
      </x:c>
      <x:c r="I72" s="2" t="inlineStr">
        <x:is>
          <x:t xml:space="preserve">Ledcor Civil Alberta</x:t>
        </x:is>
      </x:c>
      <x:c r="J72" s="2" t="inlineStr">
        <x:is>
          <x:t xml:space="preserve">LPO – Direct Award</x:t>
        </x:is>
      </x:c>
      <x:c r="K72" s="3" t="n">
        <x:v>54</x:v>
      </x:c>
      <x:c r="L72" s="2" t="inlineStr">
        <x:is>
          <x:t xml:space="preserve">m³</x:t>
        </x:is>
      </x:c>
      <x:c r="M72" s="4" t="n">
        <x:v>256.28</x:v>
      </x:c>
      <x:c r="N72" s="4" t="n">
        <x:v>239.2</x:v>
      </x:c>
      <x:c r="O72" s="4" t="n">
        <x:v>13839.12</x:v>
      </x:c>
      <x:c r="P72" s="4" t="n">
        <x:v>12916.8</x:v>
      </x:c>
      <x:c r="Q72" s="4" t="n">
        <x:v>922.3200000000001</x:v>
      </x:c>
      <x:c r="R72" s="5" t="n">
        <x:v>7.1</x:v>
      </x:c>
      <x:c r="S72" s="3" t="n">
        <x:v>15</x:v>
      </x:c>
      <x:c r="T72" s="2" t="inlineStr">
        <x:is>
          <x:t xml:space="preserve">Yes</x:t>
        </x:is>
      </x:c>
      <x:c r="U72" s="2" t="inlineStr">
        <x:is>
          <x:t xml:space="preserve">Partially Delivered</x:t>
        </x:is>
      </x:c>
    </x:row>
    <x:row r="73">
      <x:c r="A73" s="6" t="inlineStr">
        <x:is>
          <x:t xml:space="preserve">PO-2025-0072</x:t>
        </x:is>
      </x:c>
      <x:c r="B73" s="6" t="inlineStr">
        <x:is>
          <x:t xml:space="preserve">17/04/2025</x:t>
        </x:is>
      </x:c>
      <x:c r="C73" s="6" t="inlineStr">
        <x:is>
          <x:t xml:space="preserve">April</x:t>
        </x:is>
      </x:c>
      <x:c r="D73" s="6" t="inlineStr">
        <x:is>
          <x:t xml:space="preserve">Bow River Crossing Overpass</x:t>
        </x:is>
      </x:c>
      <x:c r="E73" s="6" t="inlineStr">
        <x:is>
          <x:t xml:space="preserve">Rocky View County</x:t>
        </x:is>
      </x:c>
      <x:c r="F73" s="6" t="inlineStr">
        <x:is>
          <x:t xml:space="preserve">Mohammed Siddiqui</x:t>
        </x:is>
      </x:c>
      <x:c r="G73" s="6" t="inlineStr">
        <x:is>
          <x:t xml:space="preserve">Finishing</x:t>
        </x:is>
      </x:c>
      <x:c r="H73" s="6" t="inlineStr">
        <x:is>
          <x:t xml:space="preserve">Exterior Cladding Panel</x:t>
        </x:is>
      </x:c>
      <x:c r="I73" s="6" t="inlineStr">
        <x:is>
          <x:t xml:space="preserve">Armstrong World Industries</x:t>
        </x:is>
      </x:c>
      <x:c r="J73" s="6" t="inlineStr">
        <x:is>
          <x:t xml:space="preserve">Tender – Open</x:t>
        </x:is>
      </x:c>
      <x:c r="K73" s="7" t="n">
        <x:v>10</x:v>
      </x:c>
      <x:c r="L73" s="6" t="inlineStr">
        <x:is>
          <x:t xml:space="preserve">m²</x:t>
        </x:is>
      </x:c>
      <x:c r="M73" s="8" t="n">
        <x:v>184.3</x:v>
      </x:c>
      <x:c r="N73" s="8" t="n">
        <x:v>197.46</x:v>
      </x:c>
      <x:c r="O73" s="8" t="n">
        <x:v>1843</x:v>
      </x:c>
      <x:c r="P73" s="8" t="n">
        <x:v>1974.6</x:v>
      </x:c>
      <x:c r="Q73" s="8" t="n">
        <x:v>-131.6</x:v>
      </x:c>
      <x:c r="R73" s="9" t="n">
        <x:v>-6.7</x:v>
      </x:c>
      <x:c r="S73" s="7" t="n">
        <x:v>63</x:v>
      </x:c>
      <x:c r="T73" s="6" t="inlineStr">
        <x:is>
          <x:t xml:space="preserve">Yes</x:t>
        </x:is>
      </x:c>
      <x:c r="U73" s="6" t="inlineStr">
        <x:is>
          <x:t xml:space="preserve">Delivered</x:t>
        </x:is>
      </x:c>
    </x:row>
    <x:row r="74">
      <x:c r="A74" s="2" t="inlineStr">
        <x:is>
          <x:t xml:space="preserve">PO-2025-0073</x:t>
        </x:is>
      </x:c>
      <x:c r="B74" s="2" t="inlineStr">
        <x:is>
          <x:t xml:space="preserve">04/07/2025</x:t>
        </x:is>
      </x:c>
      <x:c r="C74" s="2" t="inlineStr">
        <x:is>
          <x:t xml:space="preserve">July</x:t>
        </x:is>
      </x:c>
      <x:c r="D74" s="2" t="inlineStr">
        <x:is>
          <x:t xml:space="preserve">Calgary SE Ring Road Extension</x:t>
        </x:is>
      </x:c>
      <x:c r="E74" s="2" t="inlineStr">
        <x:is>
          <x:t xml:space="preserve">Calgary SW</x:t>
        </x:is>
      </x:c>
      <x:c r="F74" s="2" t="inlineStr">
        <x:is>
          <x:t xml:space="preserve">Priya Sharma</x:t>
        </x:is>
      </x:c>
      <x:c r="G74" s="2" t="inlineStr">
        <x:is>
          <x:t xml:space="preserve">Concrete &amp; Structural</x:t>
        </x:is>
      </x:c>
      <x:c r="H74" s="2" t="inlineStr">
        <x:is>
          <x:t xml:space="preserve">Structural Formwork</x:t>
        </x:is>
      </x:c>
      <x:c r="I74" s="2" t="inlineStr">
        <x:is>
          <x:t xml:space="preserve">Evraz Steel Calgary</x:t>
        </x:is>
      </x:c>
      <x:c r="J74" s="2" t="inlineStr">
        <x:is>
          <x:t xml:space="preserve">Standing Offer Agreement</x:t>
        </x:is>
      </x:c>
      <x:c r="K74" s="3" t="n">
        <x:v>49</x:v>
      </x:c>
      <x:c r="L74" s="2" t="inlineStr">
        <x:is>
          <x:t xml:space="preserve">m³</x:t>
        </x:is>
      </x:c>
      <x:c r="M74" s="4" t="n">
        <x:v>215.8</x:v>
      </x:c>
      <x:c r="N74" s="4" t="n">
        <x:v>243.96</x:v>
      </x:c>
      <x:c r="O74" s="4" t="n">
        <x:v>10574.2</x:v>
      </x:c>
      <x:c r="P74" s="4" t="n">
        <x:v>11954.04</x:v>
      </x:c>
      <x:c r="Q74" s="4" t="n">
        <x:v>-1379.84</x:v>
      </x:c>
      <x:c r="R74" s="5" t="n">
        <x:v>-11.5</x:v>
      </x:c>
      <x:c r="S74" s="3" t="n">
        <x:v>64</x:v>
      </x:c>
      <x:c r="T74" s="2" t="inlineStr">
        <x:is>
          <x:t xml:space="preserve">No</x:t>
        </x:is>
      </x:c>
      <x:c r="U74" s="2" t="inlineStr">
        <x:is>
          <x:t xml:space="preserve">Pending</x:t>
        </x:is>
      </x:c>
    </x:row>
    <x:row r="75">
      <x:c r="A75" s="6" t="inlineStr">
        <x:is>
          <x:t xml:space="preserve">PO-2025-0074</x:t>
        </x:is>
      </x:c>
      <x:c r="B75" s="6" t="inlineStr">
        <x:is>
          <x:t xml:space="preserve">28/02/2025</x:t>
        </x:is>
      </x:c>
      <x:c r="C75" s="6" t="inlineStr">
        <x:is>
          <x:t xml:space="preserve">February</x:t>
        </x:is>
      </x:c>
      <x:c r="D75" s="6" t="inlineStr">
        <x:is>
          <x:t xml:space="preserve">Stampede Park Infrastructure Upgrade</x:t>
        </x:is>
      </x:c>
      <x:c r="E75" s="6" t="inlineStr">
        <x:is>
          <x:t xml:space="preserve">Calgary NE</x:t>
        </x:is>
      </x:c>
      <x:c r="F75" s="6" t="inlineStr">
        <x:is>
          <x:t xml:space="preserve">Mohammed Siddiqui</x:t>
        </x:is>
      </x:c>
      <x:c r="G75" s="6" t="inlineStr">
        <x:is>
          <x:t xml:space="preserve">Safety &amp; Temp Works</x:t>
        </x:is>
      </x:c>
      <x:c r="H75" s="6" t="inlineStr">
        <x:is>
          <x:t xml:space="preserve">Scaffolding System</x:t>
        </x:is>
      </x:c>
      <x:c r="I75" s="6" t="inlineStr">
        <x:is>
          <x:t xml:space="preserve">Safway Alberta</x:t>
        </x:is>
      </x:c>
      <x:c r="J75" s="6" t="inlineStr">
        <x:is>
          <x:t xml:space="preserve">Standing Offer Agreement</x:t>
        </x:is>
      </x:c>
      <x:c r="K75" s="7" t="n">
        <x:v>96</x:v>
      </x:c>
      <x:c r="L75" s="6" t="inlineStr">
        <x:is>
          <x:t xml:space="preserve">lot</x:t>
        </x:is>
      </x:c>
      <x:c r="M75" s="8" t="n">
        <x:v>18805.29</x:v>
      </x:c>
      <x:c r="N75" s="8" t="n">
        <x:v>18303.53</x:v>
      </x:c>
      <x:c r="O75" s="8" t="n">
        <x:v>1805307.84</x:v>
      </x:c>
      <x:c r="P75" s="8" t="n">
        <x:v>1757138.88</x:v>
      </x:c>
      <x:c r="Q75" s="8" t="n">
        <x:v>48168.96</x:v>
      </x:c>
      <x:c r="R75" s="9" t="n">
        <x:v>2.7</x:v>
      </x:c>
      <x:c r="S75" s="7" t="n">
        <x:v>47</x:v>
      </x:c>
      <x:c r="T75" s="6" t="inlineStr">
        <x:is>
          <x:t xml:space="preserve">Yes</x:t>
        </x:is>
      </x:c>
      <x:c r="U75" s="6" t="inlineStr">
        <x:is>
          <x:t xml:space="preserve">Pending</x:t>
        </x:is>
      </x:c>
    </x:row>
    <x:row r="76">
      <x:c r="A76" s="2" t="inlineStr">
        <x:is>
          <x:t xml:space="preserve">PO-2025-0075</x:t>
        </x:is>
      </x:c>
      <x:c r="B76" s="2" t="inlineStr">
        <x:is>
          <x:t xml:space="preserve">14/02/2025</x:t>
        </x:is>
      </x:c>
      <x:c r="C76" s="2" t="inlineStr">
        <x:is>
          <x:t xml:space="preserve">February</x:t>
        </x:is>
      </x:c>
      <x:c r="D76" s="2" t="inlineStr">
        <x:is>
          <x:t xml:space="preserve">Quarry Park Mixed-Use Development</x:t>
        </x:is>
      </x:c>
      <x:c r="E76" s="2" t="inlineStr">
        <x:is>
          <x:t xml:space="preserve">Calgary SW</x:t>
        </x:is>
      </x:c>
      <x:c r="F76" s="2" t="inlineStr">
        <x:is>
          <x:t xml:space="preserve">Linda Tran</x:t>
        </x:is>
      </x:c>
      <x:c r="G76" s="2" t="inlineStr">
        <x:is>
          <x:t xml:space="preserve">MEP - Mechanical</x:t>
        </x:is>
      </x:c>
      <x:c r="H76" s="2" t="inlineStr">
        <x:is>
          <x:t xml:space="preserve">Heat Pump Assembly</x:t>
        </x:is>
      </x:c>
      <x:c r="I76" s="2" t="inlineStr">
        <x:is>
          <x:t xml:space="preserve">Johnson Controls Alberta</x:t>
        </x:is>
      </x:c>
      <x:c r="J76" s="2" t="inlineStr">
        <x:is>
          <x:t xml:space="preserve">Tender – Open</x:t>
        </x:is>
      </x:c>
      <x:c r="K76" s="3" t="n">
        <x:v>73</x:v>
      </x:c>
      <x:c r="L76" s="2" t="inlineStr">
        <x:is>
          <x:t xml:space="preserve">lot</x:t>
        </x:is>
      </x:c>
      <x:c r="M76" s="4" t="n">
        <x:v>92915.97</x:v>
      </x:c>
      <x:c r="N76" s="4" t="n">
        <x:v>96496.13</x:v>
      </x:c>
      <x:c r="O76" s="4" t="n">
        <x:v>6782865.81</x:v>
      </x:c>
      <x:c r="P76" s="4" t="n">
        <x:v>7044217.49</x:v>
      </x:c>
      <x:c r="Q76" s="4" t="n">
        <x:v>-261351.68</x:v>
      </x:c>
      <x:c r="R76" s="5" t="n">
        <x:v>-3.7</x:v>
      </x:c>
      <x:c r="S76" s="3" t="n">
        <x:v>85</x:v>
      </x:c>
      <x:c r="T76" s="2" t="inlineStr">
        <x:is>
          <x:t xml:space="preserve">Yes</x:t>
        </x:is>
      </x:c>
      <x:c r="U76" s="2" t="inlineStr">
        <x:is>
          <x:t xml:space="preserve">Partially Delivered</x:t>
        </x:is>
      </x:c>
    </x:row>
    <x:row r="77">
      <x:c r="A77" s="6" t="inlineStr">
        <x:is>
          <x:t xml:space="preserve">PO-2025-0076</x:t>
        </x:is>
      </x:c>
      <x:c r="B77" s="6" t="inlineStr">
        <x:is>
          <x:t xml:space="preserve">17/02/2025</x:t>
        </x:is>
      </x:c>
      <x:c r="C77" s="6" t="inlineStr">
        <x:is>
          <x:t xml:space="preserve">February</x:t>
        </x:is>
      </x:c>
      <x:c r="D77" s="6" t="inlineStr">
        <x:is>
          <x:t xml:space="preserve">Calgary SE Ring Road Extension</x:t>
        </x:is>
      </x:c>
      <x:c r="E77" s="6" t="inlineStr">
        <x:is>
          <x:t xml:space="preserve">Calgary SW</x:t>
        </x:is>
      </x:c>
      <x:c r="F77" s="6" t="inlineStr">
        <x:is>
          <x:t xml:space="preserve">James Okafor</x:t>
        </x:is>
      </x:c>
      <x:c r="G77" s="6" t="inlineStr">
        <x:is>
          <x:t xml:space="preserve">Finishing</x:t>
        </x:is>
      </x:c>
      <x:c r="H77" s="6" t="inlineStr">
        <x:is>
          <x:t xml:space="preserve">Ceramic Floor Tile</x:t>
        </x:is>
      </x:c>
      <x:c r="I77" s="6" t="inlineStr">
        <x:is>
          <x:t xml:space="preserve">Armstrong World Industries</x:t>
        </x:is>
      </x:c>
      <x:c r="J77" s="6" t="inlineStr">
        <x:is>
          <x:t xml:space="preserve">3-Quote Comparison</x:t>
        </x:is>
      </x:c>
      <x:c r="K77" s="7" t="n">
        <x:v>5</x:v>
      </x:c>
      <x:c r="L77" s="6" t="inlineStr">
        <x:is>
          <x:t xml:space="preserve">m²</x:t>
        </x:is>
      </x:c>
      <x:c r="M77" s="8" t="n">
        <x:v>137.27</x:v>
      </x:c>
      <x:c r="N77" s="8" t="n">
        <x:v>161.71</x:v>
      </x:c>
      <x:c r="O77" s="8" t="n">
        <x:v>686.35</x:v>
      </x:c>
      <x:c r="P77" s="8" t="n">
        <x:v>808.55</x:v>
      </x:c>
      <x:c r="Q77" s="8" t="n">
        <x:v>-122.2</x:v>
      </x:c>
      <x:c r="R77" s="9" t="n">
        <x:v>-15.1</x:v>
      </x:c>
      <x:c r="S77" s="7" t="n">
        <x:v>79</x:v>
      </x:c>
      <x:c r="T77" s="6" t="inlineStr">
        <x:is>
          <x:t xml:space="preserve">Yes</x:t>
        </x:is>
      </x:c>
      <x:c r="U77" s="6" t="inlineStr">
        <x:is>
          <x:t xml:space="preserve">Delivered</x:t>
        </x:is>
      </x:c>
    </x:row>
    <x:row r="78">
      <x:c r="A78" s="2" t="inlineStr">
        <x:is>
          <x:t xml:space="preserve">PO-2025-0077</x:t>
        </x:is>
      </x:c>
      <x:c r="B78" s="2" t="inlineStr">
        <x:is>
          <x:t xml:space="preserve">27/04/2025</x:t>
        </x:is>
      </x:c>
      <x:c r="C78" s="2" t="inlineStr">
        <x:is>
          <x:t xml:space="preserve">April</x:t>
        </x:is>
      </x:c>
      <x:c r="D78" s="2" t="inlineStr">
        <x:is>
          <x:t xml:space="preserve">Bow River Crossing Overpass</x:t>
        </x:is>
      </x:c>
      <x:c r="E78" s="2" t="inlineStr">
        <x:is>
          <x:t xml:space="preserve">Calgary SW</x:t>
        </x:is>
      </x:c>
      <x:c r="F78" s="2" t="inlineStr">
        <x:is>
          <x:t xml:space="preserve">Priya Sharma</x:t>
        </x:is>
      </x:c>
      <x:c r="G78" s="2" t="inlineStr">
        <x:is>
          <x:t xml:space="preserve">Concrete &amp; Structural</x:t>
        </x:is>
      </x:c>
      <x:c r="H78" s="2" t="inlineStr">
        <x:is>
          <x:t xml:space="preserve">Structural Formwork</x:t>
        </x:is>
      </x:c>
      <x:c r="I78" s="2" t="inlineStr">
        <x:is>
          <x:t xml:space="preserve">Evraz Steel Calgary</x:t>
        </x:is>
      </x:c>
      <x:c r="J78" s="2" t="inlineStr">
        <x:is>
          <x:t xml:space="preserve">Tender – Open</x:t>
        </x:is>
      </x:c>
      <x:c r="K78" s="3" t="n">
        <x:v>55</x:v>
      </x:c>
      <x:c r="L78" s="2" t="inlineStr">
        <x:is>
          <x:t xml:space="preserve">m³</x:t>
        </x:is>
      </x:c>
      <x:c r="M78" s="4" t="n">
        <x:v>642.6900000000001</x:v>
      </x:c>
      <x:c r="N78" s="4" t="n">
        <x:v>779.08</x:v>
      </x:c>
      <x:c r="O78" s="4" t="n">
        <x:v>35347.95</x:v>
      </x:c>
      <x:c r="P78" s="4" t="n">
        <x:v>42849.4</x:v>
      </x:c>
      <x:c r="Q78" s="4" t="n">
        <x:v>-7501.45</x:v>
      </x:c>
      <x:c r="R78" s="5" t="n">
        <x:v>-17.5</x:v>
      </x:c>
      <x:c r="S78" s="3" t="n">
        <x:v>21</x:v>
      </x:c>
      <x:c r="T78" s="2" t="inlineStr">
        <x:is>
          <x:t xml:space="preserve">Yes</x:t>
        </x:is>
      </x:c>
      <x:c r="U78" s="2" t="inlineStr">
        <x:is>
          <x:t xml:space="preserve">Delivered</x:t>
        </x:is>
      </x:c>
    </x:row>
    <x:row r="79">
      <x:c r="A79" s="6" t="inlineStr">
        <x:is>
          <x:t xml:space="preserve">PO-2025-0078</x:t>
        </x:is>
      </x:c>
      <x:c r="B79" s="6" t="inlineStr">
        <x:is>
          <x:t xml:space="preserve">17/07/2025</x:t>
        </x:is>
      </x:c>
      <x:c r="C79" s="6" t="inlineStr">
        <x:is>
          <x:t xml:space="preserve">July</x:t>
        </x:is>
      </x:c>
      <x:c r="D79" s="6" t="inlineStr">
        <x:is>
          <x:t xml:space="preserve">Stampede Park Infrastructure Upgrade</x:t>
        </x:is>
      </x:c>
      <x:c r="E79" s="6" t="inlineStr">
        <x:is>
          <x:t xml:space="preserve">Calgary SE</x:t>
        </x:is>
      </x:c>
      <x:c r="F79" s="6" t="inlineStr">
        <x:is>
          <x:t xml:space="preserve">Derek McLean</x:t>
        </x:is>
      </x:c>
      <x:c r="G79" s="6" t="inlineStr">
        <x:is>
          <x:t xml:space="preserve">Civil Works</x:t>
        </x:is>
      </x:c>
      <x:c r="H79" s="6" t="inlineStr">
        <x:is>
          <x:t xml:space="preserve">Storm Drainage Pipe</x:t>
        </x:is>
      </x:c>
      <x:c r="I79" s="6" t="inlineStr">
        <x:is>
          <x:t xml:space="preserve">Ledcor Civil Alberta</x:t>
        </x:is>
      </x:c>
      <x:c r="J79" s="6" t="inlineStr">
        <x:is>
          <x:t xml:space="preserve">Emergency Procurement</x:t>
        </x:is>
      </x:c>
      <x:c r="K79" s="7" t="n">
        <x:v>101</x:v>
      </x:c>
      <x:c r="L79" s="6" t="inlineStr">
        <x:is>
          <x:t xml:space="preserve">m³</x:t>
        </x:is>
      </x:c>
      <x:c r="M79" s="8" t="n">
        <x:v>233.47</x:v>
      </x:c>
      <x:c r="N79" s="8" t="n">
        <x:v>270.84</x:v>
      </x:c>
      <x:c r="O79" s="8" t="n">
        <x:v>23580.47</x:v>
      </x:c>
      <x:c r="P79" s="8" t="n">
        <x:v>27354.84</x:v>
      </x:c>
      <x:c r="Q79" s="8" t="n">
        <x:v>-3774.37</x:v>
      </x:c>
      <x:c r="R79" s="9" t="n">
        <x:v>-13.8</x:v>
      </x:c>
      <x:c r="S79" s="11" t="n"/>
      <x:c r="T79" s="6" t="inlineStr">
        <x:is>
          <x:t xml:space="preserve">Yes</x:t>
        </x:is>
      </x:c>
      <x:c r="U79" s="6" t="inlineStr">
        <x:is>
          <x:t xml:space="preserve">Delivered</x:t>
        </x:is>
      </x:c>
    </x:row>
    <x:row r="80">
      <x:c r="A80" s="2" t="inlineStr">
        <x:is>
          <x:t xml:space="preserve">PO-2025-0079</x:t>
        </x:is>
      </x:c>
      <x:c r="B80" s="2" t="inlineStr">
        <x:is>
          <x:t xml:space="preserve">19/06/2025</x:t>
        </x:is>
      </x:c>
      <x:c r="C80" s="2" t="inlineStr">
        <x:is>
          <x:t xml:space="preserve">June</x:t>
        </x:is>
      </x:c>
      <x:c r="D80" s="2" t="inlineStr">
        <x:is>
          <x:t xml:space="preserve">Foothills Medical Centre Expansion</x:t>
        </x:is>
      </x:c>
      <x:c r="E80" s="2" t="inlineStr">
        <x:is>
          <x:t xml:space="preserve">Calgary SE</x:t>
        </x:is>
      </x:c>
      <x:c r="F80" s="2" t="inlineStr">
        <x:is>
          <x:t xml:space="preserve">Derek McLean</x:t>
        </x:is>
      </x:c>
      <x:c r="G80" s="2" t="inlineStr">
        <x:is>
          <x:t xml:space="preserve">MEP - Electrical</x:t>
        </x:is>
      </x:c>
      <x:c r="H80" s="2" t="inlineStr">
        <x:is>
          <x:t xml:space="preserve">Grounding System</x:t>
        </x:is>
      </x:c>
      <x:c r="I80" s="2" t="inlineStr">
        <x:is>
          <x:t xml:space="preserve">Schneider Electric Canada</x:t>
        </x:is>
      </x:c>
      <x:c r="J80" s="2" t="inlineStr">
        <x:is>
          <x:t xml:space="preserve">3-Quote Comparison</x:t>
        </x:is>
      </x:c>
      <x:c r="K80" s="3" t="n">
        <x:v>101</x:v>
      </x:c>
      <x:c r="L80" s="2" t="inlineStr">
        <x:is>
          <x:t xml:space="preserve">lot</x:t>
        </x:is>
      </x:c>
      <x:c r="M80" s="4" t="n">
        <x:v>47216.38</x:v>
      </x:c>
      <x:c r="N80" s="4" t="n">
        <x:v>45871.72</x:v>
      </x:c>
      <x:c r="O80" s="4" t="n">
        <x:v>4768854.38</x:v>
      </x:c>
      <x:c r="P80" s="4" t="n">
        <x:v>4633043.72</x:v>
      </x:c>
      <x:c r="Q80" s="4" t="n">
        <x:v>135810.66</x:v>
      </x:c>
      <x:c r="R80" s="5" t="n">
        <x:v>2.9</x:v>
      </x:c>
      <x:c r="S80" s="3" t="n">
        <x:v>17</x:v>
      </x:c>
      <x:c r="T80" s="2" t="inlineStr">
        <x:is>
          <x:t xml:space="preserve">Yes</x:t>
        </x:is>
      </x:c>
      <x:c r="U80" s="2" t="inlineStr">
        <x:is>
          <x:t xml:space="preserve">Delivered</x:t>
        </x:is>
      </x:c>
    </x:row>
    <x:row r="81">
      <x:c r="A81" s="6" t="inlineStr">
        <x:is>
          <x:t xml:space="preserve">PO-2025-0080</x:t>
        </x:is>
      </x:c>
      <x:c r="B81" s="6" t="inlineStr">
        <x:is>
          <x:t xml:space="preserve">10/05/2025</x:t>
        </x:is>
      </x:c>
      <x:c r="C81" s="6" t="inlineStr">
        <x:is>
          <x:t xml:space="preserve">May</x:t>
        </x:is>
      </x:c>
      <x:c r="D81" s="6" t="inlineStr">
        <x:is>
          <x:t xml:space="preserve">Deerfoot Trail Widening - North</x:t>
        </x:is>
      </x:c>
      <x:c r="E81" s="6" t="inlineStr">
        <x:is>
          <x:t xml:space="preserve">Calgary SE</x:t>
        </x:is>
      </x:c>
      <x:c r="F81" s="6" t="inlineStr">
        <x:is>
          <x:t xml:space="preserve">James Okafor</x:t>
        </x:is>
      </x:c>
      <x:c r="G81" s="6" t="inlineStr">
        <x:is>
          <x:t xml:space="preserve">Finishing</x:t>
        </x:is>
      </x:c>
      <x:c r="H81" s="6" t="inlineStr">
        <x:is>
          <x:t xml:space="preserve">Drywall &amp; Framing</x:t>
        </x:is>
      </x:c>
      <x:c r="I81" s="6" t="inlineStr">
        <x:is>
          <x:t xml:space="preserve">Tremco Roofing</x:t>
        </x:is>
      </x:c>
      <x:c r="J81" s="6" t="inlineStr">
        <x:is>
          <x:t xml:space="preserve">Emergency Procurement</x:t>
        </x:is>
      </x:c>
      <x:c r="K81" s="7" t="n">
        <x:v>120</x:v>
      </x:c>
      <x:c r="L81" s="6" t="inlineStr">
        <x:is>
          <x:t xml:space="preserve">m²</x:t>
        </x:is>
      </x:c>
      <x:c r="M81" s="8" t="n">
        <x:v>345.37</x:v>
      </x:c>
      <x:c r="N81" s="8" t="n">
        <x:v>364.74</x:v>
      </x:c>
      <x:c r="O81" s="8" t="n">
        <x:v>41444.4</x:v>
      </x:c>
      <x:c r="P81" s="8" t="n">
        <x:v>43768.8</x:v>
      </x:c>
      <x:c r="Q81" s="8" t="n">
        <x:v>-2324.4</x:v>
      </x:c>
      <x:c r="R81" s="9" t="n">
        <x:v>-5.3</x:v>
      </x:c>
      <x:c r="S81" s="7" t="n">
        <x:v>29</x:v>
      </x:c>
      <x:c r="T81" s="6" t="inlineStr">
        <x:is>
          <x:t xml:space="preserve">Yes</x:t>
        </x:is>
      </x:c>
      <x:c r="U81" s="6" t="inlineStr">
        <x:is>
          <x:t xml:space="preserve">Delivered</x:t>
        </x:is>
      </x:c>
    </x:row>
    <x:row r="82">
      <x:c r="A82" s="2" t="inlineStr">
        <x:is>
          <x:t xml:space="preserve">PO-2025-0081</x:t>
        </x:is>
      </x:c>
      <x:c r="B82" s="2" t="inlineStr">
        <x:is>
          <x:t xml:space="preserve">18/11/2025</x:t>
        </x:is>
      </x:c>
      <x:c r="C82" s="2" t="inlineStr">
        <x:is>
          <x:t xml:space="preserve">November</x:t>
        </x:is>
      </x:c>
      <x:c r="D82" s="2" t="inlineStr">
        <x:is>
          <x:t xml:space="preserve">Foothills Medical Centre Expansion</x:t>
        </x:is>
      </x:c>
      <x:c r="E82" s="2" t="inlineStr">
        <x:is>
          <x:t xml:space="preserve">Calgary NE</x:t>
        </x:is>
      </x:c>
      <x:c r="F82" s="2" t="inlineStr">
        <x:is>
          <x:t xml:space="preserve">Derek McLean</x:t>
        </x:is>
      </x:c>
      <x:c r="G82" s="2" t="inlineStr">
        <x:is>
          <x:t xml:space="preserve">MEP - Mechanical</x:t>
        </x:is>
      </x:c>
      <x:c r="H82" s="2" t="inlineStr">
        <x:is>
          <x:t xml:space="preserve">Boiler System</x:t>
        </x:is>
      </x:c>
      <x:c r="I82" s="2" t="inlineStr">
        <x:is>
          <x:t xml:space="preserve">Stantec MEP</x:t>
        </x:is>
      </x:c>
      <x:c r="J82" s="2" t="inlineStr">
        <x:is>
          <x:t xml:space="preserve">Tender – Open</x:t>
        </x:is>
      </x:c>
      <x:c r="K82" s="3" t="n">
        <x:v>119</x:v>
      </x:c>
      <x:c r="L82" s="2" t="inlineStr">
        <x:is>
          <x:t xml:space="preserve">lot</x:t>
        </x:is>
      </x:c>
      <x:c r="M82" s="4" t="n">
        <x:v>35949.58</x:v>
      </x:c>
      <x:c r="N82" s="4" t="n">
        <x:v>42835.87</x:v>
      </x:c>
      <x:c r="O82" s="4" t="n">
        <x:v>4278000.02</x:v>
      </x:c>
      <x:c r="P82" s="4" t="n">
        <x:v>5097468.53</x:v>
      </x:c>
      <x:c r="Q82" s="4" t="n">
        <x:v>-819468.51</x:v>
      </x:c>
      <x:c r="R82" s="5" t="n">
        <x:v>-16.1</x:v>
      </x:c>
      <x:c r="S82" s="3" t="n">
        <x:v>38</x:v>
      </x:c>
      <x:c r="T82" s="2" t="inlineStr">
        <x:is>
          <x:t xml:space="preserve">Yes</x:t>
        </x:is>
      </x:c>
      <x:c r="U82" s="2" t="inlineStr">
        <x:is>
          <x:t xml:space="preserve">Delivered</x:t>
        </x:is>
      </x:c>
    </x:row>
    <x:row r="83">
      <x:c r="A83" s="6" t="inlineStr">
        <x:is>
          <x:t xml:space="preserve">PO-2025-0082</x:t>
        </x:is>
      </x:c>
      <x:c r="B83" s="6" t="inlineStr">
        <x:is>
          <x:t xml:space="preserve">20/08/2025</x:t>
        </x:is>
      </x:c>
      <x:c r="C83" s="6" t="inlineStr">
        <x:is>
          <x:t xml:space="preserve">August</x:t>
        </x:is>
      </x:c>
      <x:c r="D83" s="6" t="inlineStr">
        <x:is>
          <x:t xml:space="preserve">Saddledome Arena Retrofit</x:t>
        </x:is>
      </x:c>
      <x:c r="E83" s="6" t="inlineStr">
        <x:is>
          <x:t xml:space="preserve">Calgary SW</x:t>
        </x:is>
      </x:c>
      <x:c r="F83" s="6" t="inlineStr">
        <x:is>
          <x:t xml:space="preserve">Mohammed Siddiqui</x:t>
        </x:is>
      </x:c>
      <x:c r="G83" s="6" t="inlineStr">
        <x:is>
          <x:t xml:space="preserve">Finishing</x:t>
        </x:is>
      </x:c>
      <x:c r="H83" s="6" t="inlineStr">
        <x:is>
          <x:t xml:space="preserve">Waterproofing Membrane</x:t>
        </x:is>
      </x:c>
      <x:c r="I83" s="6" t="inlineStr">
        <x:is>
          <x:t xml:space="preserve">Centura Tile Calgary</x:t>
        </x:is>
      </x:c>
      <x:c r="J83" s="6" t="inlineStr">
        <x:is>
          <x:t xml:space="preserve">3-Quote Comparison</x:t>
        </x:is>
      </x:c>
      <x:c r="K83" s="7" t="n">
        <x:v>115</x:v>
      </x:c>
      <x:c r="L83" s="6" t="inlineStr">
        <x:is>
          <x:t xml:space="preserve">m²</x:t>
        </x:is>
      </x:c>
      <x:c r="M83" s="8" t="n">
        <x:v>423.73</x:v>
      </x:c>
      <x:c r="N83" s="8" t="n">
        <x:v>496.04</x:v>
      </x:c>
      <x:c r="O83" s="8" t="n">
        <x:v>48728.95</x:v>
      </x:c>
      <x:c r="P83" s="8" t="n">
        <x:v>57044.6</x:v>
      </x:c>
      <x:c r="Q83" s="8" t="n">
        <x:v>-8315.65</x:v>
      </x:c>
      <x:c r="R83" s="9" t="n">
        <x:v>-14.6</x:v>
      </x:c>
      <x:c r="S83" s="7" t="n">
        <x:v>80</x:v>
      </x:c>
      <x:c r="T83" s="6" t="inlineStr">
        <x:is>
          <x:t xml:space="preserve">No</x:t>
        </x:is>
      </x:c>
      <x:c r="U83" s="6" t="inlineStr">
        <x:is>
          <x:t xml:space="preserve">Delivered</x:t>
        </x:is>
      </x:c>
    </x:row>
    <x:row r="84">
      <x:c r="A84" s="2" t="inlineStr">
        <x:is>
          <x:t xml:space="preserve">PO-2025-0083</x:t>
        </x:is>
      </x:c>
      <x:c r="B84" s="2" t="inlineStr">
        <x:is>
          <x:t xml:space="preserve">28/05/2025</x:t>
        </x:is>
      </x:c>
      <x:c r="C84" s="2" t="inlineStr">
        <x:is>
          <x:t xml:space="preserve">May</x:t>
        </x:is>
      </x:c>
      <x:c r="D84" s="2" t="inlineStr">
        <x:is>
          <x:t xml:space="preserve">Rocky View Industrial Logistics Hub</x:t>
        </x:is>
      </x:c>
      <x:c r="E84" s="2" t="inlineStr">
        <x:is>
          <x:t xml:space="preserve">Calgary SW</x:t>
        </x:is>
      </x:c>
      <x:c r="F84" s="2" t="inlineStr">
        <x:is>
          <x:t xml:space="preserve">James Okafor</x:t>
        </x:is>
      </x:c>
      <x:c r="G84" s="2" t="inlineStr">
        <x:is>
          <x:t xml:space="preserve">Finishing</x:t>
        </x:is>
      </x:c>
      <x:c r="H84" s="2" t="inlineStr">
        <x:is>
          <x:t xml:space="preserve">Acoustic Ceiling Grid</x:t>
        </x:is>
      </x:c>
      <x:c r="I84" s="2" t="inlineStr">
        <x:is>
          <x:t xml:space="preserve">Armstrong World Industries</x:t>
        </x:is>
      </x:c>
      <x:c r="J84" s="2" t="inlineStr">
        <x:is>
          <x:t xml:space="preserve">Emergency Procurement</x:t>
        </x:is>
      </x:c>
      <x:c r="K84" s="3" t="n">
        <x:v>10</x:v>
      </x:c>
      <x:c r="L84" s="2" t="inlineStr">
        <x:is>
          <x:t xml:space="preserve">m²</x:t>
        </x:is>
      </x:c>
      <x:c r="M84" s="4" t="n">
        <x:v>279.14</x:v>
      </x:c>
      <x:c r="N84" s="4" t="n">
        <x:v>288.25</x:v>
      </x:c>
      <x:c r="O84" s="4" t="n">
        <x:v>2791.4</x:v>
      </x:c>
      <x:c r="P84" s="4" t="n">
        <x:v>2882.5</x:v>
      </x:c>
      <x:c r="Q84" s="4" t="n">
        <x:v>-91.09999999999999</x:v>
      </x:c>
      <x:c r="R84" s="5" t="n">
        <x:v>-3.2</x:v>
      </x:c>
      <x:c r="S84" s="3" t="n">
        <x:v>55</x:v>
      </x:c>
      <x:c r="T84" s="2" t="inlineStr">
        <x:is>
          <x:t xml:space="preserve">No</x:t>
        </x:is>
      </x:c>
      <x:c r="U84" s="2" t="inlineStr">
        <x:is>
          <x:t xml:space="preserve">Cancelled</x:t>
        </x:is>
      </x:c>
    </x:row>
    <x:row r="85">
      <x:c r="A85" s="6" t="inlineStr">
        <x:is>
          <x:t xml:space="preserve">PO-2025-0084</x:t>
        </x:is>
      </x:c>
      <x:c r="B85" s="6" t="inlineStr">
        <x:is>
          <x:t xml:space="preserve">12/03/2025</x:t>
        </x:is>
      </x:c>
      <x:c r="C85" s="6" t="inlineStr">
        <x:is>
          <x:t xml:space="preserve">March</x:t>
        </x:is>
      </x:c>
      <x:c r="D85" s="6" t="inlineStr">
        <x:is>
          <x:t xml:space="preserve">Quarry Park Mixed-Use Development</x:t>
        </x:is>
      </x:c>
      <x:c r="E85" s="6" t="inlineStr">
        <x:is>
          <x:t xml:space="preserve">Rocky View County</x:t>
        </x:is>
      </x:c>
      <x:c r="F85" s="6" t="inlineStr">
        <x:is>
          <x:t xml:space="preserve">James Okafor</x:t>
        </x:is>
      </x:c>
      <x:c r="G85" s="6" t="inlineStr">
        <x:is>
          <x:t xml:space="preserve">Finishing</x:t>
        </x:is>
      </x:c>
      <x:c r="H85" s="6" t="inlineStr">
        <x:is>
          <x:t xml:space="preserve">Waterproofing Membrane</x:t>
        </x:is>
      </x:c>
      <x:c r="I85" s="6" t="inlineStr">
        <x:is>
          <x:t xml:space="preserve">Centura Tile Calgary</x:t>
        </x:is>
      </x:c>
      <x:c r="J85" s="6" t="inlineStr">
        <x:is>
          <x:t xml:space="preserve">3-Quote Comparison</x:t>
        </x:is>
      </x:c>
      <x:c r="K85" s="7" t="n">
        <x:v>5</x:v>
      </x:c>
      <x:c r="L85" s="6" t="inlineStr">
        <x:is>
          <x:t xml:space="preserve">m²</x:t>
        </x:is>
      </x:c>
      <x:c r="M85" s="8" t="n">
        <x:v>224.8</x:v>
      </x:c>
      <x:c r="N85" s="8" t="n">
        <x:v>205.54</x:v>
      </x:c>
      <x:c r="O85" s="8" t="n">
        <x:v>1124</x:v>
      </x:c>
      <x:c r="P85" s="8" t="n">
        <x:v>1027.7</x:v>
      </x:c>
      <x:c r="Q85" s="8" t="n">
        <x:v>96.3</x:v>
      </x:c>
      <x:c r="R85" s="9" t="n">
        <x:v>9.4</x:v>
      </x:c>
      <x:c r="S85" s="7" t="n">
        <x:v>53</x:v>
      </x:c>
      <x:c r="T85" s="6" t="inlineStr">
        <x:is>
          <x:t xml:space="preserve">No</x:t>
        </x:is>
      </x:c>
      <x:c r="U85" s="6" t="inlineStr">
        <x:is>
          <x:t xml:space="preserve">Partially Delivered</x:t>
        </x:is>
      </x:c>
    </x:row>
    <x:row r="86">
      <x:c r="A86" s="2" t="inlineStr">
        <x:is>
          <x:t xml:space="preserve">PO-2025-0085</x:t>
        </x:is>
      </x:c>
      <x:c r="B86" s="2" t="inlineStr">
        <x:is>
          <x:t xml:space="preserve">30/03/2025</x:t>
        </x:is>
      </x:c>
      <x:c r="C86" s="2" t="inlineStr">
        <x:is>
          <x:t xml:space="preserve">March</x:t>
        </x:is>
      </x:c>
      <x:c r="D86" s="2" t="inlineStr">
        <x:is>
          <x:t xml:space="preserve">Rocky View Industrial Logistics Hub</x:t>
        </x:is>
      </x:c>
      <x:c r="E86" s="2" t="inlineStr">
        <x:is>
          <x:t xml:space="preserve">Calgary SW</x:t>
        </x:is>
      </x:c>
      <x:c r="F86" s="2" t="inlineStr">
        <x:is>
          <x:t xml:space="preserve">Liam Kowalski</x:t>
        </x:is>
      </x:c>
      <x:c r="G86" s="2" t="inlineStr">
        <x:is>
          <x:t xml:space="preserve">MEP - Electrical</x:t>
        </x:is>
      </x:c>
      <x:c r="H86" s="2" t="inlineStr">
        <x:is>
          <x:t xml:space="preserve">LV Switchgear Panel</x:t>
        </x:is>
      </x:c>
      <x:c r="I86" s="2" t="inlineStr">
        <x:is>
          <x:t xml:space="preserve">Stuart Olson Electrical</x:t>
        </x:is>
      </x:c>
      <x:c r="J86" s="2" t="inlineStr">
        <x:is>
          <x:t xml:space="preserve">LPO – Direct Award</x:t>
        </x:is>
      </x:c>
      <x:c r="K86" s="3" t="n">
        <x:v>101</x:v>
      </x:c>
      <x:c r="L86" s="2" t="inlineStr">
        <x:is>
          <x:t xml:space="preserve">lot</x:t>
        </x:is>
      </x:c>
      <x:c r="M86" s="4" t="n">
        <x:v>65726.05</x:v>
      </x:c>
      <x:c r="N86" s="4" t="n">
        <x:v>60139.6</x:v>
      </x:c>
      <x:c r="O86" s="4" t="n">
        <x:v>6638331.05</x:v>
      </x:c>
      <x:c r="P86" s="4" t="n">
        <x:v>6074099.6</x:v>
      </x:c>
      <x:c r="Q86" s="4" t="n">
        <x:v>564231.45</x:v>
      </x:c>
      <x:c r="R86" s="5" t="n">
        <x:v>9.300000000000001</x:v>
      </x:c>
      <x:c r="S86" s="3" t="n">
        <x:v>67</x:v>
      </x:c>
      <x:c r="T86" s="2" t="inlineStr">
        <x:is>
          <x:t xml:space="preserve">Yes</x:t>
        </x:is>
      </x:c>
      <x:c r="U86" s="2" t="inlineStr">
        <x:is>
          <x:t xml:space="preserve">Partially Delivered</x:t>
        </x:is>
      </x:c>
    </x:row>
    <x:row r="87">
      <x:c r="A87" s="6" t="inlineStr">
        <x:is>
          <x:t xml:space="preserve">PO-2025-0086</x:t>
        </x:is>
      </x:c>
      <x:c r="B87" s="6" t="inlineStr">
        <x:is>
          <x:t xml:space="preserve">26/06/2025</x:t>
        </x:is>
      </x:c>
      <x:c r="C87" s="6" t="inlineStr">
        <x:is>
          <x:t xml:space="preserve">June</x:t>
        </x:is>
      </x:c>
      <x:c r="D87" s="6" t="inlineStr">
        <x:is>
          <x:t xml:space="preserve">University District Residential Phase 3</x:t>
        </x:is>
      </x:c>
      <x:c r="E87" s="6" t="inlineStr">
        <x:is>
          <x:t xml:space="preserve">Rocky View County</x:t>
        </x:is>
      </x:c>
      <x:c r="F87" s="6" t="inlineStr">
        <x:is>
          <x:t xml:space="preserve">Derek McLean</x:t>
        </x:is>
      </x:c>
      <x:c r="G87" s="6" t="inlineStr">
        <x:is>
          <x:t xml:space="preserve">MEP - Electrical</x:t>
        </x:is>
      </x:c>
      <x:c r="H87" s="6" t="inlineStr">
        <x:is>
          <x:t xml:space="preserve">Grounding System</x:t>
        </x:is>
      </x:c>
      <x:c r="I87" s="6" t="inlineStr">
        <x:is>
          <x:t xml:space="preserve">Flint Energy Services</x:t>
        </x:is>
      </x:c>
      <x:c r="J87" s="6" t="inlineStr">
        <x:is>
          <x:t xml:space="preserve">Standing Offer Agreement</x:t>
        </x:is>
      </x:c>
      <x:c r="K87" s="7" t="n">
        <x:v>15</x:v>
      </x:c>
      <x:c r="L87" s="6" t="inlineStr">
        <x:is>
          <x:t xml:space="preserve">lot</x:t>
        </x:is>
      </x:c>
      <x:c r="M87" s="8" t="n">
        <x:v>13034.58</x:v>
      </x:c>
      <x:c r="N87" s="8" t="n">
        <x:v>15693.56</x:v>
      </x:c>
      <x:c r="O87" s="8" t="n">
        <x:v>195518.7</x:v>
      </x:c>
      <x:c r="P87" s="8" t="n">
        <x:v>235403.4</x:v>
      </x:c>
      <x:c r="Q87" s="8" t="n">
        <x:v>-39884.7</x:v>
      </x:c>
      <x:c r="R87" s="9" t="n">
        <x:v>-16.9</x:v>
      </x:c>
      <x:c r="S87" s="7" t="n">
        <x:v>71</x:v>
      </x:c>
      <x:c r="T87" s="6" t="inlineStr">
        <x:is>
          <x:t xml:space="preserve">Yes</x:t>
        </x:is>
      </x:c>
      <x:c r="U87" s="6" t="inlineStr">
        <x:is>
          <x:t xml:space="preserve">Pending</x:t>
        </x:is>
      </x:c>
    </x:row>
    <x:row r="88">
      <x:c r="A88" s="2" t="inlineStr">
        <x:is>
          <x:t xml:space="preserve">PO-2025-0087</x:t>
        </x:is>
      </x:c>
      <x:c r="B88" s="2" t="inlineStr">
        <x:is>
          <x:t xml:space="preserve">10/08/2025</x:t>
        </x:is>
      </x:c>
      <x:c r="C88" s="2" t="inlineStr">
        <x:is>
          <x:t xml:space="preserve">August</x:t>
        </x:is>
      </x:c>
      <x:c r="D88" s="2" t="inlineStr">
        <x:is>
          <x:t xml:space="preserve">University District Residential Phase 3</x:t>
        </x:is>
      </x:c>
      <x:c r="E88" s="2" t="inlineStr">
        <x:is>
          <x:t xml:space="preserve">Calgary NE</x:t>
        </x:is>
      </x:c>
      <x:c r="F88" s="2" t="inlineStr">
        <x:is>
          <x:t xml:space="preserve">Derek McLean</x:t>
        </x:is>
      </x:c>
      <x:c r="G88" s="2" t="inlineStr">
        <x:is>
          <x:t xml:space="preserve">MEP - Electrical</x:t>
        </x:is>
      </x:c>
      <x:c r="H88" s="2" t="inlineStr">
        <x:is>
          <x:t xml:space="preserve">MV Distribution Cable</x:t>
        </x:is>
      </x:c>
      <x:c r="I88" s="2" t="inlineStr">
        <x:is>
          <x:t xml:space="preserve">Stuart Olson Electrical</x:t>
        </x:is>
      </x:c>
      <x:c r="J88" s="2" t="inlineStr">
        <x:is>
          <x:t xml:space="preserve">Standing Offer Agreement</x:t>
        </x:is>
      </x:c>
      <x:c r="K88" s="3" t="n">
        <x:v>97</x:v>
      </x:c>
      <x:c r="L88" s="2" t="inlineStr">
        <x:is>
          <x:t xml:space="preserve">lot</x:t>
        </x:is>
      </x:c>
      <x:c r="M88" s="4" t="n">
        <x:v>54903.89</x:v>
      </x:c>
      <x:c r="N88" s="4" t="n">
        <x:v>63690.47</x:v>
      </x:c>
      <x:c r="O88" s="4" t="n">
        <x:v>5325677.33</x:v>
      </x:c>
      <x:c r="P88" s="4" t="n">
        <x:v>6177975.59</x:v>
      </x:c>
      <x:c r="Q88" s="4" t="n">
        <x:v>-852298.26</x:v>
      </x:c>
      <x:c r="R88" s="5" t="n">
        <x:v>-13.8</x:v>
      </x:c>
      <x:c r="S88" s="3" t="n">
        <x:v>79</x:v>
      </x:c>
      <x:c r="T88" s="2" t="inlineStr">
        <x:is>
          <x:t xml:space="preserve">Yes</x:t>
        </x:is>
      </x:c>
      <x:c r="U88" s="2" t="inlineStr">
        <x:is>
          <x:t xml:space="preserve">Delivered</x:t>
        </x:is>
      </x:c>
    </x:row>
    <x:row r="89">
      <x:c r="A89" s="6" t="inlineStr">
        <x:is>
          <x:t xml:space="preserve">PO-2025-0088</x:t>
        </x:is>
      </x:c>
      <x:c r="B89" s="6" t="inlineStr">
        <x:is>
          <x:t xml:space="preserve">05/03/2025</x:t>
        </x:is>
      </x:c>
      <x:c r="C89" s="6" t="inlineStr">
        <x:is>
          <x:t xml:space="preserve">March</x:t>
        </x:is>
      </x:c>
      <x:c r="D89" s="6" t="inlineStr">
        <x:is>
          <x:t xml:space="preserve">Stampede Park Infrastructure Upgrade</x:t>
        </x:is>
      </x:c>
      <x:c r="E89" s="6" t="inlineStr">
        <x:is>
          <x:t xml:space="preserve">Calgary SW</x:t>
        </x:is>
      </x:c>
      <x:c r="F89" s="6" t="inlineStr">
        <x:is>
          <x:t xml:space="preserve">Aisha Nkosi</x:t>
        </x:is>
      </x:c>
      <x:c r="G89" s="6" t="inlineStr">
        <x:is>
          <x:t xml:space="preserve">Finishing</x:t>
        </x:is>
      </x:c>
      <x:c r="H89" s="6" t="inlineStr">
        <x:is>
          <x:t xml:space="preserve">Exterior Cladding Panel</x:t>
        </x:is>
      </x:c>
      <x:c r="I89" s="6" t="inlineStr">
        <x:is>
          <x:t xml:space="preserve">Centura Tile Calgary</x:t>
        </x:is>
      </x:c>
      <x:c r="J89" s="6" t="inlineStr">
        <x:is>
          <x:t xml:space="preserve">LPO – Direct Award</x:t>
        </x:is>
      </x:c>
      <x:c r="K89" s="7" t="n">
        <x:v>31</x:v>
      </x:c>
      <x:c r="L89" s="6" t="inlineStr">
        <x:is>
          <x:t xml:space="preserve">m²</x:t>
        </x:is>
      </x:c>
      <x:c r="M89" s="8" t="n">
        <x:v>270.49</x:v>
      </x:c>
      <x:c r="N89" s="8" t="n">
        <x:v>288.64</x:v>
      </x:c>
      <x:c r="O89" s="8" t="n">
        <x:v>8385.190000000001</x:v>
      </x:c>
      <x:c r="P89" s="8" t="n">
        <x:v>8947.84</x:v>
      </x:c>
      <x:c r="Q89" s="8" t="n">
        <x:v>-562.65</x:v>
      </x:c>
      <x:c r="R89" s="9" t="n">
        <x:v>-6.3</x:v>
      </x:c>
      <x:c r="S89" s="7" t="n">
        <x:v>54</x:v>
      </x:c>
      <x:c r="T89" s="6" t="inlineStr">
        <x:is>
          <x:t xml:space="preserve">Yes</x:t>
        </x:is>
      </x:c>
      <x:c r="U89" s="6" t="inlineStr">
        <x:is>
          <x:t xml:space="preserve">Delivered</x:t>
        </x:is>
      </x:c>
    </x:row>
    <x:row r="90">
      <x:c r="A90" s="2" t="inlineStr">
        <x:is>
          <x:t xml:space="preserve">PO-2025-0089</x:t>
        </x:is>
      </x:c>
      <x:c r="B90" s="2" t="inlineStr">
        <x:is>
          <x:t xml:space="preserve">08/07/2025</x:t>
        </x:is>
      </x:c>
      <x:c r="C90" s="2" t="inlineStr">
        <x:is>
          <x:t xml:space="preserve">July</x:t>
        </x:is>
      </x:c>
      <x:c r="D90" s="2" t="inlineStr">
        <x:is>
          <x:t xml:space="preserve">Deerfoot Trail Widening - North</x:t>
        </x:is>
      </x:c>
      <x:c r="E90" s="2" t="inlineStr">
        <x:is>
          <x:t xml:space="preserve">Rocky View County</x:t>
        </x:is>
      </x:c>
      <x:c r="F90" s="2" t="inlineStr">
        <x:is>
          <x:t xml:space="preserve">Derek McLean</x:t>
        </x:is>
      </x:c>
      <x:c r="G90" s="2" t="inlineStr">
        <x:is>
          <x:t xml:space="preserve">Finishing</x:t>
        </x:is>
      </x:c>
      <x:c r="H90" s="2" t="inlineStr">
        <x:is>
          <x:t xml:space="preserve">Drywall &amp; Framing</x:t>
        </x:is>
      </x:c>
      <x:c r="I90" s="2" t="inlineStr">
        <x:is>
          <x:t xml:space="preserve">Armstrong World Industries</x:t>
        </x:is>
      </x:c>
      <x:c r="J90" s="2" t="inlineStr">
        <x:is>
          <x:t xml:space="preserve">Emergency Procurement</x:t>
        </x:is>
      </x:c>
      <x:c r="K90" s="3" t="n">
        <x:v>10</x:v>
      </x:c>
      <x:c r="L90" s="2" t="inlineStr">
        <x:is>
          <x:t xml:space="preserve">m²</x:t>
        </x:is>
      </x:c>
      <x:c r="M90" s="4" t="n">
        <x:v>109.07</x:v>
      </x:c>
      <x:c r="N90" s="4" t="n">
        <x:v>97.89</x:v>
      </x:c>
      <x:c r="O90" s="4" t="n">
        <x:v>1090.7</x:v>
      </x:c>
      <x:c r="P90" s="4" t="n">
        <x:v>978.9</x:v>
      </x:c>
      <x:c r="Q90" s="4" t="n">
        <x:v>111.8</x:v>
      </x:c>
      <x:c r="R90" s="5" t="n">
        <x:v>11.4</x:v>
      </x:c>
      <x:c r="S90" s="3" t="n">
        <x:v>20</x:v>
      </x:c>
      <x:c r="T90" s="2" t="inlineStr">
        <x:is>
          <x:t xml:space="preserve">No</x:t>
        </x:is>
      </x:c>
      <x:c r="U90" s="2" t="inlineStr">
        <x:is>
          <x:t xml:space="preserve">Pending</x:t>
        </x:is>
      </x:c>
    </x:row>
    <x:row r="91">
      <x:c r="A91" s="6" t="inlineStr">
        <x:is>
          <x:t xml:space="preserve">PO-2025-0090</x:t>
        </x:is>
      </x:c>
      <x:c r="B91" s="6" t="inlineStr">
        <x:is>
          <x:t xml:space="preserve">2025/03/04</x:t>
        </x:is>
      </x:c>
      <x:c r="C91" s="6" t="inlineStr">
        <x:is>
          <x:t xml:space="preserve">October</x:t>
        </x:is>
      </x:c>
      <x:c r="D91" s="6" t="inlineStr">
        <x:is>
          <x:t xml:space="preserve">Stampede Park Infrastructure Upgrade</x:t>
        </x:is>
      </x:c>
      <x:c r="E91" s="6" t="inlineStr">
        <x:is>
          <x:t xml:space="preserve">Calgary NE</x:t>
        </x:is>
      </x:c>
      <x:c r="F91" s="6" t="inlineStr">
        <x:is>
          <x:t xml:space="preserve">Liam Kowalski</x:t>
        </x:is>
      </x:c>
      <x:c r="G91" s="6" t="inlineStr">
        <x:is>
          <x:t xml:space="preserve">MEP - Electrical</x:t>
        </x:is>
      </x:c>
      <x:c r="H91" s="6" t="inlineStr">
        <x:is>
          <x:t xml:space="preserve">LV Switchgear Panel</x:t>
        </x:is>
      </x:c>
      <x:c r="I91" s="6" t="inlineStr">
        <x:is>
          <x:t xml:space="preserve">Stuart Olson Electrical</x:t>
        </x:is>
      </x:c>
      <x:c r="J91" s="6" t="inlineStr">
        <x:is>
          <x:t xml:space="preserve">Tender – Open</x:t>
        </x:is>
      </x:c>
      <x:c r="K91" s="7" t="n">
        <x:v>57</x:v>
      </x:c>
      <x:c r="L91" s="6" t="inlineStr">
        <x:is>
          <x:t xml:space="preserve">lot</x:t>
        </x:is>
      </x:c>
      <x:c r="M91" s="8" t="n">
        <x:v>17799.52</x:v>
      </x:c>
      <x:c r="N91" s="8" t="n">
        <x:v>21362.05</x:v>
      </x:c>
      <x:c r="O91" s="8" t="n">
        <x:v>1014572.64</x:v>
      </x:c>
      <x:c r="P91" s="8" t="n">
        <x:v>1217636.85</x:v>
      </x:c>
      <x:c r="Q91" s="8" t="n">
        <x:v>-203064.21</x:v>
      </x:c>
      <x:c r="R91" s="9" t="n">
        <x:v>-16.7</x:v>
      </x:c>
      <x:c r="S91" s="7" t="n">
        <x:v>71</x:v>
      </x:c>
      <x:c r="T91" s="6" t="inlineStr">
        <x:is>
          <x:t xml:space="preserve">Yes</x:t>
        </x:is>
      </x:c>
      <x:c r="U91" s="6" t="inlineStr">
        <x:is>
          <x:t xml:space="preserve">Delivered</x:t>
        </x:is>
      </x:c>
    </x:row>
    <x:row r="92">
      <x:c r="A92" s="2" t="inlineStr">
        <x:is>
          <x:t xml:space="preserve">PO-2025-0091</x:t>
        </x:is>
      </x:c>
      <x:c r="B92" s="2" t="inlineStr">
        <x:is>
          <x:t xml:space="preserve">27/10/2025</x:t>
        </x:is>
      </x:c>
      <x:c r="C92" s="2" t="inlineStr">
        <x:is>
          <x:t xml:space="preserve">October</x:t>
        </x:is>
      </x:c>
      <x:c r="D92" s="2" t="inlineStr">
        <x:is>
          <x:t xml:space="preserve">Foothills Medical Centre Expansion</x:t>
        </x:is>
      </x:c>
      <x:c r="E92" s="2" t="inlineStr">
        <x:is>
          <x:t xml:space="preserve">Calgary NE</x:t>
        </x:is>
      </x:c>
      <x:c r="F92" s="2" t="inlineStr">
        <x:is>
          <x:t xml:space="preserve">Linda Tran</x:t>
        </x:is>
      </x:c>
      <x:c r="G92" s="2" t="inlineStr">
        <x:is>
          <x:t xml:space="preserve">MEP - Electrical</x:t>
        </x:is>
      </x:c>
      <x:c r="H92" s="2" t="inlineStr">
        <x:is>
          <x:t xml:space="preserve">MV Distribution Cable</x:t>
        </x:is>
      </x:c>
      <x:c r="I92" s="2" t="inlineStr">
        <x:is>
          <x:t xml:space="preserve">Flint Energy Services</x:t>
        </x:is>
      </x:c>
      <x:c r="J92" s="2" t="inlineStr">
        <x:is>
          <x:t xml:space="preserve">Tender – Open</x:t>
        </x:is>
      </x:c>
      <x:c r="K92" s="3" t="n">
        <x:v>19</x:v>
      </x:c>
      <x:c r="L92" s="2" t="inlineStr">
        <x:is>
          <x:t xml:space="preserve">lot</x:t>
        </x:is>
      </x:c>
      <x:c r="M92" s="4" t="n">
        <x:v>31083.42</x:v>
      </x:c>
      <x:c r="N92" s="4" t="n">
        <x:v>37763.12</x:v>
      </x:c>
      <x:c r="O92" s="4" t="n">
        <x:v>590584.98</x:v>
      </x:c>
      <x:c r="P92" s="4" t="n">
        <x:v>717499.28</x:v>
      </x:c>
      <x:c r="Q92" s="4" t="n">
        <x:v>-126914.3</x:v>
      </x:c>
      <x:c r="R92" s="5" t="n">
        <x:v>-17.7</x:v>
      </x:c>
      <x:c r="S92" s="3" t="n">
        <x:v>64</x:v>
      </x:c>
      <x:c r="T92" s="2" t="inlineStr">
        <x:is>
          <x:t xml:space="preserve">Yes</x:t>
        </x:is>
      </x:c>
      <x:c r="U92" s="2" t="inlineStr">
        <x:is>
          <x:t xml:space="preserve">Delivered</x:t>
        </x:is>
      </x:c>
    </x:row>
    <x:row r="93">
      <x:c r="A93" s="6" t="inlineStr">
        <x:is>
          <x:t xml:space="preserve">PO-2025-0092</x:t>
        </x:is>
      </x:c>
      <x:c r="B93" s="6" t="inlineStr">
        <x:is>
          <x:t xml:space="preserve">01/06/2025</x:t>
        </x:is>
      </x:c>
      <x:c r="C93" s="6" t="inlineStr">
        <x:is>
          <x:t xml:space="preserve">June</x:t>
        </x:is>
      </x:c>
      <x:c r="D93" s="6" t="inlineStr">
        <x:is>
          <x:t xml:space="preserve">Bow River Crossing Overpass</x:t>
        </x:is>
      </x:c>
      <x:c r="E93" s="6" t="inlineStr">
        <x:is>
          <x:t xml:space="preserve">Calgary SW</x:t>
        </x:is>
      </x:c>
      <x:c r="F93" s="6" t="inlineStr">
        <x:is>
          <x:t xml:space="preserve">Liam Kowalski</x:t>
        </x:is>
      </x:c>
      <x:c r="G93" s="6" t="inlineStr">
        <x:is>
          <x:t xml:space="preserve">MEP - Electrical</x:t>
        </x:is>
      </x:c>
      <x:c r="H93" s="6" t="inlineStr">
        <x:is>
          <x:t xml:space="preserve">LED Site Lighting</x:t>
        </x:is>
      </x:c>
      <x:c r="I93" s="6" t="inlineStr">
        <x:is>
          <x:t xml:space="preserve">Flint Energy Services</x:t>
        </x:is>
      </x:c>
      <x:c r="J93" s="6" t="inlineStr">
        <x:is>
          <x:t xml:space="preserve">3-Quote Comparison</x:t>
        </x:is>
      </x:c>
      <x:c r="K93" s="7" t="n">
        <x:v>90</x:v>
      </x:c>
      <x:c r="L93" s="6" t="inlineStr">
        <x:is>
          <x:t xml:space="preserve">lot</x:t>
        </x:is>
      </x:c>
      <x:c r="M93" s="8" t="n">
        <x:v>58204.97</x:v>
      </x:c>
      <x:c r="N93" s="8" t="n">
        <x:v>72072.50999999999</x:v>
      </x:c>
      <x:c r="O93" s="8" t="n">
        <x:v>5238447.3</x:v>
      </x:c>
      <x:c r="P93" s="8" t="n">
        <x:v>6486525.9</x:v>
      </x:c>
      <x:c r="Q93" s="8" t="n">
        <x:v>-1248078.6</x:v>
      </x:c>
      <x:c r="R93" s="9" t="n">
        <x:v>-19.2</x:v>
      </x:c>
      <x:c r="S93" s="7" t="n">
        <x:v>29</x:v>
      </x:c>
      <x:c r="T93" s="6" t="inlineStr">
        <x:is>
          <x:t xml:space="preserve">Yes</x:t>
        </x:is>
      </x:c>
      <x:c r="U93" s="6" t="inlineStr">
        <x:is>
          <x:t xml:space="preserve">Delivered</x:t>
        </x:is>
      </x:c>
    </x:row>
    <x:row r="94">
      <x:c r="A94" s="2" t="inlineStr">
        <x:is>
          <x:t xml:space="preserve">PO-2025-0093</x:t>
        </x:is>
      </x:c>
      <x:c r="B94" s="2" t="inlineStr">
        <x:is>
          <x:t xml:space="preserve">09/04/2025</x:t>
        </x:is>
      </x:c>
      <x:c r="C94" s="2" t="inlineStr">
        <x:is>
          <x:t xml:space="preserve">April</x:t>
        </x:is>
      </x:c>
      <x:c r="D94" s="2" t="inlineStr">
        <x:is>
          <x:t xml:space="preserve">Bow River Crossing Overpass</x:t>
        </x:is>
      </x:c>
      <x:c r="E94" s="2" t="inlineStr">
        <x:is>
          <x:t xml:space="preserve">Calgary NE</x:t>
        </x:is>
      </x:c>
      <x:c r="F94" s="2" t="inlineStr">
        <x:is>
          <x:t xml:space="preserve">Derek McLean</x:t>
        </x:is>
      </x:c>
      <x:c r="G94" s="2" t="inlineStr">
        <x:is>
          <x:t xml:space="preserve">MEP - Electrical</x:t>
        </x:is>
      </x:c>
      <x:c r="H94" s="2" t="inlineStr">
        <x:is>
          <x:t xml:space="preserve">LED Site Lighting</x:t>
        </x:is>
      </x:c>
      <x:c r="I94" s="2" t="inlineStr">
        <x:is>
          <x:t xml:space="preserve">Stuart Olson Electrical</x:t>
        </x:is>
      </x:c>
      <x:c r="J94" s="2" t="inlineStr">
        <x:is>
          <x:t xml:space="preserve">3-Quote Comparison</x:t>
        </x:is>
      </x:c>
      <x:c r="K94" s="3" t="n">
        <x:v>100</x:v>
      </x:c>
      <x:c r="L94" s="2" t="inlineStr">
        <x:is>
          <x:t xml:space="preserve">lot</x:t>
        </x:is>
      </x:c>
      <x:c r="M94" s="4" t="n">
        <x:v>32006.28</x:v>
      </x:c>
      <x:c r="N94" s="4" t="n">
        <x:v>32939.55</x:v>
      </x:c>
      <x:c r="O94" s="4" t="n">
        <x:v>3200628</x:v>
      </x:c>
      <x:c r="P94" s="4" t="n">
        <x:v>3293955</x:v>
      </x:c>
      <x:c r="Q94" s="4" t="n">
        <x:v>-93327</x:v>
      </x:c>
      <x:c r="R94" s="5" t="n">
        <x:v>-2.8</x:v>
      </x:c>
      <x:c r="S94" s="3" t="n">
        <x:v>14</x:v>
      </x:c>
      <x:c r="T94" s="2" t="inlineStr">
        <x:is>
          <x:t xml:space="preserve">No</x:t>
        </x:is>
      </x:c>
      <x:c r="U94" s="2" t="inlineStr">
        <x:is>
          <x:t xml:space="preserve">Delivered</x:t>
        </x:is>
      </x:c>
    </x:row>
    <x:row r="95">
      <x:c r="A95" s="6" t="inlineStr">
        <x:is>
          <x:t xml:space="preserve">PO-2025-0094</x:t>
        </x:is>
      </x:c>
      <x:c r="B95" s="6" t="inlineStr">
        <x:is>
          <x:t xml:space="preserve">03/03/2025</x:t>
        </x:is>
      </x:c>
      <x:c r="C95" s="6" t="inlineStr">
        <x:is>
          <x:t xml:space="preserve">March</x:t>
        </x:is>
      </x:c>
      <x:c r="D95" s="6" t="inlineStr">
        <x:is>
          <x:t xml:space="preserve">Foothills Medical Centre Expansion</x:t>
        </x:is>
      </x:c>
      <x:c r="E95" s="6" t="inlineStr">
        <x:is>
          <x:t xml:space="preserve">Calgary SE</x:t>
        </x:is>
      </x:c>
      <x:c r="F95" s="6" t="inlineStr">
        <x:is>
          <x:t xml:space="preserve">Mohammed Siddiqui</x:t>
        </x:is>
      </x:c>
      <x:c r="G95" s="6" t="inlineStr">
        <x:is>
          <x:t xml:space="preserve">MEP - Mechanical</x:t>
        </x:is>
      </x:c>
      <x:c r="H95" s="6" t="inlineStr">
        <x:is>
          <x:t xml:space="preserve">Boiler System</x:t>
        </x:is>
      </x:c>
      <x:c r="I95" s="6" t="inlineStr">
        <x:is>
          <x:t xml:space="preserve">PCL Mechanical</x:t>
        </x:is>
      </x:c>
      <x:c r="J95" s="6" t="inlineStr">
        <x:is>
          <x:t xml:space="preserve">Tender – Open</x:t>
        </x:is>
      </x:c>
      <x:c r="K95" s="7" t="n">
        <x:v>68</x:v>
      </x:c>
      <x:c r="L95" s="6" t="inlineStr">
        <x:is>
          <x:t xml:space="preserve">lot</x:t>
        </x:is>
      </x:c>
      <x:c r="M95" s="8" t="n">
        <x:v>79843.61</x:v>
      </x:c>
      <x:c r="N95" s="8" t="n">
        <x:v>95499.94</x:v>
      </x:c>
      <x:c r="O95" s="8" t="n">
        <x:v>5429365.48</x:v>
      </x:c>
      <x:c r="P95" s="8" t="n">
        <x:v>6493995.92</x:v>
      </x:c>
      <x:c r="Q95" s="8" t="n">
        <x:v>-1064630.44</x:v>
      </x:c>
      <x:c r="R95" s="9" t="n">
        <x:v>-16.4</x:v>
      </x:c>
      <x:c r="S95" s="7" t="n">
        <x:v>79</x:v>
      </x:c>
      <x:c r="T95" s="6" t="inlineStr">
        <x:is>
          <x:t xml:space="preserve">Yes</x:t>
        </x:is>
      </x:c>
      <x:c r="U95" s="6" t="inlineStr">
        <x:is>
          <x:t xml:space="preserve">Delivered</x:t>
        </x:is>
      </x:c>
    </x:row>
    <x:row r="96">
      <x:c r="A96" s="2" t="inlineStr">
        <x:is>
          <x:t xml:space="preserve">PO-2025-0095</x:t>
        </x:is>
      </x:c>
      <x:c r="B96" s="2" t="inlineStr">
        <x:is>
          <x:t xml:space="preserve">03/04/2025</x:t>
        </x:is>
      </x:c>
      <x:c r="C96" s="2" t="inlineStr">
        <x:is>
          <x:t xml:space="preserve">April</x:t>
        </x:is>
      </x:c>
      <x:c r="D96" s="2" t="inlineStr">
        <x:is>
          <x:t xml:space="preserve">Foothills Medical Centre Expansion</x:t>
        </x:is>
      </x:c>
      <x:c r="E96" s="2" t="inlineStr">
        <x:is>
          <x:t xml:space="preserve">Calgary SE</x:t>
        </x:is>
      </x:c>
      <x:c r="F96" s="2" t="inlineStr">
        <x:is>
          <x:t xml:space="preserve">Priya Sharma</x:t>
        </x:is>
      </x:c>
      <x:c r="G96" s="2" t="inlineStr">
        <x:is>
          <x:t xml:space="preserve">MEP - Mechanical</x:t>
        </x:is>
      </x:c>
      <x:c r="H96" s="2" t="inlineStr">
        <x:is>
          <x:t xml:space="preserve">HVAC Rooftop Unit</x:t>
        </x:is>
      </x:c>
      <x:c r="I96" s="2" t="inlineStr">
        <x:is>
          <x:t xml:space="preserve">Stantec MEP</x:t>
        </x:is>
      </x:c>
      <x:c r="J96" s="2" t="inlineStr">
        <x:is>
          <x:t xml:space="preserve">Standing Offer Agreement</x:t>
        </x:is>
      </x:c>
      <x:c r="K96" s="3" t="n">
        <x:v>10</x:v>
      </x:c>
      <x:c r="L96" s="2" t="inlineStr">
        <x:is>
          <x:t xml:space="preserve">lot</x:t>
        </x:is>
      </x:c>
      <x:c r="M96" s="4" t="n">
        <x:v>90337.64</x:v>
      </x:c>
      <x:c r="N96" s="4" t="n">
        <x:v>95912.25999999999</x:v>
      </x:c>
      <x:c r="O96" s="4" t="n">
        <x:v>903376.4</x:v>
      </x:c>
      <x:c r="P96" s="4" t="n">
        <x:v>959122.6</x:v>
      </x:c>
      <x:c r="Q96" s="4" t="n">
        <x:v>-55746.2</x:v>
      </x:c>
      <x:c r="R96" s="5" t="n">
        <x:v>-5.8</x:v>
      </x:c>
      <x:c r="S96" s="3" t="n">
        <x:v>9</x:v>
      </x:c>
      <x:c r="T96" s="2" t="inlineStr">
        <x:is>
          <x:t xml:space="preserve">No</x:t>
        </x:is>
      </x:c>
      <x:c r="U96" s="2" t="inlineStr">
        <x:is>
          <x:t xml:space="preserve">Pending</x:t>
        </x:is>
      </x:c>
    </x:row>
    <x:row r="97">
      <x:c r="A97" s="6" t="inlineStr">
        <x:is>
          <x:t xml:space="preserve">PO-2025-0096</x:t>
        </x:is>
      </x:c>
      <x:c r="B97" s="6" t="inlineStr">
        <x:is>
          <x:t xml:space="preserve">26/05/2025</x:t>
        </x:is>
      </x:c>
      <x:c r="C97" s="6" t="inlineStr">
        <x:is>
          <x:t xml:space="preserve">May</x:t>
        </x:is>
      </x:c>
      <x:c r="D97" s="6" t="inlineStr">
        <x:is>
          <x:t xml:space="preserve">Deerfoot Trail Widening - North</x:t>
        </x:is>
      </x:c>
      <x:c r="E97" s="6" t="inlineStr">
        <x:is>
          <x:t xml:space="preserve">Calgary SE</x:t>
        </x:is>
      </x:c>
      <x:c r="F97" s="6" t="inlineStr">
        <x:is>
          <x:t xml:space="preserve">James Okafor</x:t>
        </x:is>
      </x:c>
      <x:c r="G97" s="6" t="inlineStr">
        <x:is>
          <x:t xml:space="preserve">Civil Works</x:t>
        </x:is>
      </x:c>
      <x:c r="H97" s="6" t="inlineStr">
        <x:is>
          <x:t xml:space="preserve">Storm Drainage Pipe</x:t>
        </x:is>
      </x:c>
      <x:c r="I97" s="6" t="inlineStr">
        <x:is>
          <x:t xml:space="preserve">Ledcor Civil Alberta</x:t>
        </x:is>
      </x:c>
      <x:c r="J97" s="6" t="inlineStr">
        <x:is>
          <x:t xml:space="preserve">Tender – Open</x:t>
        </x:is>
      </x:c>
      <x:c r="K97" s="7" t="n">
        <x:v>25</x:v>
      </x:c>
      <x:c r="L97" s="6" t="inlineStr">
        <x:is>
          <x:t xml:space="preserve">m³</x:t>
        </x:is>
      </x:c>
      <x:c r="M97" s="8" t="n">
        <x:v>307.03</x:v>
      </x:c>
      <x:c r="N97" s="8" t="n">
        <x:v>292.74</x:v>
      </x:c>
      <x:c r="O97" s="8" t="n">
        <x:v>7675.75</x:v>
      </x:c>
      <x:c r="P97" s="8" t="n">
        <x:v>7318.5</x:v>
      </x:c>
      <x:c r="Q97" s="8" t="n">
        <x:v>357.25</x:v>
      </x:c>
      <x:c r="R97" s="9" t="n">
        <x:v>4.9</x:v>
      </x:c>
      <x:c r="S97" s="7" t="n">
        <x:v>39</x:v>
      </x:c>
      <x:c r="T97" s="6" t="inlineStr">
        <x:is>
          <x:t xml:space="preserve">Yes</x:t>
        </x:is>
      </x:c>
      <x:c r="U97" s="6" t="inlineStr">
        <x:is>
          <x:t xml:space="preserve">Delivered</x:t>
        </x:is>
      </x:c>
    </x:row>
    <x:row r="98">
      <x:c r="A98" s="2" t="inlineStr">
        <x:is>
          <x:t xml:space="preserve">PO-2025-0097</x:t>
        </x:is>
      </x:c>
      <x:c r="B98" s="2" t="inlineStr">
        <x:is>
          <x:t xml:space="preserve">06/04/2025</x:t>
        </x:is>
      </x:c>
      <x:c r="C98" s="2" t="inlineStr">
        <x:is>
          <x:t xml:space="preserve">April</x:t>
        </x:is>
      </x:c>
      <x:c r="D98" s="2" t="inlineStr">
        <x:is>
          <x:t xml:space="preserve">Saddledome Arena Retrofit</x:t>
        </x:is>
      </x:c>
      <x:c r="E98" s="2" t="inlineStr">
        <x:is>
          <x:t xml:space="preserve">Calgary NE</x:t>
        </x:is>
      </x:c>
      <x:c r="F98" s="2" t="inlineStr">
        <x:is>
          <x:t xml:space="preserve">Liam Kowalski</x:t>
        </x:is>
      </x:c>
      <x:c r="G98" s="2" t="inlineStr">
        <x:is>
          <x:t xml:space="preserve">Finishing</x:t>
        </x:is>
      </x:c>
      <x:c r="H98" s="2" t="inlineStr">
        <x:is>
          <x:t xml:space="preserve">Exterior Cladding Panel</x:t>
        </x:is>
      </x:c>
      <x:c r="I98" s="2" t="inlineStr">
        <x:is>
          <x:t xml:space="preserve">Dryvit Systems Canada</x:t>
        </x:is>
      </x:c>
      <x:c r="J98" s="2" t="inlineStr">
        <x:is>
          <x:t xml:space="preserve">Standing Offer Agreement</x:t>
        </x:is>
      </x:c>
      <x:c r="K98" s="3" t="n">
        <x:v>9</x:v>
      </x:c>
      <x:c r="L98" s="2" t="inlineStr">
        <x:is>
          <x:t xml:space="preserve">m²</x:t>
        </x:is>
      </x:c>
      <x:c r="M98" s="4" t="n">
        <x:v>84.09</x:v>
      </x:c>
      <x:c r="N98" s="4" t="n">
        <x:v>90.08</x:v>
      </x:c>
      <x:c r="O98" s="4" t="n">
        <x:v>756.8099999999999</x:v>
      </x:c>
      <x:c r="P98" s="4" t="n">
        <x:v>810.72</x:v>
      </x:c>
      <x:c r="Q98" s="4" t="n">
        <x:v>-53.91</x:v>
      </x:c>
      <x:c r="R98" s="5" t="n">
        <x:v>-6.6</x:v>
      </x:c>
      <x:c r="S98" s="3" t="n">
        <x:v>50</x:v>
      </x:c>
      <x:c r="T98" s="2" t="inlineStr">
        <x:is>
          <x:t xml:space="preserve">Yes</x:t>
        </x:is>
      </x:c>
      <x:c r="U98" s="2" t="inlineStr">
        <x:is>
          <x:t xml:space="preserve">Partially Delivered</x:t>
        </x:is>
      </x:c>
    </x:row>
    <x:row r="99">
      <x:c r="A99" s="6" t="inlineStr">
        <x:is>
          <x:t xml:space="preserve">PO-2025-0098</x:t>
        </x:is>
      </x:c>
      <x:c r="B99" s="6" t="inlineStr">
        <x:is>
          <x:t xml:space="preserve">17/01/2025</x:t>
        </x:is>
      </x:c>
      <x:c r="C99" s="6" t="inlineStr">
        <x:is>
          <x:t xml:space="preserve">January</x:t>
        </x:is>
      </x:c>
      <x:c r="D99" s="6" t="inlineStr">
        <x:is>
          <x:t xml:space="preserve">Deerfoot Trail Widening - North</x:t>
        </x:is>
      </x:c>
      <x:c r="E99" s="6" t="inlineStr">
        <x:is>
          <x:t xml:space="preserve">Calgary SE</x:t>
        </x:is>
      </x:c>
      <x:c r="F99" s="6" t="inlineStr">
        <x:is>
          <x:t xml:space="preserve">James Okafor</x:t>
        </x:is>
      </x:c>
      <x:c r="G99" s="6" t="inlineStr">
        <x:is>
          <x:t xml:space="preserve">Finishing</x:t>
        </x:is>
      </x:c>
      <x:c r="H99" s="6" t="inlineStr">
        <x:is>
          <x:t xml:space="preserve">Waterproofing Membrane</x:t>
        </x:is>
      </x:c>
      <x:c r="I99" s="6" t="inlineStr">
        <x:is>
          <x:t xml:space="preserve">Armstrong World Industries</x:t>
        </x:is>
      </x:c>
      <x:c r="J99" s="6" t="inlineStr">
        <x:is>
          <x:t xml:space="preserve">LPO – Direct Award</x:t>
        </x:is>
      </x:c>
      <x:c r="K99" s="7" t="n">
        <x:v>31</x:v>
      </x:c>
      <x:c r="L99" s="6" t="inlineStr">
        <x:is>
          <x:t xml:space="preserve">m²</x:t>
        </x:is>
      </x:c>
      <x:c r="M99" s="8" t="n">
        <x:v>303.23</x:v>
      </x:c>
      <x:c r="N99" s="8" t="n">
        <x:v>337.8</x:v>
      </x:c>
      <x:c r="O99" s="8" t="n">
        <x:v>9400.129999999999</x:v>
      </x:c>
      <x:c r="P99" s="8" t="n">
        <x:v>10471.8</x:v>
      </x:c>
      <x:c r="Q99" s="8" t="n">
        <x:v>-1071.67</x:v>
      </x:c>
      <x:c r="R99" s="9" t="n">
        <x:v>-10.2</x:v>
      </x:c>
      <x:c r="S99" s="7" t="n">
        <x:v>74</x:v>
      </x:c>
      <x:c r="T99" s="6" t="inlineStr">
        <x:is>
          <x:t xml:space="preserve">Yes</x:t>
        </x:is>
      </x:c>
      <x:c r="U99" s="6" t="inlineStr">
        <x:is>
          <x:t xml:space="preserve">Cancelled</x:t>
        </x:is>
      </x:c>
    </x:row>
    <x:row r="100">
      <x:c r="A100" s="2" t="inlineStr">
        <x:is>
          <x:t xml:space="preserve">PO-2025-0099</x:t>
        </x:is>
      </x:c>
      <x:c r="B100" s="2" t="inlineStr">
        <x:is>
          <x:t xml:space="preserve">01/05/2025</x:t>
        </x:is>
      </x:c>
      <x:c r="C100" s="2" t="inlineStr">
        <x:is>
          <x:t xml:space="preserve">May</x:t>
        </x:is>
      </x:c>
      <x:c r="D100" s="2" t="inlineStr">
        <x:is>
          <x:t xml:space="preserve">Quarry Park Mixed-Use Development</x:t>
        </x:is>
      </x:c>
      <x:c r="E100" s="2" t="inlineStr">
        <x:is>
          <x:t xml:space="preserve">Rocky View County</x:t>
        </x:is>
      </x:c>
      <x:c r="F100" s="2" t="inlineStr">
        <x:is>
          <x:t xml:space="preserve">Mohammed Siddiqui</x:t>
        </x:is>
      </x:c>
      <x:c r="G100" s="2" t="inlineStr">
        <x:is>
          <x:t xml:space="preserve">Finishing</x:t>
        </x:is>
      </x:c>
      <x:c r="H100" s="2" t="inlineStr">
        <x:is>
          <x:t xml:space="preserve">Drywall &amp; Framing</x:t>
        </x:is>
      </x:c>
      <x:c r="I100" s="2" t="inlineStr">
        <x:is>
          <x:t xml:space="preserve">Dryvit Systems Canada</x:t>
        </x:is>
      </x:c>
      <x:c r="J100" s="2" t="inlineStr">
        <x:is>
          <x:t xml:space="preserve">LPO – Direct Award</x:t>
        </x:is>
      </x:c>
      <x:c r="K100" s="3" t="n">
        <x:v>92</x:v>
      </x:c>
      <x:c r="L100" s="2" t="inlineStr">
        <x:is>
          <x:t xml:space="preserve">m²</x:t>
        </x:is>
      </x:c>
      <x:c r="M100" s="4" t="n">
        <x:v>141</x:v>
      </x:c>
      <x:c r="N100" s="4" t="n">
        <x:v>124.07</x:v>
      </x:c>
      <x:c r="O100" s="4" t="n">
        <x:v>12972</x:v>
      </x:c>
      <x:c r="P100" s="4" t="n">
        <x:v>11414.44</x:v>
      </x:c>
      <x:c r="Q100" s="4" t="n">
        <x:v>1557.56</x:v>
      </x:c>
      <x:c r="R100" s="5" t="n">
        <x:v>13.6</x:v>
      </x:c>
      <x:c r="S100" s="3" t="n">
        <x:v>61</x:v>
      </x:c>
      <x:c r="T100" s="2" t="inlineStr">
        <x:is>
          <x:t xml:space="preserve">Yes</x:t>
        </x:is>
      </x:c>
      <x:c r="U100" s="2" t="inlineStr">
        <x:is>
          <x:t xml:space="preserve">Delivered</x:t>
        </x:is>
      </x:c>
    </x:row>
    <x:row r="101">
      <x:c r="A101" s="6" t="inlineStr">
        <x:is>
          <x:t xml:space="preserve">PO-2025-0100</x:t>
        </x:is>
      </x:c>
      <x:c r="B101" s="6" t="inlineStr">
        <x:is>
          <x:t xml:space="preserve">16/06/2025</x:t>
        </x:is>
      </x:c>
      <x:c r="C101" s="6" t="inlineStr">
        <x:is>
          <x:t xml:space="preserve">June</x:t>
        </x:is>
      </x:c>
      <x:c r="D101" s="6" t="inlineStr">
        <x:is>
          <x:t xml:space="preserve">Saddledome Arena Retrofit</x:t>
        </x:is>
      </x:c>
      <x:c r="E101" s="6" t="inlineStr">
        <x:is>
          <x:t xml:space="preserve">Calgary NE</x:t>
        </x:is>
      </x:c>
      <x:c r="F101" s="6" t="inlineStr">
        <x:is>
          <x:t xml:space="preserve">Aisha Nkosi</x:t>
        </x:is>
      </x:c>
      <x:c r="G101" s="6" t="inlineStr">
        <x:is>
          <x:t xml:space="preserve">Finishing</x:t>
        </x:is>
      </x:c>
      <x:c r="H101" s="6" t="inlineStr">
        <x:is>
          <x:t xml:space="preserve">Exterior Cladding Panel</x:t>
        </x:is>
      </x:c>
      <x:c r="I101" s="6" t="inlineStr">
        <x:is>
          <x:t xml:space="preserve">Dryvit Systems Canada</x:t>
        </x:is>
      </x:c>
      <x:c r="J101" s="6" t="inlineStr">
        <x:is>
          <x:t xml:space="preserve">Tender – Open</x:t>
        </x:is>
      </x:c>
      <x:c r="K101" s="7" t="n">
        <x:v>4</x:v>
      </x:c>
      <x:c r="L101" s="6" t="inlineStr">
        <x:is>
          <x:t xml:space="preserve">m²</x:t>
        </x:is>
      </x:c>
      <x:c r="M101" s="8" t="n">
        <x:v>402.67</x:v>
      </x:c>
      <x:c r="N101" s="8" t="n">
        <x:v>357.4</x:v>
      </x:c>
      <x:c r="O101" s="8" t="n">
        <x:v>1610.68</x:v>
      </x:c>
      <x:c r="P101" s="8" t="n">
        <x:v>1429.6</x:v>
      </x:c>
      <x:c r="Q101" s="8" t="n">
        <x:v>181.08</x:v>
      </x:c>
      <x:c r="R101" s="9" t="n">
        <x:v>12.7</x:v>
      </x:c>
      <x:c r="S101" s="7" t="n">
        <x:v>26</x:v>
      </x:c>
      <x:c r="T101" s="6" t="inlineStr">
        <x:is>
          <x:t xml:space="preserve">Yes</x:t>
        </x:is>
      </x:c>
      <x:c r="U101" s="6" t="inlineStr">
        <x:is>
          <x:t xml:space="preserve">Pending</x:t>
        </x:is>
      </x:c>
    </x:row>
    <x:row r="102">
      <x:c r="A102" s="2" t="inlineStr">
        <x:is>
          <x:t xml:space="preserve">PO-2025-0101</x:t>
        </x:is>
      </x:c>
      <x:c r="B102" s="2" t="inlineStr">
        <x:is>
          <x:t xml:space="preserve">24/10/2025</x:t>
        </x:is>
      </x:c>
      <x:c r="C102" s="2" t="inlineStr">
        <x:is>
          <x:t xml:space="preserve">October</x:t>
        </x:is>
      </x:c>
      <x:c r="D102" s="2" t="inlineStr">
        <x:is>
          <x:t xml:space="preserve">Foothills Medical Centre Expansion</x:t>
        </x:is>
      </x:c>
      <x:c r="E102" s="2" t="inlineStr">
        <x:is>
          <x:t xml:space="preserve">Calgary SW</x:t>
        </x:is>
      </x:c>
      <x:c r="F102" s="2" t="inlineStr">
        <x:is>
          <x:t xml:space="preserve">Liam Kowalski</x:t>
        </x:is>
      </x:c>
      <x:c r="G102" s="2" t="inlineStr">
        <x:is>
          <x:t xml:space="preserve">Concrete &amp; Structural</x:t>
        </x:is>
      </x:c>
      <x:c r="H102" s="2" t="inlineStr">
        <x:is>
          <x:t xml:space="preserve">Rebar Steel</x:t>
        </x:is>
      </x:c>
      <x:c r="I102" s="2" t="inlineStr">
        <x:is>
          <x:t xml:space="preserve">Evraz Steel Calgary</x:t>
        </x:is>
      </x:c>
      <x:c r="J102" s="2" t="inlineStr">
        <x:is>
          <x:t xml:space="preserve">Tender – Open</x:t>
        </x:is>
      </x:c>
      <x:c r="K102" s="3" t="n">
        <x:v>95</x:v>
      </x:c>
      <x:c r="L102" s="2" t="inlineStr">
        <x:is>
          <x:t xml:space="preserve">m³</x:t>
        </x:is>
      </x:c>
      <x:c r="M102" s="4" t="n">
        <x:v>595.24</x:v>
      </x:c>
      <x:c r="N102" s="4" t="n">
        <x:v>630.76</x:v>
      </x:c>
      <x:c r="O102" s="4" t="n">
        <x:v>56547.8</x:v>
      </x:c>
      <x:c r="P102" s="4" t="n">
        <x:v>59922.2</x:v>
      </x:c>
      <x:c r="Q102" s="4" t="n">
        <x:v>-3374.4</x:v>
      </x:c>
      <x:c r="R102" s="5" t="n">
        <x:v>-5.6</x:v>
      </x:c>
      <x:c r="S102" s="3" t="n">
        <x:v>37</x:v>
      </x:c>
      <x:c r="T102" s="2" t="inlineStr">
        <x:is>
          <x:t xml:space="preserve">Yes</x:t>
        </x:is>
      </x:c>
      <x:c r="U102" s="2" t="inlineStr">
        <x:is>
          <x:t xml:space="preserve">Partially Delivered</x:t>
        </x:is>
      </x:c>
    </x:row>
    <x:row r="103">
      <x:c r="A103" s="6" t="inlineStr">
        <x:is>
          <x:t xml:space="preserve">PO-2025-0102</x:t>
        </x:is>
      </x:c>
      <x:c r="B103" s="6" t="inlineStr">
        <x:is>
          <x:t xml:space="preserve">15/02/2025</x:t>
        </x:is>
      </x:c>
      <x:c r="C103" s="6" t="inlineStr">
        <x:is>
          <x:t xml:space="preserve">February</x:t>
        </x:is>
      </x:c>
      <x:c r="D103" s="6" t="inlineStr">
        <x:is>
          <x:t xml:space="preserve">Deerfoot Trail Widening - North</x:t>
        </x:is>
      </x:c>
      <x:c r="E103" s="6" t="inlineStr">
        <x:is>
          <x:t xml:space="preserve">Calgary SW</x:t>
        </x:is>
      </x:c>
      <x:c r="F103" s="6" t="inlineStr">
        <x:is>
          <x:t xml:space="preserve">James Okafor</x:t>
        </x:is>
      </x:c>
      <x:c r="G103" s="6" t="inlineStr">
        <x:is>
          <x:t xml:space="preserve">Civil Works</x:t>
        </x:is>
      </x:c>
      <x:c r="H103" s="6" t="inlineStr">
        <x:is>
          <x:t xml:space="preserve">Road Base Aggregate</x:t>
        </x:is>
      </x:c>
      <x:c r="I103" s="6" t="inlineStr">
        <x:is>
          <x:t xml:space="preserve">Graham Construction</x:t>
        </x:is>
      </x:c>
      <x:c r="J103" s="6" t="inlineStr">
        <x:is>
          <x:t xml:space="preserve">Standing Offer Agreement</x:t>
        </x:is>
      </x:c>
      <x:c r="K103" s="7" t="n">
        <x:v>107</x:v>
      </x:c>
      <x:c r="L103" s="6" t="inlineStr">
        <x:is>
          <x:t xml:space="preserve">m³</x:t>
        </x:is>
      </x:c>
      <x:c r="M103" s="8" t="n">
        <x:v>231.12</x:v>
      </x:c>
      <x:c r="N103" s="8" t="n">
        <x:v>251.1</x:v>
      </x:c>
      <x:c r="O103" s="8" t="n">
        <x:v>24729.84</x:v>
      </x:c>
      <x:c r="P103" s="8" t="n">
        <x:v>26867.7</x:v>
      </x:c>
      <x:c r="Q103" s="8" t="n">
        <x:v>-2137.86</x:v>
      </x:c>
      <x:c r="R103" s="9" t="n">
        <x:v>-8</x:v>
      </x:c>
      <x:c r="S103" s="7" t="n">
        <x:v>62</x:v>
      </x:c>
      <x:c r="T103" s="6" t="inlineStr">
        <x:is>
          <x:t xml:space="preserve">No</x:t>
        </x:is>
      </x:c>
      <x:c r="U103" s="6" t="inlineStr">
        <x:is>
          <x:t xml:space="preserve">Partially Delivered</x:t>
        </x:is>
      </x:c>
    </x:row>
    <x:row r="104">
      <x:c r="A104" s="2" t="inlineStr">
        <x:is>
          <x:t xml:space="preserve">PO-2025-0103</x:t>
        </x:is>
      </x:c>
      <x:c r="B104" s="2" t="inlineStr">
        <x:is>
          <x:t xml:space="preserve">28/08/2025</x:t>
        </x:is>
      </x:c>
      <x:c r="C104" s="2" t="inlineStr">
        <x:is>
          <x:t xml:space="preserve">August</x:t>
        </x:is>
      </x:c>
      <x:c r="D104" s="2" t="inlineStr">
        <x:is>
          <x:t xml:space="preserve">Rocky View Industrial Logistics Hub</x:t>
        </x:is>
      </x:c>
      <x:c r="E104" s="2" t="inlineStr">
        <x:is>
          <x:t xml:space="preserve">Calgary SW</x:t>
        </x:is>
      </x:c>
      <x:c r="F104" s="2" t="inlineStr">
        <x:is>
          <x:t xml:space="preserve">Aisha Nkosi</x:t>
        </x:is>
      </x:c>
      <x:c r="G104" s="2" t="inlineStr">
        <x:is>
          <x:t xml:space="preserve">Safety &amp; Temp Works</x:t>
        </x:is>
      </x:c>
      <x:c r="H104" s="2" t="inlineStr">
        <x:is>
          <x:t xml:space="preserve">Site Hoarding &amp; Fencing</x:t>
        </x:is>
      </x:c>
      <x:c r="I104" s="2" t="inlineStr">
        <x:is>
          <x:t xml:space="preserve">Safway Alberta</x:t>
        </x:is>
      </x:c>
      <x:c r="J104" s="2" t="inlineStr">
        <x:is>
          <x:t xml:space="preserve">Emergency Procurement</x:t>
        </x:is>
      </x:c>
      <x:c r="K104" s="3" t="n">
        <x:v>19</x:v>
      </x:c>
      <x:c r="L104" s="2" t="inlineStr">
        <x:is>
          <x:t xml:space="preserve">lot</x:t>
        </x:is>
      </x:c>
      <x:c r="M104" s="4" t="n">
        <x:v>19736.16</x:v>
      </x:c>
      <x:c r="N104" s="4" t="n">
        <x:v>22557.43</x:v>
      </x:c>
      <x:c r="O104" s="4" t="n">
        <x:v>374987.04</x:v>
      </x:c>
      <x:c r="P104" s="4" t="n">
        <x:v>428591.17</x:v>
      </x:c>
      <x:c r="Q104" s="4" t="n">
        <x:v>-53604.13</x:v>
      </x:c>
      <x:c r="R104" s="5" t="n">
        <x:v>-12.5</x:v>
      </x:c>
      <x:c r="S104" s="3" t="n">
        <x:v>70</x:v>
      </x:c>
      <x:c r="T104" s="2" t="inlineStr">
        <x:is>
          <x:t xml:space="preserve">Yes</x:t>
        </x:is>
      </x:c>
      <x:c r="U104" s="2" t="inlineStr">
        <x:is>
          <x:t xml:space="preserve">Delivered</x:t>
        </x:is>
      </x:c>
    </x:row>
    <x:row r="105">
      <x:c r="A105" s="6" t="inlineStr">
        <x:is>
          <x:t xml:space="preserve">PO-2025-0104</x:t>
        </x:is>
      </x:c>
      <x:c r="B105" s="6" t="inlineStr">
        <x:is>
          <x:t xml:space="preserve">02/01/2025</x:t>
        </x:is>
      </x:c>
      <x:c r="C105" s="6" t="inlineStr">
        <x:is>
          <x:t xml:space="preserve">January</x:t>
        </x:is>
      </x:c>
      <x:c r="D105" s="6" t="inlineStr">
        <x:is>
          <x:t xml:space="preserve">Foothills Medical Centre Expansion</x:t>
        </x:is>
      </x:c>
      <x:c r="E105" s="6" t="inlineStr">
        <x:is>
          <x:t xml:space="preserve">Rocky View County</x:t>
        </x:is>
      </x:c>
      <x:c r="F105" s="6" t="inlineStr">
        <x:is>
          <x:t xml:space="preserve">Derek McLean</x:t>
        </x:is>
      </x:c>
      <x:c r="G105" s="6" t="inlineStr">
        <x:is>
          <x:t xml:space="preserve">Finishing</x:t>
        </x:is>
      </x:c>
      <x:c r="H105" s="6" t="inlineStr">
        <x:is>
          <x:t xml:space="preserve">Drywall &amp; Framing</x:t>
        </x:is>
      </x:c>
      <x:c r="I105" s="6" t="inlineStr">
        <x:is>
          <x:t xml:space="preserve">Centura Tile Calgary</x:t>
        </x:is>
      </x:c>
      <x:c r="J105" s="6" t="inlineStr">
        <x:is>
          <x:t xml:space="preserve">Emergency Procurement</x:t>
        </x:is>
      </x:c>
      <x:c r="K105" s="7" t="n">
        <x:v>55</x:v>
      </x:c>
      <x:c r="L105" s="6" t="inlineStr">
        <x:is>
          <x:t xml:space="preserve">m²</x:t>
        </x:is>
      </x:c>
      <x:c r="M105" s="8" t="n">
        <x:v>179.23</x:v>
      </x:c>
      <x:c r="N105" s="8" t="n">
        <x:v>217.86</x:v>
      </x:c>
      <x:c r="O105" s="8" t="n">
        <x:v>9857.65</x:v>
      </x:c>
      <x:c r="P105" s="8" t="n">
        <x:v>11982.3</x:v>
      </x:c>
      <x:c r="Q105" s="8" t="n">
        <x:v>-2124.65</x:v>
      </x:c>
      <x:c r="R105" s="9" t="n">
        <x:v>-17.7</x:v>
      </x:c>
      <x:c r="S105" s="7" t="n">
        <x:v>8</x:v>
      </x:c>
      <x:c r="T105" s="6" t="inlineStr">
        <x:is>
          <x:t xml:space="preserve">Yes</x:t>
        </x:is>
      </x:c>
      <x:c r="U105" s="6" t="inlineStr">
        <x:is>
          <x:t xml:space="preserve">Cancelled</x:t>
        </x:is>
      </x:c>
    </x:row>
    <x:row r="106">
      <x:c r="A106" s="2" t="inlineStr">
        <x:is>
          <x:t xml:space="preserve">PO-2025-0105</x:t>
        </x:is>
      </x:c>
      <x:c r="B106" s="2" t="inlineStr">
        <x:is>
          <x:t xml:space="preserve">10/11/2025</x:t>
        </x:is>
      </x:c>
      <x:c r="C106" s="2" t="inlineStr">
        <x:is>
          <x:t xml:space="preserve">November</x:t>
        </x:is>
      </x:c>
      <x:c r="D106" s="2" t="inlineStr">
        <x:is>
          <x:t xml:space="preserve">Foothills Medical Centre Expansion</x:t>
        </x:is>
      </x:c>
      <x:c r="E106" s="2" t="inlineStr">
        <x:is>
          <x:t xml:space="preserve">Calgary SE</x:t>
        </x:is>
      </x:c>
      <x:c r="F106" s="2" t="inlineStr">
        <x:is>
          <x:t xml:space="preserve">Derek McLean</x:t>
        </x:is>
      </x:c>
      <x:c r="G106" s="2" t="inlineStr">
        <x:is>
          <x:t xml:space="preserve">MEP - Electrical</x:t>
        </x:is>
      </x:c>
      <x:c r="H106" s="2" t="inlineStr">
        <x:is>
          <x:t xml:space="preserve">MV Distribution Cable</x:t>
        </x:is>
      </x:c>
      <x:c r="I106" s="2" t="inlineStr">
        <x:is>
          <x:t xml:space="preserve">Houle Electric</x:t>
        </x:is>
      </x:c>
      <x:c r="J106" s="2" t="inlineStr">
        <x:is>
          <x:t xml:space="preserve">Standing Offer Agreement</x:t>
        </x:is>
      </x:c>
      <x:c r="K106" s="3" t="n">
        <x:v>30</x:v>
      </x:c>
      <x:c r="L106" s="2" t="inlineStr">
        <x:is>
          <x:t xml:space="preserve">lot</x:t>
        </x:is>
      </x:c>
      <x:c r="M106" s="4" t="n">
        <x:v>10300.65</x:v>
      </x:c>
      <x:c r="N106" s="4" t="n">
        <x:v>10283.34</x:v>
      </x:c>
      <x:c r="O106" s="4" t="n">
        <x:v>309019.5</x:v>
      </x:c>
      <x:c r="P106" s="4" t="n">
        <x:v>308500.2</x:v>
      </x:c>
      <x:c r="Q106" s="4" t="n">
        <x:v>519.3</x:v>
      </x:c>
      <x:c r="R106" s="5" t="n">
        <x:v>0.2</x:v>
      </x:c>
      <x:c r="S106" s="3" t="n">
        <x:v>47</x:v>
      </x:c>
      <x:c r="T106" s="2" t="inlineStr">
        <x:is>
          <x:t xml:space="preserve">Yes</x:t>
        </x:is>
      </x:c>
      <x:c r="U106" s="2" t="inlineStr">
        <x:is>
          <x:t xml:space="preserve">Pending</x:t>
        </x:is>
      </x:c>
    </x:row>
    <x:row r="107">
      <x:c r="A107" s="6" t="inlineStr">
        <x:is>
          <x:t xml:space="preserve">PO-2025-0106</x:t>
        </x:is>
      </x:c>
      <x:c r="B107" s="6" t="inlineStr">
        <x:is>
          <x:t xml:space="preserve">22/04/2025</x:t>
        </x:is>
      </x:c>
      <x:c r="C107" s="6" t="inlineStr">
        <x:is>
          <x:t xml:space="preserve">April</x:t>
        </x:is>
      </x:c>
      <x:c r="D107" s="6" t="inlineStr">
        <x:is>
          <x:t xml:space="preserve">Bow River Crossing Overpass</x:t>
        </x:is>
      </x:c>
      <x:c r="E107" s="6" t="inlineStr">
        <x:is>
          <x:t xml:space="preserve">Calgary SW</x:t>
        </x:is>
      </x:c>
      <x:c r="F107" s="6" t="inlineStr">
        <x:is>
          <x:t xml:space="preserve">Linda Tran</x:t>
        </x:is>
      </x:c>
      <x:c r="G107" s="6" t="inlineStr">
        <x:is>
          <x:t xml:space="preserve">Civil Works</x:t>
        </x:is>
      </x:c>
      <x:c r="H107" s="6" t="inlineStr">
        <x:is>
          <x:t xml:space="preserve">Storm Drainage Pipe</x:t>
        </x:is>
      </x:c>
      <x:c r="I107" s="6" t="inlineStr">
        <x:is>
          <x:t xml:space="preserve">Ledcor Civil Alberta</x:t>
        </x:is>
      </x:c>
      <x:c r="J107" s="6" t="inlineStr">
        <x:is>
          <x:t xml:space="preserve">Emergency Procurement</x:t>
        </x:is>
      </x:c>
      <x:c r="K107" s="7" t="n">
        <x:v>111</x:v>
      </x:c>
      <x:c r="L107" s="6" t="inlineStr">
        <x:is>
          <x:t xml:space="preserve">m³</x:t>
        </x:is>
      </x:c>
      <x:c r="M107" s="8" t="n">
        <x:v>232.14</x:v>
      </x:c>
      <x:c r="N107" s="8" t="n">
        <x:v>277.66</x:v>
      </x:c>
      <x:c r="O107" s="8" t="n">
        <x:v>25767.54</x:v>
      </x:c>
      <x:c r="P107" s="8" t="n">
        <x:v>30820.26</x:v>
      </x:c>
      <x:c r="Q107" s="8" t="n">
        <x:v>-5052.72</x:v>
      </x:c>
      <x:c r="R107" s="9" t="n">
        <x:v>-16.4</x:v>
      </x:c>
      <x:c r="S107" s="7" t="n">
        <x:v>26</x:v>
      </x:c>
      <x:c r="T107" s="6" t="inlineStr">
        <x:is>
          <x:t xml:space="preserve">Yes</x:t>
        </x:is>
      </x:c>
      <x:c r="U107" s="6" t="inlineStr">
        <x:is>
          <x:t xml:space="preserve">Partially Delivered</x:t>
        </x:is>
      </x:c>
    </x:row>
    <x:row r="108">
      <x:c r="A108" s="2" t="inlineStr">
        <x:is>
          <x:t xml:space="preserve">PO-2025-0107</x:t>
        </x:is>
      </x:c>
      <x:c r="B108" s="2" t="inlineStr">
        <x:is>
          <x:t xml:space="preserve">20/04/2025</x:t>
        </x:is>
      </x:c>
      <x:c r="C108" s="2" t="inlineStr">
        <x:is>
          <x:t xml:space="preserve">April</x:t>
        </x:is>
      </x:c>
      <x:c r="D108" s="2" t="inlineStr">
        <x:is>
          <x:t xml:space="preserve">University District Residential Phase 3</x:t>
        </x:is>
      </x:c>
      <x:c r="E108" s="2" t="inlineStr">
        <x:is>
          <x:t xml:space="preserve">Rocky View County</x:t>
        </x:is>
      </x:c>
      <x:c r="F108" s="2" t="inlineStr">
        <x:is>
          <x:t xml:space="preserve">Linda Tran</x:t>
        </x:is>
      </x:c>
      <x:c r="G108" s="2" t="inlineStr">
        <x:is>
          <x:t xml:space="preserve">Concrete &amp; Structural</x:t>
        </x:is>
      </x:c>
      <x:c r="H108" s="2" t="inlineStr">
        <x:is>
          <x:t xml:space="preserve">Precast Deck Panels</x:t>
        </x:is>
      </x:c>
      <x:c r="I108" s="2" t="inlineStr">
        <x:is>
          <x:t xml:space="preserve">Evraz Steel Calgary</x:t>
        </x:is>
      </x:c>
      <x:c r="J108" s="2" t="inlineStr">
        <x:is>
          <x:t xml:space="preserve">3-Quote Comparison</x:t>
        </x:is>
      </x:c>
      <x:c r="K108" s="3" t="n">
        <x:v>71</x:v>
      </x:c>
      <x:c r="L108" s="2" t="inlineStr">
        <x:is>
          <x:t xml:space="preserve">m³</x:t>
        </x:is>
      </x:c>
      <x:c r="M108" s="4" t="n">
        <x:v>296.3</x:v>
      </x:c>
      <x:c r="N108" s="4" t="n">
        <x:v>345.36</x:v>
      </x:c>
      <x:c r="O108" s="4" t="n">
        <x:v>21037.3</x:v>
      </x:c>
      <x:c r="P108" s="4" t="n">
        <x:v>24520.56</x:v>
      </x:c>
      <x:c r="Q108" s="4" t="n">
        <x:v>-3483.26</x:v>
      </x:c>
      <x:c r="R108" s="5" t="n">
        <x:v>-14.2</x:v>
      </x:c>
      <x:c r="S108" s="3" t="n">
        <x:v>65</x:v>
      </x:c>
      <x:c r="T108" s="2" t="inlineStr">
        <x:is>
          <x:t xml:space="preserve">No</x:t>
        </x:is>
      </x:c>
      <x:c r="U108" s="2" t="inlineStr">
        <x:is>
          <x:t xml:space="preserve">Delivered</x:t>
        </x:is>
      </x:c>
    </x:row>
    <x:row r="109">
      <x:c r="A109" s="6" t="inlineStr">
        <x:is>
          <x:t xml:space="preserve">PO-2025-0108</x:t>
        </x:is>
      </x:c>
      <x:c r="B109" s="6" t="inlineStr">
        <x:is>
          <x:t xml:space="preserve">01/11/2025</x:t>
        </x:is>
      </x:c>
      <x:c r="C109" s="6" t="inlineStr">
        <x:is>
          <x:t xml:space="preserve">November</x:t>
        </x:is>
      </x:c>
      <x:c r="D109" s="6" t="inlineStr">
        <x:is>
          <x:t xml:space="preserve">Stampede Park Infrastructure Upgrade</x:t>
        </x:is>
      </x:c>
      <x:c r="E109" s="6" t="inlineStr">
        <x:is>
          <x:t xml:space="preserve">Calgary SE</x:t>
        </x:is>
      </x:c>
      <x:c r="F109" s="6" t="inlineStr">
        <x:is>
          <x:t xml:space="preserve">James Okafor</x:t>
        </x:is>
      </x:c>
      <x:c r="G109" s="6" t="inlineStr">
        <x:is>
          <x:t xml:space="preserve">Civil Works</x:t>
        </x:is>
      </x:c>
      <x:c r="H109" s="6" t="inlineStr">
        <x:is>
          <x:t xml:space="preserve">Curb &amp; Gutter Concrete</x:t>
        </x:is>
      </x:c>
      <x:c r="I109" s="6" t="inlineStr">
        <x:is>
          <x:t xml:space="preserve">EllisDon Civil</x:t>
        </x:is>
      </x:c>
      <x:c r="J109" s="6" t="inlineStr">
        <x:is>
          <x:t xml:space="preserve">Standing Offer Agreement</x:t>
        </x:is>
      </x:c>
      <x:c r="K109" s="7" t="n">
        <x:v>50</x:v>
      </x:c>
      <x:c r="L109" s="6" t="inlineStr">
        <x:is>
          <x:t xml:space="preserve">m³</x:t>
        </x:is>
      </x:c>
      <x:c r="M109" s="8" t="n">
        <x:v>107.17</x:v>
      </x:c>
      <x:c r="N109" s="8" t="n">
        <x:v>109.24</x:v>
      </x:c>
      <x:c r="O109" s="8" t="n">
        <x:v>5358.5</x:v>
      </x:c>
      <x:c r="P109" s="8" t="n">
        <x:v>5462</x:v>
      </x:c>
      <x:c r="Q109" s="8" t="n">
        <x:v>-103.5</x:v>
      </x:c>
      <x:c r="R109" s="9" t="n">
        <x:v>-1.9</x:v>
      </x:c>
      <x:c r="S109" s="7" t="n">
        <x:v>10</x:v>
      </x:c>
      <x:c r="T109" s="6" t="inlineStr">
        <x:is>
          <x:t xml:space="preserve">Yes</x:t>
        </x:is>
      </x:c>
      <x:c r="U109" s="6" t="inlineStr">
        <x:is>
          <x:t xml:space="preserve">Delivered</x:t>
        </x:is>
      </x:c>
    </x:row>
    <x:row r="110">
      <x:c r="A110" s="2" t="inlineStr">
        <x:is>
          <x:t xml:space="preserve">PO-2025-0109</x:t>
        </x:is>
      </x:c>
      <x:c r="B110" s="2" t="inlineStr">
        <x:is>
          <x:t xml:space="preserve">21/05/2025</x:t>
        </x:is>
      </x:c>
      <x:c r="C110" s="2" t="inlineStr">
        <x:is>
          <x:t xml:space="preserve">May</x:t>
        </x:is>
      </x:c>
      <x:c r="D110" s="2" t="inlineStr">
        <x:is>
          <x:t xml:space="preserve">Springbank Off-Stream Reservoir</x:t>
        </x:is>
      </x:c>
      <x:c r="E110" s="2" t="inlineStr">
        <x:is>
          <x:t xml:space="preserve">Calgary NE</x:t>
        </x:is>
      </x:c>
      <x:c r="F110" s="2" t="inlineStr">
        <x:is>
          <x:t xml:space="preserve">Derek McLean</x:t>
        </x:is>
      </x:c>
      <x:c r="G110" s="2" t="inlineStr">
        <x:is>
          <x:t xml:space="preserve">Finishing</x:t>
        </x:is>
      </x:c>
      <x:c r="H110" s="2" t="inlineStr">
        <x:is>
          <x:t xml:space="preserve">Drywall &amp; Framing</x:t>
        </x:is>
      </x:c>
      <x:c r="I110" s="2" t="inlineStr">
        <x:is>
          <x:t xml:space="preserve">Tremco Roofing</x:t>
        </x:is>
      </x:c>
      <x:c r="J110" s="2" t="inlineStr">
        <x:is>
          <x:t xml:space="preserve">Emergency Procurement</x:t>
        </x:is>
      </x:c>
      <x:c r="K110" s="3" t="n">
        <x:v>92</x:v>
      </x:c>
      <x:c r="L110" s="2" t="inlineStr">
        <x:is>
          <x:t xml:space="preserve">m²</x:t>
        </x:is>
      </x:c>
      <x:c r="M110" s="4" t="n">
        <x:v>429.43</x:v>
      </x:c>
      <x:c r="N110" s="4" t="n">
        <x:v>404.81</x:v>
      </x:c>
      <x:c r="O110" s="4" t="n">
        <x:v>39507.56</x:v>
      </x:c>
      <x:c r="P110" s="4" t="n">
        <x:v>37242.52</x:v>
      </x:c>
      <x:c r="Q110" s="4" t="n">
        <x:v>2265.04</x:v>
      </x:c>
      <x:c r="R110" s="5" t="n">
        <x:v>6.1</x:v>
      </x:c>
      <x:c r="S110" s="3" t="n">
        <x:v>17</x:v>
      </x:c>
      <x:c r="T110" s="2" t="inlineStr">
        <x:is>
          <x:t xml:space="preserve">Yes</x:t>
        </x:is>
      </x:c>
      <x:c r="U110" s="2" t="inlineStr">
        <x:is>
          <x:t xml:space="preserve">Delivered</x:t>
        </x:is>
      </x:c>
    </x:row>
    <x:row r="111">
      <x:c r="A111" s="6" t="inlineStr">
        <x:is>
          <x:t xml:space="preserve">PO-2025-0110</x:t>
        </x:is>
      </x:c>
      <x:c r="B111" s="6" t="inlineStr">
        <x:is>
          <x:t xml:space="preserve">04/07/2025</x:t>
        </x:is>
      </x:c>
      <x:c r="C111" s="6" t="inlineStr">
        <x:is>
          <x:t xml:space="preserve">July</x:t>
        </x:is>
      </x:c>
      <x:c r="D111" s="6" t="inlineStr">
        <x:is>
          <x:t xml:space="preserve">Saddledome Arena Retrofit</x:t>
        </x:is>
      </x:c>
      <x:c r="E111" s="6" t="inlineStr">
        <x:is>
          <x:t xml:space="preserve">Calgary SW</x:t>
        </x:is>
      </x:c>
      <x:c r="F111" s="6" t="inlineStr">
        <x:is>
          <x:t xml:space="preserve">Linda Tran</x:t>
        </x:is>
      </x:c>
      <x:c r="G111" s="6" t="inlineStr">
        <x:is>
          <x:t xml:space="preserve">Safety &amp; Temp Works</x:t>
        </x:is>
      </x:c>
      <x:c r="H111" s="6" t="inlineStr">
        <x:is>
          <x:t xml:space="preserve">Site Hoarding &amp; Fencing</x:t>
        </x:is>
      </x:c>
      <x:c r="I111" s="6" t="inlineStr">
        <x:is>
          <x:t xml:space="preserve">BrandSafway Canada</x:t>
        </x:is>
      </x:c>
      <x:c r="J111" s="6" t="inlineStr">
        <x:is>
          <x:t xml:space="preserve">Standing Offer Agreement</x:t>
        </x:is>
      </x:c>
      <x:c r="K111" s="7" t="n">
        <x:v>110</x:v>
      </x:c>
      <x:c r="L111" s="6" t="inlineStr">
        <x:is>
          <x:t xml:space="preserve">lot</x:t>
        </x:is>
      </x:c>
      <x:c r="M111" s="8" t="n">
        <x:v>9493.75</x:v>
      </x:c>
      <x:c r="N111" s="8" t="n">
        <x:v>11347.94</x:v>
      </x:c>
      <x:c r="O111" s="8" t="n">
        <x:v>1044312.5</x:v>
      </x:c>
      <x:c r="P111" s="8" t="n">
        <x:v>1248273.4</x:v>
      </x:c>
      <x:c r="Q111" s="8" t="n">
        <x:v>-203960.9</x:v>
      </x:c>
      <x:c r="R111" s="9" t="n">
        <x:v>-16.3</x:v>
      </x:c>
      <x:c r="S111" s="7" t="n">
        <x:v>45</x:v>
      </x:c>
      <x:c r="T111" s="6" t="inlineStr">
        <x:is>
          <x:t xml:space="preserve">No</x:t>
        </x:is>
      </x:c>
      <x:c r="U111" s="6" t="inlineStr">
        <x:is>
          <x:t xml:space="preserve">Pending</x:t>
        </x:is>
      </x:c>
    </x:row>
    <x:row r="112">
      <x:c r="A112" s="2" t="inlineStr">
        <x:is>
          <x:t xml:space="preserve">PO-2025-0111</x:t>
        </x:is>
      </x:c>
      <x:c r="B112" s="2" t="inlineStr">
        <x:is>
          <x:t xml:space="preserve">29/01/2025</x:t>
        </x:is>
      </x:c>
      <x:c r="C112" s="2" t="inlineStr">
        <x:is>
          <x:t xml:space="preserve">January</x:t>
        </x:is>
      </x:c>
      <x:c r="D112" s="2" t="inlineStr">
        <x:is>
          <x:t xml:space="preserve">Quarry Park Mixed-Use Development</x:t>
        </x:is>
      </x:c>
      <x:c r="E112" s="2" t="inlineStr">
        <x:is>
          <x:t xml:space="preserve">Rocky View County</x:t>
        </x:is>
      </x:c>
      <x:c r="F112" s="2" t="inlineStr">
        <x:is>
          <x:t xml:space="preserve">Liam Kowalski</x:t>
        </x:is>
      </x:c>
      <x:c r="G112" s="2" t="inlineStr">
        <x:is>
          <x:t xml:space="preserve">Finishing</x:t>
        </x:is>
      </x:c>
      <x:c r="H112" s="2" t="inlineStr">
        <x:is>
          <x:t xml:space="preserve">Drywall &amp; Framing</x:t>
        </x:is>
      </x:c>
      <x:c r="I112" s="2" t="inlineStr">
        <x:is>
          <x:t xml:space="preserve">Dryvit Systems Canada</x:t>
        </x:is>
      </x:c>
      <x:c r="J112" s="2" t="inlineStr">
        <x:is>
          <x:t xml:space="preserve">3-Quote Comparison</x:t>
        </x:is>
      </x:c>
      <x:c r="K112" s="3" t="n">
        <x:v>77</x:v>
      </x:c>
      <x:c r="L112" s="2" t="inlineStr">
        <x:is>
          <x:t xml:space="preserve">m²</x:t>
        </x:is>
      </x:c>
      <x:c r="M112" s="4" t="n">
        <x:v>120.35</x:v>
      </x:c>
      <x:c r="N112" s="4" t="n">
        <x:v>109.34</x:v>
      </x:c>
      <x:c r="O112" s="4" t="n">
        <x:v>9266.950000000001</x:v>
      </x:c>
      <x:c r="P112" s="4" t="n">
        <x:v>8419.18</x:v>
      </x:c>
      <x:c r="Q112" s="4" t="n">
        <x:v>847.77</x:v>
      </x:c>
      <x:c r="R112" s="5" t="n">
        <x:v>10.1</x:v>
      </x:c>
      <x:c r="S112" s="3" t="n">
        <x:v>30</x:v>
      </x:c>
      <x:c r="T112" s="2" t="inlineStr">
        <x:is>
          <x:t xml:space="preserve">Yes</x:t>
        </x:is>
      </x:c>
      <x:c r="U112" s="2" t="inlineStr">
        <x:is>
          <x:t xml:space="preserve">Partially Delivered</x:t>
        </x:is>
      </x:c>
    </x:row>
    <x:row r="113">
      <x:c r="A113" s="6" t="inlineStr">
        <x:is>
          <x:t xml:space="preserve">PO-2025-0112</x:t>
        </x:is>
      </x:c>
      <x:c r="B113" s="6" t="inlineStr">
        <x:is>
          <x:t xml:space="preserve">03/09/2025</x:t>
        </x:is>
      </x:c>
      <x:c r="C113" s="6" t="inlineStr">
        <x:is>
          <x:t xml:space="preserve">September</x:t>
        </x:is>
      </x:c>
      <x:c r="D113" s="6" t="inlineStr">
        <x:is>
          <x:t xml:space="preserve">Deerfoot Trail Widening - North</x:t>
        </x:is>
      </x:c>
      <x:c r="E113" s="6" t="inlineStr">
        <x:is>
          <x:t xml:space="preserve">Calgary SW</x:t>
        </x:is>
      </x:c>
      <x:c r="F113" s="6" t="inlineStr">
        <x:is>
          <x:t xml:space="preserve">Linda Tran</x:t>
        </x:is>
      </x:c>
      <x:c r="G113" s="6" t="inlineStr">
        <x:is>
          <x:t xml:space="preserve">Finishing</x:t>
        </x:is>
      </x:c>
      <x:c r="H113" s="6" t="inlineStr">
        <x:is>
          <x:t xml:space="preserve">Waterproofing Membrane</x:t>
        </x:is>
      </x:c>
      <x:c r="I113" s="6" t="inlineStr">
        <x:is>
          <x:t xml:space="preserve">Tremco Roofing</x:t>
        </x:is>
      </x:c>
      <x:c r="J113" s="6" t="inlineStr">
        <x:is>
          <x:t xml:space="preserve">Standing Offer Agreement</x:t>
        </x:is>
      </x:c>
      <x:c r="K113" s="7" t="n">
        <x:v>19</x:v>
      </x:c>
      <x:c r="L113" s="6" t="inlineStr">
        <x:is>
          <x:t xml:space="preserve">m²</x:t>
        </x:is>
      </x:c>
      <x:c r="M113" s="8" t="n">
        <x:v>326.47</x:v>
      </x:c>
      <x:c r="N113" s="8" t="n">
        <x:v>389.95</x:v>
      </x:c>
      <x:c r="O113" s="8" t="n">
        <x:v>6202.93</x:v>
      </x:c>
      <x:c r="P113" s="8" t="n">
        <x:v>7409.05</x:v>
      </x:c>
      <x:c r="Q113" s="8" t="n">
        <x:v>-1206.12</x:v>
      </x:c>
      <x:c r="R113" s="9" t="n">
        <x:v>-16.3</x:v>
      </x:c>
      <x:c r="S113" s="7" t="n">
        <x:v>39</x:v>
      </x:c>
      <x:c r="T113" s="6" t="inlineStr">
        <x:is>
          <x:t xml:space="preserve">Yes</x:t>
        </x:is>
      </x:c>
      <x:c r="U113" s="6" t="inlineStr">
        <x:is>
          <x:t xml:space="preserve">Partially Delivered</x:t>
        </x:is>
      </x:c>
    </x:row>
    <x:row r="114">
      <x:c r="A114" s="2" t="inlineStr">
        <x:is>
          <x:t xml:space="preserve">PO-2025-0113</x:t>
        </x:is>
      </x:c>
      <x:c r="B114" s="2" t="inlineStr">
        <x:is>
          <x:t xml:space="preserve">27/07/2025</x:t>
        </x:is>
      </x:c>
      <x:c r="C114" s="2" t="inlineStr">
        <x:is>
          <x:t xml:space="preserve">July</x:t>
        </x:is>
      </x:c>
      <x:c r="D114" s="2" t="inlineStr">
        <x:is>
          <x:t xml:space="preserve">Saddledome Arena Retrofit</x:t>
        </x:is>
      </x:c>
      <x:c r="E114" s="2" t="inlineStr">
        <x:is>
          <x:t xml:space="preserve">Rocky View County</x:t>
        </x:is>
      </x:c>
      <x:c r="F114" s="2" t="inlineStr">
        <x:is>
          <x:t xml:space="preserve">Priya Sharma</x:t>
        </x:is>
      </x:c>
      <x:c r="G114" s="2" t="inlineStr">
        <x:is>
          <x:t xml:space="preserve">Finishing</x:t>
        </x:is>
      </x:c>
      <x:c r="H114" s="2" t="inlineStr">
        <x:is>
          <x:t xml:space="preserve">Acoustic Ceiling Grid</x:t>
        </x:is>
      </x:c>
      <x:c r="I114" s="2" t="inlineStr">
        <x:is>
          <x:t xml:space="preserve">Armstrong World Industries</x:t>
        </x:is>
      </x:c>
      <x:c r="J114" s="2" t="inlineStr">
        <x:is>
          <x:t xml:space="preserve">Tender – Open</x:t>
        </x:is>
      </x:c>
      <x:c r="K114" s="3" t="n">
        <x:v>79</x:v>
      </x:c>
      <x:c r="L114" s="2" t="inlineStr">
        <x:is>
          <x:t xml:space="preserve">m²</x:t>
        </x:is>
      </x:c>
      <x:c r="M114" s="4" t="n">
        <x:v>208.19</x:v>
      </x:c>
      <x:c r="N114" s="4" t="n">
        <x:v>196.11</x:v>
      </x:c>
      <x:c r="O114" s="4" t="n">
        <x:v>16447.01</x:v>
      </x:c>
      <x:c r="P114" s="4" t="n">
        <x:v>15492.69</x:v>
      </x:c>
      <x:c r="Q114" s="4" t="n">
        <x:v>954.3200000000001</x:v>
      </x:c>
      <x:c r="R114" s="5" t="n">
        <x:v>6.2</x:v>
      </x:c>
      <x:c r="S114" s="3" t="n">
        <x:v>9</x:v>
      </x:c>
      <x:c r="T114" s="2" t="inlineStr">
        <x:is>
          <x:t xml:space="preserve">Yes</x:t>
        </x:is>
      </x:c>
      <x:c r="U114" s="2" t="inlineStr">
        <x:is>
          <x:t xml:space="preserve">Cancelled</x:t>
        </x:is>
      </x:c>
    </x:row>
    <x:row r="115">
      <x:c r="A115" s="6" t="inlineStr">
        <x:is>
          <x:t xml:space="preserve">PO-2025-0114</x:t>
        </x:is>
      </x:c>
      <x:c r="B115" s="6" t="inlineStr">
        <x:is>
          <x:t xml:space="preserve">19/11/2025</x:t>
        </x:is>
      </x:c>
      <x:c r="C115" s="6" t="inlineStr">
        <x:is>
          <x:t xml:space="preserve">November</x:t>
        </x:is>
      </x:c>
      <x:c r="D115" s="6" t="inlineStr">
        <x:is>
          <x:t xml:space="preserve">Stampede Park Infrastructure Upgrade</x:t>
        </x:is>
      </x:c>
      <x:c r="E115" s="6" t="inlineStr">
        <x:is>
          <x:t xml:space="preserve">Calgary NE</x:t>
        </x:is>
      </x:c>
      <x:c r="F115" s="6" t="inlineStr">
        <x:is>
          <x:t xml:space="preserve">Sarah Bouchard</x:t>
        </x:is>
      </x:c>
      <x:c r="G115" s="6" t="inlineStr">
        <x:is>
          <x:t xml:space="preserve">Safety &amp; Temp Works</x:t>
        </x:is>
      </x:c>
      <x:c r="H115" s="6" t="inlineStr">
        <x:is>
          <x:t xml:space="preserve">Fall Protection Netting</x:t>
        </x:is>
      </x:c>
      <x:c r="I115" s="6" t="inlineStr">
        <x:is>
          <x:t xml:space="preserve">BrandSafway Canada</x:t>
        </x:is>
      </x:c>
      <x:c r="J115" s="6" t="inlineStr">
        <x:is>
          <x:t xml:space="preserve">Emergency Procurement</x:t>
        </x:is>
      </x:c>
      <x:c r="K115" s="7" t="n">
        <x:v>86</x:v>
      </x:c>
      <x:c r="L115" s="6" t="inlineStr">
        <x:is>
          <x:t xml:space="preserve">lot</x:t>
        </x:is>
      </x:c>
      <x:c r="M115" s="8" t="n">
        <x:v>14063.93</x:v>
      </x:c>
      <x:c r="N115" s="8" t="n">
        <x:v>12747.53</x:v>
      </x:c>
      <x:c r="O115" s="8" t="n">
        <x:v>1209497.98</x:v>
      </x:c>
      <x:c r="P115" s="8" t="n">
        <x:v>1096287.58</x:v>
      </x:c>
      <x:c r="Q115" s="8" t="n">
        <x:v>113210.4</x:v>
      </x:c>
      <x:c r="R115" s="9" t="n">
        <x:v>10.3</x:v>
      </x:c>
      <x:c r="S115" s="7" t="n">
        <x:v>51</x:v>
      </x:c>
      <x:c r="T115" s="6" t="inlineStr">
        <x:is>
          <x:t xml:space="preserve">No</x:t>
        </x:is>
      </x:c>
      <x:c r="U115" s="6" t="inlineStr">
        <x:is>
          <x:t xml:space="preserve">Cancelled</x:t>
        </x:is>
      </x:c>
    </x:row>
    <x:row r="116">
      <x:c r="A116" s="2" t="inlineStr">
        <x:is>
          <x:t xml:space="preserve">PO-2025-0115</x:t>
        </x:is>
      </x:c>
      <x:c r="B116" s="2" t="inlineStr">
        <x:is>
          <x:t xml:space="preserve">13/05/2025</x:t>
        </x:is>
      </x:c>
      <x:c r="C116" s="2" t="inlineStr">
        <x:is>
          <x:t xml:space="preserve">May</x:t>
        </x:is>
      </x:c>
      <x:c r="D116" s="2" t="inlineStr">
        <x:is>
          <x:t xml:space="preserve">Calgary SE Ring Road Extension</x:t>
        </x:is>
      </x:c>
      <x:c r="E116" s="2" t="inlineStr">
        <x:is>
          <x:t xml:space="preserve">Rocky View County</x:t>
        </x:is>
      </x:c>
      <x:c r="F116" s="2" t="inlineStr">
        <x:is>
          <x:t xml:space="preserve">Liam Kowalski</x:t>
        </x:is>
      </x:c>
      <x:c r="G116" s="2" t="inlineStr">
        <x:is>
          <x:t xml:space="preserve">Concrete &amp; Structural</x:t>
        </x:is>
      </x:c>
      <x:c r="H116" s="2" t="inlineStr">
        <x:is>
          <x:t xml:space="preserve">Structural Formwork</x:t>
        </x:is>
      </x:c>
      <x:c r="I116" s="2" t="inlineStr">
        <x:is>
          <x:t xml:space="preserve">Evraz Steel Calgary</x:t>
        </x:is>
      </x:c>
      <x:c r="J116" s="2" t="inlineStr">
        <x:is>
          <x:t xml:space="preserve">Standing Offer Agreement</x:t>
        </x:is>
      </x:c>
      <x:c r="K116" s="3" t="n">
        <x:v>43</x:v>
      </x:c>
      <x:c r="L116" s="2" t="inlineStr">
        <x:is>
          <x:t xml:space="preserve">m³</x:t>
        </x:is>
      </x:c>
      <x:c r="M116" s="4" t="n">
        <x:v>390.18</x:v>
      </x:c>
      <x:c r="N116" s="4" t="n">
        <x:v>377.75</x:v>
      </x:c>
      <x:c r="O116" s="4" t="n">
        <x:v>16777.74</x:v>
      </x:c>
      <x:c r="P116" s="4" t="n">
        <x:v>16243.25</x:v>
      </x:c>
      <x:c r="Q116" s="4" t="n">
        <x:v>534.49</x:v>
      </x:c>
      <x:c r="R116" s="5" t="n">
        <x:v>3.3</x:v>
      </x:c>
      <x:c r="S116" s="3" t="n">
        <x:v>39</x:v>
      </x:c>
      <x:c r="T116" s="2" t="inlineStr">
        <x:is>
          <x:t xml:space="preserve">No</x:t>
        </x:is>
      </x:c>
      <x:c r="U116" s="2" t="inlineStr">
        <x:is>
          <x:t xml:space="preserve">Partially Delivered</x:t>
        </x:is>
      </x:c>
    </x:row>
    <x:row r="117">
      <x:c r="A117" s="6" t="inlineStr">
        <x:is>
          <x:t xml:space="preserve">PO-2025-0116</x:t>
        </x:is>
      </x:c>
      <x:c r="B117" s="6" t="inlineStr">
        <x:is>
          <x:t xml:space="preserve">14/04/2025</x:t>
        </x:is>
      </x:c>
      <x:c r="C117" s="6" t="inlineStr">
        <x:is>
          <x:t xml:space="preserve">April</x:t>
        </x:is>
      </x:c>
      <x:c r="D117" s="6" t="inlineStr">
        <x:is>
          <x:t xml:space="preserve">Stampede Park Infrastructure Upgrade</x:t>
        </x:is>
      </x:c>
      <x:c r="E117" s="6" t="inlineStr">
        <x:is>
          <x:t xml:space="preserve">Calgary SW</x:t>
        </x:is>
      </x:c>
      <x:c r="F117" s="6" t="inlineStr">
        <x:is>
          <x:t xml:space="preserve">Linda Tran</x:t>
        </x:is>
      </x:c>
      <x:c r="G117" s="6" t="inlineStr">
        <x:is>
          <x:t xml:space="preserve">MEP - Electrical</x:t>
        </x:is>
      </x:c>
      <x:c r="H117" s="6" t="inlineStr">
        <x:is>
          <x:t xml:space="preserve">LV Switchgear Panel</x:t>
        </x:is>
      </x:c>
      <x:c r="I117" s="6" t="inlineStr">
        <x:is>
          <x:t xml:space="preserve">Schneider Electric Canada</x:t>
        </x:is>
      </x:c>
      <x:c r="J117" s="6" t="inlineStr">
        <x:is>
          <x:t xml:space="preserve">Standing Offer Agreement</x:t>
        </x:is>
      </x:c>
      <x:c r="K117" s="7" t="n">
        <x:v>62</x:v>
      </x:c>
      <x:c r="L117" s="6" t="inlineStr">
        <x:is>
          <x:t xml:space="preserve">lot</x:t>
        </x:is>
      </x:c>
      <x:c r="M117" s="8" t="n">
        <x:v>72925.72</x:v>
      </x:c>
      <x:c r="N117" s="8" t="n">
        <x:v>78862.03999999999</x:v>
      </x:c>
      <x:c r="O117" s="8" t="n">
        <x:v>4521394.64</x:v>
      </x:c>
      <x:c r="P117" s="8" t="n">
        <x:v>4889446.48</x:v>
      </x:c>
      <x:c r="Q117" s="8" t="n">
        <x:v>-368051.84</x:v>
      </x:c>
      <x:c r="R117" s="9" t="n">
        <x:v>-7.5</x:v>
      </x:c>
      <x:c r="S117" s="7" t="n">
        <x:v>74</x:v>
      </x:c>
      <x:c r="T117" s="6" t="inlineStr">
        <x:is>
          <x:t xml:space="preserve">Yes</x:t>
        </x:is>
      </x:c>
      <x:c r="U117" s="6" t="inlineStr">
        <x:is>
          <x:t xml:space="preserve">Delivered</x:t>
        </x:is>
      </x:c>
    </x:row>
    <x:row r="118">
      <x:c r="A118" s="2" t="inlineStr">
        <x:is>
          <x:t xml:space="preserve">PO-2025-0117</x:t>
        </x:is>
      </x:c>
      <x:c r="B118" s="2" t="inlineStr">
        <x:is>
          <x:t xml:space="preserve">20/07/2025</x:t>
        </x:is>
      </x:c>
      <x:c r="C118" s="2" t="inlineStr">
        <x:is>
          <x:t xml:space="preserve">July</x:t>
        </x:is>
      </x:c>
      <x:c r="D118" s="2" t="inlineStr">
        <x:is>
          <x:t xml:space="preserve">Calgary SE Ring Road Extension</x:t>
        </x:is>
      </x:c>
      <x:c r="E118" s="2" t="inlineStr">
        <x:is>
          <x:t xml:space="preserve">Calgary SE</x:t>
        </x:is>
      </x:c>
      <x:c r="F118" s="2" t="inlineStr">
        <x:is>
          <x:t xml:space="preserve">Liam Kowalski</x:t>
        </x:is>
      </x:c>
      <x:c r="G118" s="2" t="inlineStr">
        <x:is>
          <x:t xml:space="preserve">Concrete &amp; Structural</x:t>
        </x:is>
      </x:c>
      <x:c r="H118" s="2" t="inlineStr">
        <x:is>
          <x:t xml:space="preserve">Structural Formwork</x:t>
        </x:is>
      </x:c>
      <x:c r="I118" s="2" t="inlineStr">
        <x:is>
          <x:t xml:space="preserve">Alberta Precast</x:t>
        </x:is>
      </x:c>
      <x:c r="J118" s="2" t="inlineStr">
        <x:is>
          <x:t xml:space="preserve">Standing Offer Agreement</x:t>
        </x:is>
      </x:c>
      <x:c r="K118" s="3" t="n">
        <x:v>75</x:v>
      </x:c>
      <x:c r="L118" s="2" t="inlineStr">
        <x:is>
          <x:t xml:space="preserve">m³</x:t>
        </x:is>
      </x:c>
      <x:c r="M118" s="4" t="n">
        <x:v>442.91</x:v>
      </x:c>
      <x:c r="N118" s="4" t="n">
        <x:v>431.39</x:v>
      </x:c>
      <x:c r="O118" s="4" t="n">
        <x:v>33218.25</x:v>
      </x:c>
      <x:c r="P118" s="4" t="n">
        <x:v>32354.25</x:v>
      </x:c>
      <x:c r="Q118" s="4" t="n">
        <x:v>864</x:v>
      </x:c>
      <x:c r="R118" s="5" t="n">
        <x:v>2.7</x:v>
      </x:c>
      <x:c r="S118" s="3" t="n">
        <x:v>45</x:v>
      </x:c>
      <x:c r="T118" s="2" t="inlineStr">
        <x:is>
          <x:t xml:space="preserve">Yes</x:t>
        </x:is>
      </x:c>
      <x:c r="U118" s="2" t="inlineStr">
        <x:is>
          <x:t xml:space="preserve">Delivered</x:t>
        </x:is>
      </x:c>
    </x:row>
    <x:row r="119">
      <x:c r="A119" s="6" t="inlineStr">
        <x:is>
          <x:t xml:space="preserve">PO-2025-0118</x:t>
        </x:is>
      </x:c>
      <x:c r="B119" s="6" t="inlineStr">
        <x:is>
          <x:t xml:space="preserve">13/01/2025</x:t>
        </x:is>
      </x:c>
      <x:c r="C119" s="6" t="inlineStr">
        <x:is>
          <x:t xml:space="preserve">January</x:t>
        </x:is>
      </x:c>
      <x:c r="D119" s="6" t="inlineStr">
        <x:is>
          <x:t xml:space="preserve">Bow River Crossing Overpass</x:t>
        </x:is>
      </x:c>
      <x:c r="E119" s="6" t="inlineStr">
        <x:is>
          <x:t xml:space="preserve">Calgary SE</x:t>
        </x:is>
      </x:c>
      <x:c r="F119" s="6" t="inlineStr">
        <x:is>
          <x:t xml:space="preserve">Mohammed Siddiqui</x:t>
        </x:is>
      </x:c>
      <x:c r="G119" s="6" t="inlineStr">
        <x:is>
          <x:t xml:space="preserve">MEP - Electrical</x:t>
        </x:is>
      </x:c>
      <x:c r="H119" s="6" t="inlineStr">
        <x:is>
          <x:t xml:space="preserve">LED Site Lighting</x:t>
        </x:is>
      </x:c>
      <x:c r="I119" s="6" t="inlineStr">
        <x:is>
          <x:t xml:space="preserve">Stuart Olson Electrical</x:t>
        </x:is>
      </x:c>
      <x:c r="J119" s="6" t="inlineStr">
        <x:is>
          <x:t xml:space="preserve">3-Quote Comparison</x:t>
        </x:is>
      </x:c>
      <x:c r="K119" s="7" t="n">
        <x:v>50</x:v>
      </x:c>
      <x:c r="L119" s="6" t="inlineStr">
        <x:is>
          <x:t xml:space="preserve">lot</x:t>
        </x:is>
      </x:c>
      <x:c r="M119" s="8" t="n">
        <x:v>58810.22</x:v>
      </x:c>
      <x:c r="N119" s="8" t="n">
        <x:v>64326.52</x:v>
      </x:c>
      <x:c r="O119" s="8" t="n">
        <x:v>2940511</x:v>
      </x:c>
      <x:c r="P119" s="8" t="n">
        <x:v>3216326</x:v>
      </x:c>
      <x:c r="Q119" s="8" t="n">
        <x:v>-275815</x:v>
      </x:c>
      <x:c r="R119" s="9" t="n">
        <x:v>-8.6</x:v>
      </x:c>
      <x:c r="S119" s="7" t="n">
        <x:v>50</x:v>
      </x:c>
      <x:c r="T119" s="6" t="inlineStr">
        <x:is>
          <x:t xml:space="preserve">No</x:t>
        </x:is>
      </x:c>
      <x:c r="U119" s="6" t="inlineStr">
        <x:is>
          <x:t xml:space="preserve">Cancelled</x:t>
        </x:is>
      </x:c>
    </x:row>
    <x:row r="120">
      <x:c r="A120" s="2" t="inlineStr">
        <x:is>
          <x:t xml:space="preserve">PO-2025-0119</x:t>
        </x:is>
      </x:c>
      <x:c r="B120" s="2" t="inlineStr">
        <x:is>
          <x:t xml:space="preserve">21/04/2025</x:t>
        </x:is>
      </x:c>
      <x:c r="C120" s="2" t="inlineStr">
        <x:is>
          <x:t xml:space="preserve">April</x:t>
        </x:is>
      </x:c>
      <x:c r="D120" s="2" t="inlineStr">
        <x:is>
          <x:t xml:space="preserve">Calgary SE Ring Road Extension</x:t>
        </x:is>
      </x:c>
      <x:c r="E120" s="2" t="inlineStr">
        <x:is>
          <x:t xml:space="preserve">Calgary NE</x:t>
        </x:is>
      </x:c>
      <x:c r="F120" s="2" t="inlineStr">
        <x:is>
          <x:t xml:space="preserve">Derek McLean</x:t>
        </x:is>
      </x:c>
      <x:c r="G120" s="2" t="inlineStr">
        <x:is>
          <x:t xml:space="preserve">Finishing</x:t>
        </x:is>
      </x:c>
      <x:c r="H120" s="2" t="inlineStr">
        <x:is>
          <x:t xml:space="preserve">Waterproofing Membrane</x:t>
        </x:is>
      </x:c>
      <x:c r="I120" s="2" t="inlineStr">
        <x:is>
          <x:t xml:space="preserve">Dryvit Systems Canada</x:t>
        </x:is>
      </x:c>
      <x:c r="J120" s="2" t="inlineStr">
        <x:is>
          <x:t xml:space="preserve">LPO – Direct Award</x:t>
        </x:is>
      </x:c>
      <x:c r="K120" s="3" t="n">
        <x:v>107</x:v>
      </x:c>
      <x:c r="L120" s="2" t="inlineStr">
        <x:is>
          <x:t xml:space="preserve">m²</x:t>
        </x:is>
      </x:c>
      <x:c r="M120" s="4" t="n">
        <x:v>170.47</x:v>
      </x:c>
      <x:c r="N120" s="4" t="n">
        <x:v>176.66</x:v>
      </x:c>
      <x:c r="O120" s="4" t="n">
        <x:v>18240.29</x:v>
      </x:c>
      <x:c r="P120" s="4" t="n">
        <x:v>18902.62</x:v>
      </x:c>
      <x:c r="Q120" s="4" t="n">
        <x:v>-662.33</x:v>
      </x:c>
      <x:c r="R120" s="5" t="n">
        <x:v>-3.5</x:v>
      </x:c>
      <x:c r="S120" s="3" t="n">
        <x:v>61</x:v>
      </x:c>
      <x:c r="T120" s="2" t="inlineStr">
        <x:is>
          <x:t xml:space="preserve">Yes</x:t>
        </x:is>
      </x:c>
      <x:c r="U120" s="2" t="inlineStr">
        <x:is>
          <x:t xml:space="preserve">Partially Delivered</x:t>
        </x:is>
      </x:c>
    </x:row>
    <x:row r="121">
      <x:c r="A121" s="6" t="inlineStr">
        <x:is>
          <x:t xml:space="preserve">PO-2025-0060</x:t>
        </x:is>
      </x:c>
      <x:c r="B121" s="6" t="inlineStr">
        <x:is>
          <x:t xml:space="preserve">20/01/2025</x:t>
        </x:is>
      </x:c>
      <x:c r="C121" s="6" t="inlineStr">
        <x:is>
          <x:t xml:space="preserve">January</x:t>
        </x:is>
      </x:c>
      <x:c r="D121" s="6" t="inlineStr">
        <x:is>
          <x:t xml:space="preserve">Saddledome Arena Retrofit</x:t>
        </x:is>
      </x:c>
      <x:c r="E121" s="6" t="inlineStr">
        <x:is>
          <x:t xml:space="preserve">Calgary SE</x:t>
        </x:is>
      </x:c>
      <x:c r="F121" s="6" t="inlineStr">
        <x:is>
          <x:t xml:space="preserve">Aisha Nkosi</x:t>
        </x:is>
      </x:c>
      <x:c r="G121" s="6" t="inlineStr">
        <x:is>
          <x:t xml:space="preserve">MEP - Electrical</x:t>
        </x:is>
      </x:c>
      <x:c r="H121" s="6" t="inlineStr">
        <x:is>
          <x:t xml:space="preserve">Grounding System</x:t>
        </x:is>
      </x:c>
      <x:c r="I121" s="6" t="inlineStr">
        <x:is>
          <x:t xml:space="preserve">Stuart Olson Electrical</x:t>
        </x:is>
      </x:c>
      <x:c r="J121" s="6" t="inlineStr">
        <x:is>
          <x:t xml:space="preserve">LPO – Direct Award</x:t>
        </x:is>
      </x:c>
      <x:c r="K121" s="7" t="n">
        <x:v>25</x:v>
      </x:c>
      <x:c r="L121" s="6" t="inlineStr">
        <x:is>
          <x:t xml:space="preserve">lot</x:t>
        </x:is>
      </x:c>
      <x:c r="M121" s="8" t="n">
        <x:v>15867.47</x:v>
      </x:c>
      <x:c r="N121" s="8" t="n">
        <x:v>15272.75</x:v>
      </x:c>
      <x:c r="O121" s="8" t="n">
        <x:v>396686.75</x:v>
      </x:c>
      <x:c r="P121" s="8" t="n">
        <x:v>381818.75</x:v>
      </x:c>
      <x:c r="Q121" s="8" t="n">
        <x:v>14868</x:v>
      </x:c>
      <x:c r="R121" s="9" t="n">
        <x:v>3.9</x:v>
      </x:c>
      <x:c r="S121" s="7" t="n">
        <x:v>37</x:v>
      </x:c>
      <x:c r="T121" s="6" t="inlineStr">
        <x:is>
          <x:t xml:space="preserve">Yes</x:t>
        </x:is>
      </x:c>
      <x:c r="U121" s="6" t="inlineStr">
        <x:is>
          <x:t xml:space="preserve">Delivered</x:t>
        </x:is>
      </x:c>
    </x:row>
    <x:row r="122">
      <x:c r="A122" s="2" t="inlineStr">
        <x:is>
          <x:t xml:space="preserve">PO-2025-0121</x:t>
        </x:is>
      </x:c>
      <x:c r="B122" s="2" t="inlineStr">
        <x:is>
          <x:t xml:space="preserve">24/09/2025</x:t>
        </x:is>
      </x:c>
      <x:c r="C122" s="2" t="inlineStr">
        <x:is>
          <x:t xml:space="preserve">September</x:t>
        </x:is>
      </x:c>
      <x:c r="D122" s="2" t="inlineStr">
        <x:is>
          <x:t xml:space="preserve">Bow River Crossing Overpass</x:t>
        </x:is>
      </x:c>
      <x:c r="E122" s="2" t="inlineStr">
        <x:is>
          <x:t xml:space="preserve">Rocky View County</x:t>
        </x:is>
      </x:c>
      <x:c r="F122" s="2" t="inlineStr">
        <x:is>
          <x:t xml:space="preserve">Priya Sharma</x:t>
        </x:is>
      </x:c>
      <x:c r="G122" s="2" t="inlineStr">
        <x:is>
          <x:t xml:space="preserve">Concrete &amp; Structural</x:t>
        </x:is>
      </x:c>
      <x:c r="H122" s="2" t="inlineStr">
        <x:is>
          <x:t xml:space="preserve">Precast Deck Panels</x:t>
        </x:is>
      </x:c>
      <x:c r="I122" s="2" t="inlineStr">
        <x:is>
          <x:t xml:space="preserve">Evraz Steel Calgary</x:t>
        </x:is>
      </x:c>
      <x:c r="J122" s="2" t="inlineStr">
        <x:is>
          <x:t xml:space="preserve">Emergency Procurement</x:t>
        </x:is>
      </x:c>
      <x:c r="K122" s="3" t="n">
        <x:v>114</x:v>
      </x:c>
      <x:c r="L122" s="2" t="inlineStr">
        <x:is>
          <x:t xml:space="preserve">m³</x:t>
        </x:is>
      </x:c>
      <x:c r="M122" s="4" t="n">
        <x:v>597.03</x:v>
      </x:c>
      <x:c r="N122" s="4" t="n">
        <x:v>702</x:v>
      </x:c>
      <x:c r="O122" s="4" t="n">
        <x:v>68061.42</x:v>
      </x:c>
      <x:c r="P122" s="4" t="n">
        <x:v>80028</x:v>
      </x:c>
      <x:c r="Q122" s="4" t="n">
        <x:v>-11966.58</x:v>
      </x:c>
      <x:c r="R122" s="5" t="n">
        <x:v>-15</x:v>
      </x:c>
      <x:c r="S122" s="3" t="n">
        <x:v>46</x:v>
      </x:c>
      <x:c r="T122" s="2" t="inlineStr">
        <x:is>
          <x:t xml:space="preserve">No</x:t>
        </x:is>
      </x:c>
      <x:c r="U122" s="2" t="inlineStr">
        <x:is>
          <x:t xml:space="preserve">Delivered</x:t>
        </x:is>
      </x:c>
    </x:row>
    <x:row r="123">
      <x:c r="A123" s="6" t="inlineStr">
        <x:is>
          <x:t xml:space="preserve">PO-2025-0122</x:t>
        </x:is>
      </x:c>
      <x:c r="B123" s="6" t="inlineStr">
        <x:is>
          <x:t xml:space="preserve">10/01/2025</x:t>
        </x:is>
      </x:c>
      <x:c r="C123" s="6" t="inlineStr">
        <x:is>
          <x:t xml:space="preserve">January</x:t>
        </x:is>
      </x:c>
      <x:c r="D123" s="6" t="inlineStr">
        <x:is>
          <x:t xml:space="preserve">Rocky View Industrial Logistics Hub</x:t>
        </x:is>
      </x:c>
      <x:c r="E123" s="6" t="inlineStr">
        <x:is>
          <x:t xml:space="preserve">Calgary SW</x:t>
        </x:is>
      </x:c>
      <x:c r="F123" s="6" t="inlineStr">
        <x:is>
          <x:t xml:space="preserve">Sarah Bouchard</x:t>
        </x:is>
      </x:c>
      <x:c r="G123" s="6" t="inlineStr">
        <x:is>
          <x:t xml:space="preserve">Safety &amp; Temp Works</x:t>
        </x:is>
      </x:c>
      <x:c r="H123" s="6" t="inlineStr">
        <x:is>
          <x:t xml:space="preserve">PPE Bulk Supply</x:t>
        </x:is>
      </x:c>
      <x:c r="I123" s="6" t="inlineStr">
        <x:is>
          <x:t xml:space="preserve">Safway Alberta</x:t>
        </x:is>
      </x:c>
      <x:c r="J123" s="6" t="inlineStr">
        <x:is>
          <x:t xml:space="preserve">3-Quote Comparison</x:t>
        </x:is>
      </x:c>
      <x:c r="K123" s="7" t="n">
        <x:v>80</x:v>
      </x:c>
      <x:c r="L123" s="6" t="inlineStr">
        <x:is>
          <x:t xml:space="preserve">lot</x:t>
        </x:is>
      </x:c>
      <x:c r="M123" s="8" t="n">
        <x:v>3945.87</x:v>
      </x:c>
      <x:c r="N123" s="8" t="n">
        <x:v>4426.95</x:v>
      </x:c>
      <x:c r="O123" s="8" t="n">
        <x:v>315669.6</x:v>
      </x:c>
      <x:c r="P123" s="8" t="n">
        <x:v>354156</x:v>
      </x:c>
      <x:c r="Q123" s="8" t="n">
        <x:v>-38486.4</x:v>
      </x:c>
      <x:c r="R123" s="9" t="n">
        <x:v>-10.9</x:v>
      </x:c>
      <x:c r="S123" s="7" t="n">
        <x:v>76</x:v>
      </x:c>
      <x:c r="T123" s="6" t="inlineStr">
        <x:is>
          <x:t xml:space="preserve">Yes</x:t>
        </x:is>
      </x:c>
      <x:c r="U123" s="6" t="inlineStr">
        <x:is>
          <x:t xml:space="preserve">Partially Delivered</x:t>
        </x:is>
      </x:c>
    </x:row>
    <x:row r="124">
      <x:c r="A124" s="2" t="inlineStr">
        <x:is>
          <x:t xml:space="preserve">PO-2025-0123</x:t>
        </x:is>
      </x:c>
      <x:c r="B124" s="2" t="inlineStr">
        <x:is>
          <x:t xml:space="preserve">27/05/2025</x:t>
        </x:is>
      </x:c>
      <x:c r="C124" s="2" t="inlineStr">
        <x:is>
          <x:t xml:space="preserve">May</x:t>
        </x:is>
      </x:c>
      <x:c r="D124" s="2" t="inlineStr">
        <x:is>
          <x:t xml:space="preserve">Rocky View Industrial Logistics Hub</x:t>
        </x:is>
      </x:c>
      <x:c r="E124" s="2" t="inlineStr">
        <x:is>
          <x:t xml:space="preserve">Rocky View County</x:t>
        </x:is>
      </x:c>
      <x:c r="F124" s="2" t="inlineStr">
        <x:is>
          <x:t xml:space="preserve">Linda Tran</x:t>
        </x:is>
      </x:c>
      <x:c r="G124" s="2" t="inlineStr">
        <x:is>
          <x:t xml:space="preserve">MEP - Mechanical</x:t>
        </x:is>
      </x:c>
      <x:c r="H124" s="2" t="inlineStr">
        <x:is>
          <x:t xml:space="preserve">Boiler System</x:t>
        </x:is>
      </x:c>
      <x:c r="I124" s="2" t="inlineStr">
        <x:is>
          <x:t xml:space="preserve">PCL Mechanical</x:t>
        </x:is>
      </x:c>
      <x:c r="J124" s="2" t="inlineStr">
        <x:is>
          <x:t xml:space="preserve">3-Quote Comparison</x:t>
        </x:is>
      </x:c>
      <x:c r="K124" s="3" t="n">
        <x:v>95</x:v>
      </x:c>
      <x:c r="L124" s="2" t="inlineStr">
        <x:is>
          <x:t xml:space="preserve">lot</x:t>
        </x:is>
      </x:c>
      <x:c r="M124" s="4" t="n">
        <x:v>90362.78</x:v>
      </x:c>
      <x:c r="N124" s="4" t="n">
        <x:v>82038.55</x:v>
      </x:c>
      <x:c r="O124" s="4" t="n">
        <x:v>8584464.1</x:v>
      </x:c>
      <x:c r="P124" s="4" t="n">
        <x:v>7793662.25</x:v>
      </x:c>
      <x:c r="Q124" s="4" t="n">
        <x:v>790801.85</x:v>
      </x:c>
      <x:c r="R124" s="5" t="n">
        <x:v>10.1</x:v>
      </x:c>
      <x:c r="S124" s="3" t="n">
        <x:v>12</x:v>
      </x:c>
      <x:c r="T124" s="2" t="inlineStr">
        <x:is>
          <x:t xml:space="preserve">Yes</x:t>
        </x:is>
      </x:c>
      <x:c r="U124" s="2" t="inlineStr">
        <x:is>
          <x:t xml:space="preserve">Delivered</x:t>
        </x:is>
      </x:c>
    </x:row>
    <x:row r="125">
      <x:c r="A125" s="6" t="inlineStr">
        <x:is>
          <x:t xml:space="preserve">PO-2025-0124</x:t>
        </x:is>
      </x:c>
      <x:c r="B125" s="6" t="inlineStr">
        <x:is>
          <x:t xml:space="preserve">08/06/2025</x:t>
        </x:is>
      </x:c>
      <x:c r="C125" s="6" t="inlineStr">
        <x:is>
          <x:t xml:space="preserve">June</x:t>
        </x:is>
      </x:c>
      <x:c r="D125" s="6" t="inlineStr">
        <x:is>
          <x:t xml:space="preserve">Calgary SE Ring Road Extension</x:t>
        </x:is>
      </x:c>
      <x:c r="E125" s="6" t="inlineStr">
        <x:is>
          <x:t xml:space="preserve">Rocky View County</x:t>
        </x:is>
      </x:c>
      <x:c r="F125" s="6" t="inlineStr">
        <x:is>
          <x:t xml:space="preserve">James Okafor</x:t>
        </x:is>
      </x:c>
      <x:c r="G125" s="6" t="inlineStr">
        <x:is>
          <x:t xml:space="preserve">Finishing</x:t>
        </x:is>
      </x:c>
      <x:c r="H125" s="6" t="inlineStr">
        <x:is>
          <x:t xml:space="preserve">Exterior Cladding Panel</x:t>
        </x:is>
      </x:c>
      <x:c r="I125" s="6" t="inlineStr">
        <x:is>
          <x:t xml:space="preserve">Centura Tile Calgary</x:t>
        </x:is>
      </x:c>
      <x:c r="J125" s="6" t="inlineStr">
        <x:is>
          <x:t xml:space="preserve">Emergency Procurement</x:t>
        </x:is>
      </x:c>
      <x:c r="K125" s="7" t="n">
        <x:v>112</x:v>
      </x:c>
      <x:c r="L125" s="6" t="inlineStr">
        <x:is>
          <x:t xml:space="preserve">m²</x:t>
        </x:is>
      </x:c>
      <x:c r="M125" s="8" t="n">
        <x:v>406.52</x:v>
      </x:c>
      <x:c r="N125" s="8" t="n">
        <x:v>424.06</x:v>
      </x:c>
      <x:c r="O125" s="8" t="n">
        <x:v>45530.24</x:v>
      </x:c>
      <x:c r="P125" s="8" t="n">
        <x:v>47494.72</x:v>
      </x:c>
      <x:c r="Q125" s="8" t="n">
        <x:v>-1964.48</x:v>
      </x:c>
      <x:c r="R125" s="9" t="n">
        <x:v>-4.1</x:v>
      </x:c>
      <x:c r="S125" s="7" t="n">
        <x:v>48</x:v>
      </x:c>
      <x:c r="T125" s="6" t="inlineStr">
        <x:is>
          <x:t xml:space="preserve">No</x:t>
        </x:is>
      </x:c>
      <x:c r="U125" s="6" t="inlineStr">
        <x:is>
          <x:t xml:space="preserve">Pending</x:t>
        </x:is>
      </x:c>
    </x:row>
    <x:row r="126">
      <x:c r="A126" s="2" t="inlineStr">
        <x:is>
          <x:t xml:space="preserve">PO-2025-0125</x:t>
        </x:is>
      </x:c>
      <x:c r="B126" s="2" t="inlineStr">
        <x:is>
          <x:t xml:space="preserve">20/07/2025</x:t>
        </x:is>
      </x:c>
      <x:c r="C126" s="2" t="inlineStr">
        <x:is>
          <x:t xml:space="preserve">July</x:t>
        </x:is>
      </x:c>
      <x:c r="D126" s="2" t="inlineStr">
        <x:is>
          <x:t xml:space="preserve">Quarry Park Mixed-Use Development</x:t>
        </x:is>
      </x:c>
      <x:c r="E126" s="2" t="inlineStr">
        <x:is>
          <x:t xml:space="preserve">Calgary SE</x:t>
        </x:is>
      </x:c>
      <x:c r="F126" s="2" t="inlineStr">
        <x:is>
          <x:t xml:space="preserve">Linda Tran</x:t>
        </x:is>
      </x:c>
      <x:c r="G126" s="2" t="inlineStr">
        <x:is>
          <x:t xml:space="preserve">MEP - Electrical</x:t>
        </x:is>
      </x:c>
      <x:c r="H126" s="2" t="inlineStr">
        <x:is>
          <x:t xml:space="preserve">LED Site Lighting</x:t>
        </x:is>
      </x:c>
      <x:c r="I126" s="2" t="inlineStr">
        <x:is>
          <x:t xml:space="preserve">Houle Electric</x:t>
        </x:is>
      </x:c>
      <x:c r="J126" s="2" t="inlineStr">
        <x:is>
          <x:t xml:space="preserve">3-Quote Comparison</x:t>
        </x:is>
      </x:c>
      <x:c r="K126" s="3" t="n">
        <x:v>107</x:v>
      </x:c>
      <x:c r="L126" s="2" t="inlineStr">
        <x:is>
          <x:t xml:space="preserve">lot</x:t>
        </x:is>
      </x:c>
      <x:c r="M126" s="4" t="n">
        <x:v>76284.44</x:v>
      </x:c>
      <x:c r="N126" s="4" t="n">
        <x:v>69354.78</x:v>
      </x:c>
      <x:c r="O126" s="4" t="n">
        <x:v>8162435.08</x:v>
      </x:c>
      <x:c r="P126" s="4" t="n">
        <x:v>7420961.46</x:v>
      </x:c>
      <x:c r="Q126" s="4" t="n">
        <x:v>741473.62</x:v>
      </x:c>
      <x:c r="R126" s="5" t="n">
        <x:v>10</x:v>
      </x:c>
      <x:c r="S126" s="3" t="n">
        <x:v>57</x:v>
      </x:c>
      <x:c r="T126" s="2" t="inlineStr">
        <x:is>
          <x:t xml:space="preserve">Yes</x:t>
        </x:is>
      </x:c>
      <x:c r="U126" s="2" t="inlineStr">
        <x:is>
          <x:t xml:space="preserve">Delivered</x:t>
        </x:is>
      </x:c>
    </x:row>
    <x:row r="127">
      <x:c r="A127" s="6" t="inlineStr">
        <x:is>
          <x:t xml:space="preserve">PO-2025-0126</x:t>
        </x:is>
      </x:c>
      <x:c r="B127" s="6" t="inlineStr">
        <x:is>
          <x:t xml:space="preserve">15/11/2025</x:t>
        </x:is>
      </x:c>
      <x:c r="C127" s="6" t="inlineStr">
        <x:is>
          <x:t xml:space="preserve">November</x:t>
        </x:is>
      </x:c>
      <x:c r="D127" s="6" t="inlineStr">
        <x:is>
          <x:t xml:space="preserve">Quarry Park Mixed-Use Development</x:t>
        </x:is>
      </x:c>
      <x:c r="E127" s="6" t="inlineStr">
        <x:is>
          <x:t xml:space="preserve">Calgary SW</x:t>
        </x:is>
      </x:c>
      <x:c r="F127" s="6" t="inlineStr">
        <x:is>
          <x:t xml:space="preserve">Mohammed Siddiqui</x:t>
        </x:is>
      </x:c>
      <x:c r="G127" s="6" t="inlineStr">
        <x:is>
          <x:t xml:space="preserve">MEP - Mechanical</x:t>
        </x:is>
      </x:c>
      <x:c r="H127" s="6" t="inlineStr">
        <x:is>
          <x:t xml:space="preserve">Boiler System</x:t>
        </x:is>
      </x:c>
      <x:c r="I127" s="6" t="inlineStr">
        <x:is>
          <x:t xml:space="preserve">Stantec MEP</x:t>
        </x:is>
      </x:c>
      <x:c r="J127" s="6" t="inlineStr">
        <x:is>
          <x:t xml:space="preserve">3-Quote Comparison</x:t>
        </x:is>
      </x:c>
      <x:c r="K127" s="7" t="n">
        <x:v>2</x:v>
      </x:c>
      <x:c r="L127" s="6" t="inlineStr">
        <x:is>
          <x:t xml:space="preserve">lot</x:t>
        </x:is>
      </x:c>
      <x:c r="M127" s="8" t="n">
        <x:v>65810.03</x:v>
      </x:c>
      <x:c r="N127" s="8" t="n">
        <x:v>68396.17999999999</x:v>
      </x:c>
      <x:c r="O127" s="8" t="n">
        <x:v>131620.06</x:v>
      </x:c>
      <x:c r="P127" s="8" t="n">
        <x:v>136792.36</x:v>
      </x:c>
      <x:c r="Q127" s="8" t="n">
        <x:v>-5172.3</x:v>
      </x:c>
      <x:c r="R127" s="9" t="n">
        <x:v>-3.8</x:v>
      </x:c>
      <x:c r="S127" s="7" t="n">
        <x:v>21</x:v>
      </x:c>
      <x:c r="T127" s="6" t="inlineStr">
        <x:is>
          <x:t xml:space="preserve">No</x:t>
        </x:is>
      </x:c>
      <x:c r="U127" s="6" t="inlineStr">
        <x:is>
          <x:t xml:space="preserve">Delivered</x:t>
        </x:is>
      </x:c>
    </x:row>
    <x:row r="128">
      <x:c r="A128" s="2" t="inlineStr">
        <x:is>
          <x:t xml:space="preserve">PO-2025-0127</x:t>
        </x:is>
      </x:c>
      <x:c r="B128" s="2" t="inlineStr">
        <x:is>
          <x:t xml:space="preserve">03/08/2025</x:t>
        </x:is>
      </x:c>
      <x:c r="C128" s="2" t="inlineStr">
        <x:is>
          <x:t xml:space="preserve">August</x:t>
        </x:is>
      </x:c>
      <x:c r="D128" s="2" t="inlineStr">
        <x:is>
          <x:t xml:space="preserve">Quarry Park Mixed-Use Development</x:t>
        </x:is>
      </x:c>
      <x:c r="E128" s="2" t="inlineStr">
        <x:is>
          <x:t xml:space="preserve">Rocky View County</x:t>
        </x:is>
      </x:c>
      <x:c r="F128" s="2" t="inlineStr">
        <x:is>
          <x:t xml:space="preserve">James Okafor</x:t>
        </x:is>
      </x:c>
      <x:c r="G128" s="2" t="inlineStr">
        <x:is>
          <x:t xml:space="preserve">Civil Works</x:t>
        </x:is>
      </x:c>
      <x:c r="H128" s="2" t="inlineStr">
        <x:is>
          <x:t xml:space="preserve">Granular Backfill</x:t>
        </x:is>
      </x:c>
      <x:c r="I128" s="2" t="inlineStr">
        <x:is>
          <x:t xml:space="preserve">Ledcor Civil Alberta</x:t>
        </x:is>
      </x:c>
      <x:c r="J128" s="2" t="inlineStr">
        <x:is>
          <x:t xml:space="preserve">LPO – Direct Award</x:t>
        </x:is>
      </x:c>
      <x:c r="K128" s="3" t="n">
        <x:v>25</x:v>
      </x:c>
      <x:c r="L128" s="2" t="inlineStr">
        <x:is>
          <x:t xml:space="preserve">m³</x:t>
        </x:is>
      </x:c>
      <x:c r="M128" s="4" t="n">
        <x:v>277.06</x:v>
      </x:c>
      <x:c r="N128" s="4" t="n">
        <x:v>268.39</x:v>
      </x:c>
      <x:c r="O128" s="4" t="n">
        <x:v>6926.5</x:v>
      </x:c>
      <x:c r="P128" s="4" t="n">
        <x:v>6709.75</x:v>
      </x:c>
      <x:c r="Q128" s="4" t="n">
        <x:v>216.75</x:v>
      </x:c>
      <x:c r="R128" s="5" t="n">
        <x:v>3.2</x:v>
      </x:c>
      <x:c r="S128" s="3" t="n">
        <x:v>72</x:v>
      </x:c>
      <x:c r="T128" s="2" t="inlineStr">
        <x:is>
          <x:t xml:space="preserve">Yes</x:t>
        </x:is>
      </x:c>
      <x:c r="U128" s="2" t="inlineStr">
        <x:is>
          <x:t xml:space="preserve">Delivered</x:t>
        </x:is>
      </x:c>
    </x:row>
    <x:row r="129">
      <x:c r="A129" s="6" t="inlineStr">
        <x:is>
          <x:t xml:space="preserve">PO-2025-0128</x:t>
        </x:is>
      </x:c>
      <x:c r="B129" s="6" t="inlineStr">
        <x:is>
          <x:t xml:space="preserve">27/07/2025</x:t>
        </x:is>
      </x:c>
      <x:c r="C129" s="6" t="inlineStr">
        <x:is>
          <x:t xml:space="preserve">July</x:t>
        </x:is>
      </x:c>
      <x:c r="D129" s="6" t="inlineStr">
        <x:is>
          <x:t xml:space="preserve">Rocky View Industrial Logistics Hub</x:t>
        </x:is>
      </x:c>
      <x:c r="E129" s="6" t="inlineStr">
        <x:is>
          <x:t xml:space="preserve">Calgary NE</x:t>
        </x:is>
      </x:c>
      <x:c r="F129" s="6" t="inlineStr">
        <x:is>
          <x:t xml:space="preserve">Linda Tran</x:t>
        </x:is>
      </x:c>
      <x:c r="G129" s="6" t="inlineStr">
        <x:is>
          <x:t xml:space="preserve">Finishing</x:t>
        </x:is>
      </x:c>
      <x:c r="H129" s="6" t="inlineStr">
        <x:is>
          <x:t xml:space="preserve">Exterior Cladding Panel</x:t>
        </x:is>
      </x:c>
      <x:c r="I129" s="6" t="inlineStr">
        <x:is>
          <x:t xml:space="preserve">Armstrong World Industries</x:t>
        </x:is>
      </x:c>
      <x:c r="J129" s="6" t="inlineStr">
        <x:is>
          <x:t xml:space="preserve">LPO – Direct Award</x:t>
        </x:is>
      </x:c>
      <x:c r="K129" s="7" t="n">
        <x:v>103</x:v>
      </x:c>
      <x:c r="L129" s="6" t="inlineStr">
        <x:is>
          <x:t xml:space="preserve">m²</x:t>
        </x:is>
      </x:c>
      <x:c r="M129" s="8" t="n">
        <x:v>183.68</x:v>
      </x:c>
      <x:c r="N129" s="8" t="n">
        <x:v>218.68</x:v>
      </x:c>
      <x:c r="O129" s="8" t="n">
        <x:v>18919.04</x:v>
      </x:c>
      <x:c r="P129" s="8" t="n">
        <x:v>22524.04</x:v>
      </x:c>
      <x:c r="Q129" s="8" t="n">
        <x:v>-3605</x:v>
      </x:c>
      <x:c r="R129" s="9" t="n">
        <x:v>-16</x:v>
      </x:c>
      <x:c r="S129" s="7" t="n">
        <x:v>40</x:v>
      </x:c>
      <x:c r="T129" s="6" t="inlineStr">
        <x:is>
          <x:t xml:space="preserve">No</x:t>
        </x:is>
      </x:c>
      <x:c r="U129" s="6" t="inlineStr">
        <x:is>
          <x:t xml:space="preserve">Cancelled</x:t>
        </x:is>
      </x:c>
    </x:row>
    <x:row r="130">
      <x:c r="A130" s="2" t="inlineStr">
        <x:is>
          <x:t xml:space="preserve">PO-2025-0129</x:t>
        </x:is>
      </x:c>
      <x:c r="B130" s="2" t="inlineStr">
        <x:is>
          <x:t xml:space="preserve">13/11/2025</x:t>
        </x:is>
      </x:c>
      <x:c r="C130" s="2" t="inlineStr">
        <x:is>
          <x:t xml:space="preserve">November</x:t>
        </x:is>
      </x:c>
      <x:c r="D130" s="2" t="inlineStr">
        <x:is>
          <x:t xml:space="preserve">University District Residential Phase 3</x:t>
        </x:is>
      </x:c>
      <x:c r="E130" s="2" t="inlineStr">
        <x:is>
          <x:t xml:space="preserve">Calgary SW</x:t>
        </x:is>
      </x:c>
      <x:c r="F130" s="2" t="inlineStr">
        <x:is>
          <x:t xml:space="preserve">Mohammed Siddiqui</x:t>
        </x:is>
      </x:c>
      <x:c r="G130" s="2" t="inlineStr">
        <x:is>
          <x:t xml:space="preserve">Finishing</x:t>
        </x:is>
      </x:c>
      <x:c r="H130" s="2" t="inlineStr">
        <x:is>
          <x:t xml:space="preserve">Exterior Cladding Panel</x:t>
        </x:is>
      </x:c>
      <x:c r="I130" s="2" t="inlineStr">
        <x:is>
          <x:t xml:space="preserve">Armstrong World Industries</x:t>
        </x:is>
      </x:c>
      <x:c r="J130" s="2" t="inlineStr">
        <x:is>
          <x:t xml:space="preserve">3-Quote Comparison</x:t>
        </x:is>
      </x:c>
      <x:c r="K130" s="3" t="n">
        <x:v>107</x:v>
      </x:c>
      <x:c r="L130" s="2" t="inlineStr">
        <x:is>
          <x:t xml:space="preserve">m²</x:t>
        </x:is>
      </x:c>
      <x:c r="M130" s="4" t="n">
        <x:v>236.9</x:v>
      </x:c>
      <x:c r="N130" s="4" t="n">
        <x:v>213.38</x:v>
      </x:c>
      <x:c r="O130" s="4" t="n">
        <x:v>25348.3</x:v>
      </x:c>
      <x:c r="P130" s="4" t="n">
        <x:v>22831.66</x:v>
      </x:c>
      <x:c r="Q130" s="4" t="n">
        <x:v>2516.64</x:v>
      </x:c>
      <x:c r="R130" s="5" t="n">
        <x:v>11</x:v>
      </x:c>
      <x:c r="S130" s="3" t="n">
        <x:v>36</x:v>
      </x:c>
      <x:c r="T130" s="2" t="inlineStr">
        <x:is>
          <x:t xml:space="preserve">Yes</x:t>
        </x:is>
      </x:c>
      <x:c r="U130" s="2" t="inlineStr">
        <x:is>
          <x:t xml:space="preserve">Partially Delivered</x:t>
        </x:is>
      </x:c>
    </x:row>
    <x:row r="131">
      <x:c r="A131" s="6" t="inlineStr">
        <x:is>
          <x:t xml:space="preserve">PO-2025-0130</x:t>
        </x:is>
      </x:c>
      <x:c r="B131" s="6" t="inlineStr">
        <x:is>
          <x:t xml:space="preserve">03/03/2025</x:t>
        </x:is>
      </x:c>
      <x:c r="C131" s="6" t="inlineStr">
        <x:is>
          <x:t xml:space="preserve">March</x:t>
        </x:is>
      </x:c>
      <x:c r="D131" s="6" t="inlineStr">
        <x:is>
          <x:t xml:space="preserve">Saddledome Arena Retrofit</x:t>
        </x:is>
      </x:c>
      <x:c r="E131" s="6" t="inlineStr">
        <x:is>
          <x:t xml:space="preserve">Calgary SE</x:t>
        </x:is>
      </x:c>
      <x:c r="F131" s="6" t="inlineStr">
        <x:is>
          <x:t xml:space="preserve">Mohammed Siddiqui</x:t>
        </x:is>
      </x:c>
      <x:c r="G131" s="6" t="inlineStr">
        <x:is>
          <x:t xml:space="preserve">Concrete &amp; Structural</x:t>
        </x:is>
      </x:c>
      <x:c r="H131" s="6" t="inlineStr">
        <x:is>
          <x:t xml:space="preserve">Rebar Steel</x:t>
        </x:is>
      </x:c>
      <x:c r="I131" s="6" t="inlineStr">
        <x:is>
          <x:t xml:space="preserve">Inland Concrete</x:t>
        </x:is>
      </x:c>
      <x:c r="J131" s="6" t="inlineStr">
        <x:is>
          <x:t xml:space="preserve">Standing Offer Agreement</x:t>
        </x:is>
      </x:c>
      <x:c r="K131" s="7" t="n">
        <x:v>30</x:v>
      </x:c>
      <x:c r="L131" s="6" t="inlineStr">
        <x:is>
          <x:t xml:space="preserve">m³</x:t>
        </x:is>
      </x:c>
      <x:c r="M131" s="8" t="n">
        <x:v>338.79</x:v>
      </x:c>
      <x:c r="N131" s="8" t="n">
        <x:v>301.79</x:v>
      </x:c>
      <x:c r="O131" s="8" t="n">
        <x:v>10163.7</x:v>
      </x:c>
      <x:c r="P131" s="8" t="n">
        <x:v>9053.700000000001</x:v>
      </x:c>
      <x:c r="Q131" s="8" t="n">
        <x:v>1110</x:v>
      </x:c>
      <x:c r="R131" s="9" t="n">
        <x:v>12.3</x:v>
      </x:c>
      <x:c r="S131" s="7" t="n">
        <x:v>29</x:v>
      </x:c>
      <x:c r="T131" s="6" t="inlineStr">
        <x:is>
          <x:t xml:space="preserve">Yes</x:t>
        </x:is>
      </x:c>
      <x:c r="U131" s="6" t="inlineStr">
        <x:is>
          <x:t xml:space="preserve">Delivered</x:t>
        </x:is>
      </x:c>
    </x:row>
    <x:row r="132">
      <x:c r="A132" s="2" t="inlineStr">
        <x:is>
          <x:t xml:space="preserve">PO-2025-0131</x:t>
        </x:is>
      </x:c>
      <x:c r="B132" s="2" t="inlineStr">
        <x:is>
          <x:t xml:space="preserve">14/10/2025</x:t>
        </x:is>
      </x:c>
      <x:c r="C132" s="2" t="inlineStr">
        <x:is>
          <x:t xml:space="preserve">October</x:t>
        </x:is>
      </x:c>
      <x:c r="D132" s="2" t="inlineStr">
        <x:is>
          <x:t xml:space="preserve">Bow River Crossing Overpass</x:t>
        </x:is>
      </x:c>
      <x:c r="E132" s="2" t="inlineStr">
        <x:is>
          <x:t xml:space="preserve">Calgary SW</x:t>
        </x:is>
      </x:c>
      <x:c r="F132" s="2" t="inlineStr">
        <x:is>
          <x:t xml:space="preserve">Priya Sharma</x:t>
        </x:is>
      </x:c>
      <x:c r="G132" s="2" t="inlineStr">
        <x:is>
          <x:t xml:space="preserve">Concrete &amp; Structural</x:t>
        </x:is>
      </x:c>
      <x:c r="H132" s="2" t="inlineStr">
        <x:is>
          <x:t xml:space="preserve">Ready-Mix Concrete</x:t>
        </x:is>
      </x:c>
      <x:c r="I132" s="2" t="inlineStr">
        <x:is>
          <x:t xml:space="preserve">Alberta Precast</x:t>
        </x:is>
      </x:c>
      <x:c r="J132" s="2" t="inlineStr">
        <x:is>
          <x:t xml:space="preserve">LPO – Direct Award</x:t>
        </x:is>
      </x:c>
      <x:c r="K132" s="3" t="n">
        <x:v>62</x:v>
      </x:c>
      <x:c r="L132" s="2" t="inlineStr">
        <x:is>
          <x:t xml:space="preserve">m³</x:t>
        </x:is>
      </x:c>
      <x:c r="M132" s="4" t="n">
        <x:v>295.77</x:v>
      </x:c>
      <x:c r="N132" s="4" t="n">
        <x:v>270.07</x:v>
      </x:c>
      <x:c r="O132" s="4" t="n">
        <x:v>18337.74</x:v>
      </x:c>
      <x:c r="P132" s="4" t="n">
        <x:v>16744.34</x:v>
      </x:c>
      <x:c r="Q132" s="4" t="n">
        <x:v>1593.4</x:v>
      </x:c>
      <x:c r="R132" s="5" t="n">
        <x:v>9.5</x:v>
      </x:c>
      <x:c r="S132" s="3" t="n">
        <x:v>29</x:v>
      </x:c>
      <x:c r="T132" s="2" t="inlineStr">
        <x:is>
          <x:t xml:space="preserve">Yes</x:t>
        </x:is>
      </x:c>
      <x:c r="U132" s="2" t="inlineStr">
        <x:is>
          <x:t xml:space="preserve">Partially Delivered</x:t>
        </x:is>
      </x:c>
    </x:row>
    <x:row r="133">
      <x:c r="A133" s="6" t="inlineStr">
        <x:is>
          <x:t xml:space="preserve">PO-2025-0132</x:t>
        </x:is>
      </x:c>
      <x:c r="B133" s="6" t="inlineStr">
        <x:is>
          <x:t xml:space="preserve">05/09/2025</x:t>
        </x:is>
      </x:c>
      <x:c r="C133" s="6" t="inlineStr">
        <x:is>
          <x:t xml:space="preserve">September</x:t>
        </x:is>
      </x:c>
      <x:c r="D133" s="6" t="inlineStr">
        <x:is>
          <x:t xml:space="preserve">Bow River Crossing Overpass</x:t>
        </x:is>
      </x:c>
      <x:c r="E133" s="6" t="inlineStr">
        <x:is>
          <x:t xml:space="preserve">Rocky View County</x:t>
        </x:is>
      </x:c>
      <x:c r="F133" s="6" t="inlineStr">
        <x:is>
          <x:t xml:space="preserve">Liam Kowalski</x:t>
        </x:is>
      </x:c>
      <x:c r="G133" s="6" t="inlineStr">
        <x:is>
          <x:t xml:space="preserve">MEP - Electrical</x:t>
        </x:is>
      </x:c>
      <x:c r="H133" s="6" t="inlineStr">
        <x:is>
          <x:t xml:space="preserve">Standby Generator</x:t>
        </x:is>
      </x:c>
      <x:c r="I133" s="6" t="inlineStr">
        <x:is>
          <x:t xml:space="preserve">Flint Energy Services</x:t>
        </x:is>
      </x:c>
      <x:c r="J133" s="6" t="inlineStr">
        <x:is>
          <x:t xml:space="preserve">3-Quote Comparison</x:t>
        </x:is>
      </x:c>
      <x:c r="K133" s="7" t="n">
        <x:v>85</x:v>
      </x:c>
      <x:c r="L133" s="6" t="inlineStr">
        <x:is>
          <x:t xml:space="preserve">lot</x:t>
        </x:is>
      </x:c>
      <x:c r="M133" s="8" t="n">
        <x:v>50808.26</x:v>
      </x:c>
      <x:c r="N133" s="8" t="n">
        <x:v>59664.52</x:v>
      </x:c>
      <x:c r="O133" s="8" t="n">
        <x:v>4318702.1</x:v>
      </x:c>
      <x:c r="P133" s="8" t="n">
        <x:v>5071484.2</x:v>
      </x:c>
      <x:c r="Q133" s="8" t="n">
        <x:v>-752782.1</x:v>
      </x:c>
      <x:c r="R133" s="9" t="n">
        <x:v>-14.8</x:v>
      </x:c>
      <x:c r="S133" s="7" t="n">
        <x:v>36</x:v>
      </x:c>
      <x:c r="T133" s="6" t="inlineStr">
        <x:is>
          <x:t xml:space="preserve">No</x:t>
        </x:is>
      </x:c>
      <x:c r="U133" s="6" t="inlineStr">
        <x:is>
          <x:t xml:space="preserve">Delivered</x:t>
        </x:is>
      </x:c>
    </x:row>
    <x:row r="134">
      <x:c r="A134" s="2" t="inlineStr">
        <x:is>
          <x:t xml:space="preserve">PO-2025-0133</x:t>
        </x:is>
      </x:c>
      <x:c r="B134" s="2" t="inlineStr">
        <x:is>
          <x:t xml:space="preserve">08/05/2025</x:t>
        </x:is>
      </x:c>
      <x:c r="C134" s="2" t="inlineStr">
        <x:is>
          <x:t xml:space="preserve">May</x:t>
        </x:is>
      </x:c>
      <x:c r="D134" s="2" t="inlineStr">
        <x:is>
          <x:t xml:space="preserve">Stampede Park Infrastructure Upgrade</x:t>
        </x:is>
      </x:c>
      <x:c r="E134" s="2" t="inlineStr">
        <x:is>
          <x:t xml:space="preserve">Calgary NE</x:t>
        </x:is>
      </x:c>
      <x:c r="F134" s="2" t="inlineStr">
        <x:is>
          <x:t xml:space="preserve">Priya Sharma</x:t>
        </x:is>
      </x:c>
      <x:c r="G134" s="2" t="inlineStr">
        <x:is>
          <x:t xml:space="preserve">MEP - Mechanical</x:t>
        </x:is>
      </x:c>
      <x:c r="H134" s="2" t="inlineStr">
        <x:is>
          <x:t xml:space="preserve">HVAC Rooftop Unit</x:t>
        </x:is>
      </x:c>
      <x:c r="I134" s="2" t="inlineStr">
        <x:is>
          <x:t xml:space="preserve">Ainsworth Inc.</x:t>
        </x:is>
      </x:c>
      <x:c r="J134" s="2" t="inlineStr">
        <x:is>
          <x:t xml:space="preserve">LPO – Direct Award</x:t>
        </x:is>
      </x:c>
      <x:c r="K134" s="3" t="n">
        <x:v>4</x:v>
      </x:c>
      <x:c r="L134" s="2" t="inlineStr">
        <x:is>
          <x:t xml:space="preserve">lot</x:t>
        </x:is>
      </x:c>
      <x:c r="M134" s="4" t="n">
        <x:v>30569.86</x:v>
      </x:c>
      <x:c r="N134" s="4" t="n">
        <x:v>35043.89</x:v>
      </x:c>
      <x:c r="O134" s="4" t="n">
        <x:v>122279.44</x:v>
      </x:c>
      <x:c r="P134" s="4" t="n">
        <x:v>140175.56</x:v>
      </x:c>
      <x:c r="Q134" s="4" t="n">
        <x:v>-17896.12</x:v>
      </x:c>
      <x:c r="R134" s="5" t="n">
        <x:v>-12.8</x:v>
      </x:c>
      <x:c r="S134" s="3" t="n">
        <x:v>43</x:v>
      </x:c>
      <x:c r="T134" s="2" t="inlineStr">
        <x:is>
          <x:t xml:space="preserve">No</x:t>
        </x:is>
      </x:c>
      <x:c r="U134" s="2" t="inlineStr">
        <x:is>
          <x:t xml:space="preserve">Partially Delivered</x:t>
        </x:is>
      </x:c>
    </x:row>
    <x:row r="135">
      <x:c r="A135" s="6" t="inlineStr">
        <x:is>
          <x:t xml:space="preserve">PO-2025-0134</x:t>
        </x:is>
      </x:c>
      <x:c r="B135" s="6" t="inlineStr">
        <x:is>
          <x:t xml:space="preserve">06/01/2025</x:t>
        </x:is>
      </x:c>
      <x:c r="C135" s="6" t="inlineStr">
        <x:is>
          <x:t xml:space="preserve">January</x:t>
        </x:is>
      </x:c>
      <x:c r="D135" s="6" t="inlineStr">
        <x:is>
          <x:t xml:space="preserve">Foothills Medical Centre Expansion</x:t>
        </x:is>
      </x:c>
      <x:c r="E135" s="6" t="inlineStr">
        <x:is>
          <x:t xml:space="preserve">Calgary NE</x:t>
        </x:is>
      </x:c>
      <x:c r="F135" s="6" t="inlineStr">
        <x:is>
          <x:t xml:space="preserve">Sarah Bouchard</x:t>
        </x:is>
      </x:c>
      <x:c r="G135" s="6" t="inlineStr">
        <x:is>
          <x:t xml:space="preserve">MEP - Electrical</x:t>
        </x:is>
      </x:c>
      <x:c r="H135" s="6" t="inlineStr">
        <x:is>
          <x:t xml:space="preserve">MV Distribution Cable</x:t>
        </x:is>
      </x:c>
      <x:c r="I135" s="6" t="inlineStr">
        <x:is>
          <x:t xml:space="preserve">Stuart Olson Electrical</x:t>
        </x:is>
      </x:c>
      <x:c r="J135" s="6" t="inlineStr">
        <x:is>
          <x:t xml:space="preserve">Standing Offer Agreement</x:t>
        </x:is>
      </x:c>
      <x:c r="K135" s="7" t="n">
        <x:v>103</x:v>
      </x:c>
      <x:c r="L135" s="6" t="inlineStr">
        <x:is>
          <x:t xml:space="preserve">lot</x:t>
        </x:is>
      </x:c>
      <x:c r="M135" s="8" t="n">
        <x:v>37616.4</x:v>
      </x:c>
      <x:c r="N135" s="8" t="n">
        <x:v>39945.66</x:v>
      </x:c>
      <x:c r="O135" s="8" t="n">
        <x:v>3874489.2</x:v>
      </x:c>
      <x:c r="P135" s="8" t="n">
        <x:v>4114402.98</x:v>
      </x:c>
      <x:c r="Q135" s="8" t="n">
        <x:v>-239913.78</x:v>
      </x:c>
      <x:c r="R135" s="9" t="n">
        <x:v>-5.8</x:v>
      </x:c>
      <x:c r="S135" s="7" t="n">
        <x:v>16</x:v>
      </x:c>
      <x:c r="T135" s="6" t="inlineStr">
        <x:is>
          <x:t xml:space="preserve">Yes</x:t>
        </x:is>
      </x:c>
      <x:c r="U135" s="6" t="inlineStr">
        <x:is>
          <x:t xml:space="preserve">Partially Delivered</x:t>
        </x:is>
      </x:c>
    </x:row>
    <x:row r="136">
      <x:c r="A136" s="2" t="inlineStr">
        <x:is>
          <x:t xml:space="preserve">PO-2025-0135</x:t>
        </x:is>
      </x:c>
      <x:c r="B136" s="2" t="inlineStr">
        <x:is>
          <x:t xml:space="preserve">25/07/2025</x:t>
        </x:is>
      </x:c>
      <x:c r="C136" s="2" t="inlineStr">
        <x:is>
          <x:t xml:space="preserve">July</x:t>
        </x:is>
      </x:c>
      <x:c r="D136" s="2" t="inlineStr">
        <x:is>
          <x:t xml:space="preserve">University District Residential Phase 3</x:t>
        </x:is>
      </x:c>
      <x:c r="E136" s="2" t="inlineStr">
        <x:is>
          <x:t xml:space="preserve">Calgary SE</x:t>
        </x:is>
      </x:c>
      <x:c r="F136" s="2" t="inlineStr">
        <x:is>
          <x:t xml:space="preserve">James Okafor</x:t>
        </x:is>
      </x:c>
      <x:c r="G136" s="2" t="inlineStr">
        <x:is>
          <x:t xml:space="preserve">Finishing</x:t>
        </x:is>
      </x:c>
      <x:c r="H136" s="2" t="inlineStr">
        <x:is>
          <x:t xml:space="preserve">Ceramic Floor Tile</x:t>
        </x:is>
      </x:c>
      <x:c r="I136" s="2" t="inlineStr">
        <x:is>
          <x:t xml:space="preserve">Centura Tile Calgary</x:t>
        </x:is>
      </x:c>
      <x:c r="J136" s="2" t="inlineStr">
        <x:is>
          <x:t xml:space="preserve">3-Quote Comparison</x:t>
        </x:is>
      </x:c>
      <x:c r="K136" s="3" t="n">
        <x:v>93</x:v>
      </x:c>
      <x:c r="L136" s="2" t="inlineStr">
        <x:is>
          <x:t xml:space="preserve">m²</x:t>
        </x:is>
      </x:c>
      <x:c r="M136" s="4" t="n">
        <x:v>189.45</x:v>
      </x:c>
      <x:c r="N136" s="4" t="n">
        <x:v>189.51</x:v>
      </x:c>
      <x:c r="O136" s="4" t="n">
        <x:v>17618.85</x:v>
      </x:c>
      <x:c r="P136" s="4" t="n">
        <x:v>17624.43</x:v>
      </x:c>
      <x:c r="Q136" s="4" t="n">
        <x:v>-5.58</x:v>
      </x:c>
      <x:c r="R136" s="5" t="n">
        <x:v>-0</x:v>
      </x:c>
      <x:c r="S136" s="3" t="n">
        <x:v>39</x:v>
      </x:c>
      <x:c r="T136" s="2" t="inlineStr">
        <x:is>
          <x:t xml:space="preserve">Yes</x:t>
        </x:is>
      </x:c>
      <x:c r="U136" s="2" t="inlineStr">
        <x:is>
          <x:t xml:space="preserve">Delivered</x:t>
        </x:is>
      </x:c>
    </x:row>
    <x:row r="137">
      <x:c r="A137" s="6" t="inlineStr">
        <x:is>
          <x:t xml:space="preserve">PO-2025-0136</x:t>
        </x:is>
      </x:c>
      <x:c r="B137" s="6" t="inlineStr">
        <x:is>
          <x:t xml:space="preserve">17/11/2025</x:t>
        </x:is>
      </x:c>
      <x:c r="C137" s="6" t="inlineStr">
        <x:is>
          <x:t xml:space="preserve">November</x:t>
        </x:is>
      </x:c>
      <x:c r="D137" s="6" t="inlineStr">
        <x:is>
          <x:t xml:space="preserve">Stampede Park Infrastructure Upgrade</x:t>
        </x:is>
      </x:c>
      <x:c r="E137" s="6" t="inlineStr">
        <x:is>
          <x:t xml:space="preserve">Calgary SE</x:t>
        </x:is>
      </x:c>
      <x:c r="F137" s="6" t="inlineStr">
        <x:is>
          <x:t xml:space="preserve">Linda Tran</x:t>
        </x:is>
      </x:c>
      <x:c r="G137" s="6" t="inlineStr">
        <x:is>
          <x:t xml:space="preserve">MEP - Electrical</x:t>
        </x:is>
      </x:c>
      <x:c r="H137" s="6" t="inlineStr">
        <x:is>
          <x:t xml:space="preserve">LED Site Lighting</x:t>
        </x:is>
      </x:c>
      <x:c r="I137" s="6" t="inlineStr">
        <x:is>
          <x:t xml:space="preserve">Schneider Electric Canada</x:t>
        </x:is>
      </x:c>
      <x:c r="J137" s="6" t="inlineStr">
        <x:is>
          <x:t xml:space="preserve">Emergency Procurement</x:t>
        </x:is>
      </x:c>
      <x:c r="K137" s="7" t="n">
        <x:v>43</x:v>
      </x:c>
      <x:c r="L137" s="6" t="inlineStr">
        <x:is>
          <x:t xml:space="preserve">lot</x:t>
        </x:is>
      </x:c>
      <x:c r="M137" s="8" t="n">
        <x:v>11009.94</x:v>
      </x:c>
      <x:c r="N137" s="8" t="n">
        <x:v>10362.25</x:v>
      </x:c>
      <x:c r="O137" s="8" t="n">
        <x:v>473427.42</x:v>
      </x:c>
      <x:c r="P137" s="8" t="n">
        <x:v>445576.75</x:v>
      </x:c>
      <x:c r="Q137" s="8" t="n">
        <x:v>27850.67</x:v>
      </x:c>
      <x:c r="R137" s="9" t="n">
        <x:v>6.3</x:v>
      </x:c>
      <x:c r="S137" s="7" t="n">
        <x:v>27</x:v>
      </x:c>
      <x:c r="T137" s="6" t="inlineStr">
        <x:is>
          <x:t xml:space="preserve">No</x:t>
        </x:is>
      </x:c>
      <x:c r="U137" s="6" t="inlineStr">
        <x:is>
          <x:t xml:space="preserve">Cancelled</x:t>
        </x:is>
      </x:c>
    </x:row>
    <x:row r="138">
      <x:c r="A138" s="2" t="inlineStr">
        <x:is>
          <x:t xml:space="preserve">PO-2025-0137</x:t>
        </x:is>
      </x:c>
      <x:c r="B138" s="2" t="inlineStr">
        <x:is>
          <x:t xml:space="preserve">08/03/2025</x:t>
        </x:is>
      </x:c>
      <x:c r="C138" s="2" t="inlineStr">
        <x:is>
          <x:t xml:space="preserve">March</x:t>
        </x:is>
      </x:c>
      <x:c r="D138" s="2" t="inlineStr">
        <x:is>
          <x:t xml:space="preserve">Deerfoot Trail Widening - North</x:t>
        </x:is>
      </x:c>
      <x:c r="E138" s="2" t="inlineStr">
        <x:is>
          <x:t xml:space="preserve">Calgary SE</x:t>
        </x:is>
      </x:c>
      <x:c r="F138" s="2" t="inlineStr">
        <x:is>
          <x:t xml:space="preserve">Linda Tran</x:t>
        </x:is>
      </x:c>
      <x:c r="G138" s="2" t="inlineStr">
        <x:is>
          <x:t xml:space="preserve">Safety &amp; Temp Works</x:t>
        </x:is>
      </x:c>
      <x:c r="H138" s="2" t="inlineStr">
        <x:is>
          <x:t xml:space="preserve">Scaffolding System</x:t>
        </x:is>
      </x:c>
      <x:c r="I138" s="2" t="inlineStr">
        <x:is>
          <x:t xml:space="preserve">Safway Alberta</x:t>
        </x:is>
      </x:c>
      <x:c r="J138" s="2" t="inlineStr">
        <x:is>
          <x:t xml:space="preserve">LPO – Direct Award</x:t>
        </x:is>
      </x:c>
      <x:c r="K138" s="3" t="n">
        <x:v>48</x:v>
      </x:c>
      <x:c r="L138" s="2" t="inlineStr">
        <x:is>
          <x:t xml:space="preserve">lot</x:t>
        </x:is>
      </x:c>
      <x:c r="M138" s="4" t="n">
        <x:v>3872.21</x:v>
      </x:c>
      <x:c r="N138" s="4" t="n">
        <x:v>3845.6</x:v>
      </x:c>
      <x:c r="O138" s="4" t="n">
        <x:v>185866.08</x:v>
      </x:c>
      <x:c r="P138" s="4" t="n">
        <x:v>184588.8</x:v>
      </x:c>
      <x:c r="Q138" s="4" t="n">
        <x:v>1277.28</x:v>
      </x:c>
      <x:c r="R138" s="5" t="n">
        <x:v>0.7</x:v>
      </x:c>
      <x:c r="S138" s="3" t="n">
        <x:v>59</x:v>
      </x:c>
      <x:c r="T138" s="2" t="inlineStr">
        <x:is>
          <x:t xml:space="preserve">No</x:t>
        </x:is>
      </x:c>
      <x:c r="U138" s="2" t="inlineStr">
        <x:is>
          <x:t xml:space="preserve">Partially Delivered</x:t>
        </x:is>
      </x:c>
    </x:row>
    <x:row r="139">
      <x:c r="A139" s="6" t="inlineStr">
        <x:is>
          <x:t xml:space="preserve">PO-2025-0138</x:t>
        </x:is>
      </x:c>
      <x:c r="B139" s="6" t="inlineStr">
        <x:is>
          <x:t xml:space="preserve">15/09/2025</x:t>
        </x:is>
      </x:c>
      <x:c r="C139" s="6" t="inlineStr">
        <x:is>
          <x:t xml:space="preserve">September</x:t>
        </x:is>
      </x:c>
      <x:c r="D139" s="6" t="inlineStr">
        <x:is>
          <x:t xml:space="preserve">Bow River Crossing Overpass</x:t>
        </x:is>
      </x:c>
      <x:c r="E139" s="6" t="inlineStr">
        <x:is>
          <x:t xml:space="preserve">Rocky View County</x:t>
        </x:is>
      </x:c>
      <x:c r="F139" s="6" t="inlineStr">
        <x:is>
          <x:t xml:space="preserve">Liam Kowalski</x:t>
        </x:is>
      </x:c>
      <x:c r="G139" s="6" t="inlineStr">
        <x:is>
          <x:t xml:space="preserve">Concrete &amp; Structural</x:t>
        </x:is>
      </x:c>
      <x:c r="H139" s="6" t="inlineStr">
        <x:is>
          <x:t xml:space="preserve">Rebar Steel</x:t>
        </x:is>
      </x:c>
      <x:c r="I139" s="6" t="inlineStr">
        <x:is>
          <x:t xml:space="preserve">Inland Concrete</x:t>
        </x:is>
      </x:c>
      <x:c r="J139" s="6" t="inlineStr">
        <x:is>
          <x:t xml:space="preserve">3-Quote Comparison</x:t>
        </x:is>
      </x:c>
      <x:c r="K139" s="7" t="n">
        <x:v>97</x:v>
      </x:c>
      <x:c r="L139" s="6" t="inlineStr">
        <x:is>
          <x:t xml:space="preserve">m³</x:t>
        </x:is>
      </x:c>
      <x:c r="M139" s="8" t="n">
        <x:v>360.82</x:v>
      </x:c>
      <x:c r="N139" s="8" t="n">
        <x:v>391.07</x:v>
      </x:c>
      <x:c r="O139" s="8" t="n">
        <x:v>34999.54</x:v>
      </x:c>
      <x:c r="P139" s="8" t="n">
        <x:v>37933.79</x:v>
      </x:c>
      <x:c r="Q139" s="8" t="n">
        <x:v>-2934.25</x:v>
      </x:c>
      <x:c r="R139" s="9" t="n">
        <x:v>-7.7</x:v>
      </x:c>
      <x:c r="S139" s="7" t="n">
        <x:v>78</x:v>
      </x:c>
      <x:c r="T139" s="6" t="inlineStr">
        <x:is>
          <x:t xml:space="preserve">Yes</x:t>
        </x:is>
      </x:c>
      <x:c r="U139" s="6" t="inlineStr">
        <x:is>
          <x:t xml:space="preserve">Partially Delivered</x:t>
        </x:is>
      </x:c>
    </x:row>
    <x:row r="140">
      <x:c r="A140" s="2" t="inlineStr">
        <x:is>
          <x:t xml:space="preserve">PO-2025-0139</x:t>
        </x:is>
      </x:c>
      <x:c r="B140" s="2" t="inlineStr">
        <x:is>
          <x:t xml:space="preserve">31/08/2025</x:t>
        </x:is>
      </x:c>
      <x:c r="C140" s="2" t="inlineStr">
        <x:is>
          <x:t xml:space="preserve">August</x:t>
        </x:is>
      </x:c>
      <x:c r="D140" s="2" t="inlineStr">
        <x:is>
          <x:t xml:space="preserve">Foothills Medical Centre Expansion</x:t>
        </x:is>
      </x:c>
      <x:c r="E140" s="2" t="inlineStr">
        <x:is>
          <x:t xml:space="preserve">Rocky View County</x:t>
        </x:is>
      </x:c>
      <x:c r="F140" s="2" t="inlineStr">
        <x:is>
          <x:t xml:space="preserve">Priya Sharma</x:t>
        </x:is>
      </x:c>
      <x:c r="G140" s="2" t="inlineStr">
        <x:is>
          <x:t xml:space="preserve">Civil Works</x:t>
        </x:is>
      </x:c>
      <x:c r="H140" s="2" t="inlineStr">
        <x:is>
          <x:t xml:space="preserve">Granular Backfill</x:t>
        </x:is>
      </x:c>
      <x:c r="I140" s="2" t="inlineStr">
        <x:is>
          <x:t xml:space="preserve">Kiewit Infrastructure</x:t>
        </x:is>
      </x:c>
      <x:c r="J140" s="2" t="inlineStr">
        <x:is>
          <x:t xml:space="preserve">Standing Offer Agreement</x:t>
        </x:is>
      </x:c>
      <x:c r="K140" s="3" t="n">
        <x:v>42</x:v>
      </x:c>
      <x:c r="L140" s="2" t="inlineStr">
        <x:is>
          <x:t xml:space="preserve">m³</x:t>
        </x:is>
      </x:c>
      <x:c r="M140" s="4" t="n">
        <x:v>296.66</x:v>
      </x:c>
      <x:c r="N140" s="4" t="n">
        <x:v>354.5</x:v>
      </x:c>
      <x:c r="O140" s="4" t="n">
        <x:v>12459.72</x:v>
      </x:c>
      <x:c r="P140" s="4" t="n">
        <x:v>14889</x:v>
      </x:c>
      <x:c r="Q140" s="4" t="n">
        <x:v>-2429.28</x:v>
      </x:c>
      <x:c r="R140" s="5" t="n">
        <x:v>-16.3</x:v>
      </x:c>
      <x:c r="S140" s="3" t="n">
        <x:v>49</x:v>
      </x:c>
      <x:c r="T140" s="2" t="inlineStr">
        <x:is>
          <x:t xml:space="preserve">Yes</x:t>
        </x:is>
      </x:c>
      <x:c r="U140" s="2" t="inlineStr">
        <x:is>
          <x:t xml:space="preserve">Delivered</x:t>
        </x:is>
      </x:c>
    </x:row>
    <x:row r="141">
      <x:c r="A141" s="6" t="inlineStr">
        <x:is>
          <x:t xml:space="preserve">PO-2025-0140</x:t>
        </x:is>
      </x:c>
      <x:c r="B141" s="6" t="inlineStr">
        <x:is>
          <x:t xml:space="preserve">17/03/2025</x:t>
        </x:is>
      </x:c>
      <x:c r="C141" s="6" t="inlineStr">
        <x:is>
          <x:t xml:space="preserve">March</x:t>
        </x:is>
      </x:c>
      <x:c r="D141" s="6" t="inlineStr">
        <x:is>
          <x:t xml:space="preserve">University District Residential Phase 3</x:t>
        </x:is>
      </x:c>
      <x:c r="E141" s="6" t="inlineStr">
        <x:is>
          <x:t xml:space="preserve">Calgary NE</x:t>
        </x:is>
      </x:c>
      <x:c r="F141" s="6" t="inlineStr">
        <x:is>
          <x:t xml:space="preserve">Aisha Nkosi</x:t>
        </x:is>
      </x:c>
      <x:c r="G141" s="6" t="inlineStr">
        <x:is>
          <x:t xml:space="preserve">MEP - Mechanical</x:t>
        </x:is>
      </x:c>
      <x:c r="H141" s="6" t="inlineStr">
        <x:is>
          <x:t xml:space="preserve">Insulated Pipework</x:t>
        </x:is>
      </x:c>
      <x:c r="I141" s="6" t="inlineStr">
        <x:is>
          <x:t xml:space="preserve">PCL Mechanical</x:t>
        </x:is>
      </x:c>
      <x:c r="J141" s="6" t="inlineStr">
        <x:is>
          <x:t xml:space="preserve">Standing Offer Agreement</x:t>
        </x:is>
      </x:c>
      <x:c r="K141" s="7" t="n">
        <x:v>73</x:v>
      </x:c>
      <x:c r="L141" s="6" t="inlineStr">
        <x:is>
          <x:t xml:space="preserve">lot</x:t>
        </x:is>
      </x:c>
      <x:c r="M141" s="8" t="n">
        <x:v>52198.61</x:v>
      </x:c>
      <x:c r="N141" s="8" t="n">
        <x:v>63234.9</x:v>
      </x:c>
      <x:c r="O141" s="8" t="n">
        <x:v>3810498.53</x:v>
      </x:c>
      <x:c r="P141" s="8" t="n">
        <x:v>4616147.7</x:v>
      </x:c>
      <x:c r="Q141" s="8" t="n">
        <x:v>-805649.17</x:v>
      </x:c>
      <x:c r="R141" s="9" t="n">
        <x:v>-17.5</x:v>
      </x:c>
      <x:c r="S141" s="7" t="n">
        <x:v>19</x:v>
      </x:c>
      <x:c r="T141" s="6" t="inlineStr">
        <x:is>
          <x:t xml:space="preserve">Yes</x:t>
        </x:is>
      </x:c>
      <x:c r="U141" s="6" t="inlineStr">
        <x:is>
          <x:t xml:space="preserve">Cancelled</x:t>
        </x:is>
      </x:c>
    </x:row>
    <x:row r="142">
      <x:c r="A142" s="2" t="inlineStr">
        <x:is>
          <x:t xml:space="preserve">PO-2025-0141</x:t>
        </x:is>
      </x:c>
      <x:c r="B142" s="2" t="inlineStr">
        <x:is>
          <x:t xml:space="preserve">21/08/2025</x:t>
        </x:is>
      </x:c>
      <x:c r="C142" s="2" t="inlineStr">
        <x:is>
          <x:t xml:space="preserve">August</x:t>
        </x:is>
      </x:c>
      <x:c r="D142" s="2" t="inlineStr">
        <x:is>
          <x:t xml:space="preserve">University District Residential Phase 3</x:t>
        </x:is>
      </x:c>
      <x:c r="E142" s="2" t="inlineStr">
        <x:is>
          <x:t xml:space="preserve">Rocky View County</x:t>
        </x:is>
      </x:c>
      <x:c r="F142" s="2" t="inlineStr">
        <x:is>
          <x:t xml:space="preserve">Derek McLean</x:t>
        </x:is>
      </x:c>
      <x:c r="G142" s="2" t="inlineStr">
        <x:is>
          <x:t xml:space="preserve">Civil Works</x:t>
        </x:is>
      </x:c>
      <x:c r="H142" s="2" t="inlineStr">
        <x:is>
          <x:t xml:space="preserve">Curb &amp; Gutter Concrete</x:t>
        </x:is>
      </x:c>
      <x:c r="I142" s="2" t="inlineStr">
        <x:is>
          <x:t xml:space="preserve">Graham Construction</x:t>
        </x:is>
      </x:c>
      <x:c r="J142" s="2" t="inlineStr">
        <x:is>
          <x:t xml:space="preserve">Emergency Procurement</x:t>
        </x:is>
      </x:c>
      <x:c r="K142" s="3" t="n">
        <x:v>6</x:v>
      </x:c>
      <x:c r="L142" s="2" t="inlineStr">
        <x:is>
          <x:t xml:space="preserve">m³</x:t>
        </x:is>
      </x:c>
      <x:c r="M142" s="4" t="n">
        <x:v>193</x:v>
      </x:c>
      <x:c r="N142" s="4" t="n">
        <x:v>203.77</x:v>
      </x:c>
      <x:c r="O142" s="4" t="n">
        <x:v>1158</x:v>
      </x:c>
      <x:c r="P142" s="4" t="n">
        <x:v>1222.62</x:v>
      </x:c>
      <x:c r="Q142" s="4" t="n">
        <x:v>-64.62</x:v>
      </x:c>
      <x:c r="R142" s="5" t="n">
        <x:v>-5.3</x:v>
      </x:c>
      <x:c r="S142" s="3" t="n">
        <x:v>8</x:v>
      </x:c>
      <x:c r="T142" s="2" t="inlineStr">
        <x:is>
          <x:t xml:space="preserve">Yes</x:t>
        </x:is>
      </x:c>
      <x:c r="U142" s="2" t="inlineStr">
        <x:is>
          <x:t xml:space="preserve">Partially Delivered</x:t>
        </x:is>
      </x:c>
    </x:row>
    <x:row r="143">
      <x:c r="A143" s="6" t="inlineStr">
        <x:is>
          <x:t xml:space="preserve">PO-2025-0142</x:t>
        </x:is>
      </x:c>
      <x:c r="B143" s="6" t="inlineStr">
        <x:is>
          <x:t xml:space="preserve">17/08/2025</x:t>
        </x:is>
      </x:c>
      <x:c r="C143" s="6" t="inlineStr">
        <x:is>
          <x:t xml:space="preserve">August</x:t>
        </x:is>
      </x:c>
      <x:c r="D143" s="6" t="inlineStr">
        <x:is>
          <x:t xml:space="preserve">Quarry Park Mixed-Use Development</x:t>
        </x:is>
      </x:c>
      <x:c r="E143" s="6" t="inlineStr">
        <x:is>
          <x:t xml:space="preserve">Calgary NE</x:t>
        </x:is>
      </x:c>
      <x:c r="F143" s="6" t="inlineStr">
        <x:is>
          <x:t xml:space="preserve">James Okafor</x:t>
        </x:is>
      </x:c>
      <x:c r="G143" s="6" t="inlineStr">
        <x:is>
          <x:t xml:space="preserve">Finishing</x:t>
        </x:is>
      </x:c>
      <x:c r="H143" s="6" t="inlineStr">
        <x:is>
          <x:t xml:space="preserve">Ceramic Floor Tile</x:t>
        </x:is>
      </x:c>
      <x:c r="I143" s="6" t="inlineStr">
        <x:is>
          <x:t xml:space="preserve">Tremco Roofing</x:t>
        </x:is>
      </x:c>
      <x:c r="J143" s="6" t="inlineStr">
        <x:is>
          <x:t xml:space="preserve">Emergency Procurement</x:t>
        </x:is>
      </x:c>
      <x:c r="K143" s="7" t="n">
        <x:v>33</x:v>
      </x:c>
      <x:c r="L143" s="6" t="inlineStr">
        <x:is>
          <x:t xml:space="preserve">m²</x:t>
        </x:is>
      </x:c>
      <x:c r="M143" s="8" t="n">
        <x:v>247.47</x:v>
      </x:c>
      <x:c r="N143" s="8" t="n">
        <x:v>282.22</x:v>
      </x:c>
      <x:c r="O143" s="8" t="n">
        <x:v>8166.51</x:v>
      </x:c>
      <x:c r="P143" s="8" t="n">
        <x:v>9313.26</x:v>
      </x:c>
      <x:c r="Q143" s="8" t="n">
        <x:v>-1146.75</x:v>
      </x:c>
      <x:c r="R143" s="9" t="n">
        <x:v>-12.3</x:v>
      </x:c>
      <x:c r="S143" s="7" t="n">
        <x:v>44</x:v>
      </x:c>
      <x:c r="T143" s="6" t="inlineStr">
        <x:is>
          <x:t xml:space="preserve">No</x:t>
        </x:is>
      </x:c>
      <x:c r="U143" s="6" t="inlineStr">
        <x:is>
          <x:t xml:space="preserve">Partially Delivered</x:t>
        </x:is>
      </x:c>
    </x:row>
    <x:row r="144">
      <x:c r="A144" s="2" t="inlineStr">
        <x:is>
          <x:t xml:space="preserve">PO-2025-0143</x:t>
        </x:is>
      </x:c>
      <x:c r="B144" s="2" t="inlineStr">
        <x:is>
          <x:t xml:space="preserve">10/10/2025</x:t>
        </x:is>
      </x:c>
      <x:c r="C144" s="2" t="inlineStr">
        <x:is>
          <x:t xml:space="preserve">October</x:t>
        </x:is>
      </x:c>
      <x:c r="D144" s="2" t="inlineStr">
        <x:is>
          <x:t xml:space="preserve">University District Residential Phase 3</x:t>
        </x:is>
      </x:c>
      <x:c r="E144" s="2" t="inlineStr">
        <x:is>
          <x:t xml:space="preserve">Calgary NE</x:t>
        </x:is>
      </x:c>
      <x:c r="F144" s="2" t="inlineStr">
        <x:is>
          <x:t xml:space="preserve">Sarah Bouchard</x:t>
        </x:is>
      </x:c>
      <x:c r="G144" s="2" t="inlineStr">
        <x:is>
          <x:t xml:space="preserve">MEP - Mechanical</x:t>
        </x:is>
      </x:c>
      <x:c r="H144" s="2" t="inlineStr">
        <x:is>
          <x:t xml:space="preserve">Heat Pump Assembly</x:t>
        </x:is>
      </x:c>
      <x:c r="I144" s="2" t="inlineStr">
        <x:is>
          <x:t xml:space="preserve">Johnson Controls Alberta</x:t>
        </x:is>
      </x:c>
      <x:c r="J144" s="2" t="inlineStr">
        <x:is>
          <x:t xml:space="preserve">3-Quote Comparison</x:t>
        </x:is>
      </x:c>
      <x:c r="K144" s="3" t="n">
        <x:v>84</x:v>
      </x:c>
      <x:c r="L144" s="2" t="inlineStr">
        <x:is>
          <x:t xml:space="preserve">lot</x:t>
        </x:is>
      </x:c>
      <x:c r="M144" s="4" t="n">
        <x:v>83220.07000000001</x:v>
      </x:c>
      <x:c r="N144" s="4" t="n">
        <x:v>96549.64</x:v>
      </x:c>
      <x:c r="O144" s="4" t="n">
        <x:v>6990485.88</x:v>
      </x:c>
      <x:c r="P144" s="4" t="n">
        <x:v>8110169.76</x:v>
      </x:c>
      <x:c r="Q144" s="4" t="n">
        <x:v>-1119683.88</x:v>
      </x:c>
      <x:c r="R144" s="5" t="n">
        <x:v>-13.8</x:v>
      </x:c>
      <x:c r="S144" s="3" t="n">
        <x:v>22</x:v>
      </x:c>
      <x:c r="T144" s="2" t="inlineStr">
        <x:is>
          <x:t xml:space="preserve">Yes</x:t>
        </x:is>
      </x:c>
      <x:c r="U144" s="2" t="inlineStr">
        <x:is>
          <x:t xml:space="preserve">Delivered</x:t>
        </x:is>
      </x:c>
    </x:row>
    <x:row r="145">
      <x:c r="A145" s="6" t="inlineStr">
        <x:is>
          <x:t xml:space="preserve">PO-2025-0144</x:t>
        </x:is>
      </x:c>
      <x:c r="B145" s="6" t="inlineStr">
        <x:is>
          <x:t xml:space="preserve">19/09/2025</x:t>
        </x:is>
      </x:c>
      <x:c r="C145" s="6" t="inlineStr">
        <x:is>
          <x:t xml:space="preserve">September</x:t>
        </x:is>
      </x:c>
      <x:c r="D145" s="6" t="inlineStr">
        <x:is>
          <x:t xml:space="preserve">Quarry Park Mixed-Use Development</x:t>
        </x:is>
      </x:c>
      <x:c r="E145" s="6" t="inlineStr">
        <x:is>
          <x:t xml:space="preserve">Calgary SE</x:t>
        </x:is>
      </x:c>
      <x:c r="F145" s="6" t="inlineStr">
        <x:is>
          <x:t xml:space="preserve">Linda Tran</x:t>
        </x:is>
      </x:c>
      <x:c r="G145" s="6" t="inlineStr">
        <x:is>
          <x:t xml:space="preserve">Concrete &amp; Structural</x:t>
        </x:is>
      </x:c>
      <x:c r="H145" s="6" t="inlineStr">
        <x:is>
          <x:t xml:space="preserve">Precast Deck Panels</x:t>
        </x:is>
      </x:c>
      <x:c r="I145" s="6" t="inlineStr">
        <x:is>
          <x:t xml:space="preserve">Lafarge Canada - Calgary</x:t>
        </x:is>
      </x:c>
      <x:c r="J145" s="6" t="inlineStr">
        <x:is>
          <x:t xml:space="preserve">Tender – Open</x:t>
        </x:is>
      </x:c>
      <x:c r="K145" s="7" t="n">
        <x:v>45</x:v>
      </x:c>
      <x:c r="L145" s="6" t="inlineStr">
        <x:is>
          <x:t xml:space="preserve">m³</x:t>
        </x:is>
      </x:c>
      <x:c r="M145" s="8" t="n">
        <x:v>453.3</x:v>
      </x:c>
      <x:c r="N145" s="8" t="n">
        <x:v>468.05</x:v>
      </x:c>
      <x:c r="O145" s="8" t="n">
        <x:v>20398.5</x:v>
      </x:c>
      <x:c r="P145" s="8" t="n">
        <x:v>21062.25</x:v>
      </x:c>
      <x:c r="Q145" s="8" t="n">
        <x:v>-663.75</x:v>
      </x:c>
      <x:c r="R145" s="9" t="n">
        <x:v>-3.2</x:v>
      </x:c>
      <x:c r="S145" s="7" t="n">
        <x:v>72</x:v>
      </x:c>
      <x:c r="T145" s="6" t="inlineStr">
        <x:is>
          <x:t xml:space="preserve">No</x:t>
        </x:is>
      </x:c>
      <x:c r="U145" s="6" t="inlineStr">
        <x:is>
          <x:t xml:space="preserve">Partially Delivered</x:t>
        </x:is>
      </x:c>
    </x:row>
    <x:row r="146">
      <x:c r="A146" s="2" t="inlineStr">
        <x:is>
          <x:t xml:space="preserve">PO-2025-0145</x:t>
        </x:is>
      </x:c>
      <x:c r="B146" s="2" t="inlineStr">
        <x:is>
          <x:t xml:space="preserve">11/04/2025</x:t>
        </x:is>
      </x:c>
      <x:c r="C146" s="2" t="inlineStr">
        <x:is>
          <x:t xml:space="preserve">April</x:t>
        </x:is>
      </x:c>
      <x:c r="D146" s="2" t="inlineStr">
        <x:is>
          <x:t xml:space="preserve">Stampede Park Infrastructure Upgrade</x:t>
        </x:is>
      </x:c>
      <x:c r="E146" s="2" t="inlineStr">
        <x:is>
          <x:t xml:space="preserve">Calgary SE</x:t>
        </x:is>
      </x:c>
      <x:c r="F146" s="2" t="inlineStr">
        <x:is>
          <x:t xml:space="preserve">Priya Sharma</x:t>
        </x:is>
      </x:c>
      <x:c r="G146" s="2" t="inlineStr">
        <x:is>
          <x:t xml:space="preserve">Safety &amp; Temp Works</x:t>
        </x:is>
      </x:c>
      <x:c r="H146" s="2" t="inlineStr">
        <x:is>
          <x:t xml:space="preserve">Scaffolding System</x:t>
        </x:is>
      </x:c>
      <x:c r="I146" s="2" t="inlineStr">
        <x:is>
          <x:t xml:space="preserve">BrandSafway Canada</x:t>
        </x:is>
      </x:c>
      <x:c r="J146" s="2" t="inlineStr">
        <x:is>
          <x:t xml:space="preserve">Emergency Procurement</x:t>
        </x:is>
      </x:c>
      <x:c r="K146" s="3" t="n">
        <x:v>97</x:v>
      </x:c>
      <x:c r="L146" s="2" t="inlineStr">
        <x:is>
          <x:t xml:space="preserve">lot</x:t>
        </x:is>
      </x:c>
      <x:c r="M146" s="4" t="n">
        <x:v>9313.17</x:v>
      </x:c>
      <x:c r="N146" s="4" t="n">
        <x:v>9746.1</x:v>
      </x:c>
      <x:c r="O146" s="4" t="n">
        <x:v>903377.49</x:v>
      </x:c>
      <x:c r="P146" s="4" t="n">
        <x:v>945371.7</x:v>
      </x:c>
      <x:c r="Q146" s="4" t="n">
        <x:v>-41994.21</x:v>
      </x:c>
      <x:c r="R146" s="5" t="n">
        <x:v>-4.4</x:v>
      </x:c>
      <x:c r="S146" s="3" t="n">
        <x:v>34</x:v>
      </x:c>
      <x:c r="T146" s="2" t="inlineStr">
        <x:is>
          <x:t xml:space="preserve">No</x:t>
        </x:is>
      </x:c>
      <x:c r="U146" s="2" t="inlineStr">
        <x:is>
          <x:t xml:space="preserve">Partially Delivered</x:t>
        </x:is>
      </x:c>
    </x:row>
    <x:row r="147">
      <x:c r="A147" s="6" t="inlineStr">
        <x:is>
          <x:t xml:space="preserve">PO-2025-0146</x:t>
        </x:is>
      </x:c>
      <x:c r="B147" s="6" t="inlineStr">
        <x:is>
          <x:t xml:space="preserve">29/01/2025</x:t>
        </x:is>
      </x:c>
      <x:c r="C147" s="6" t="inlineStr">
        <x:is>
          <x:t xml:space="preserve">January</x:t>
        </x:is>
      </x:c>
      <x:c r="D147" s="6" t="inlineStr">
        <x:is>
          <x:t xml:space="preserve">Deerfoot Trail Widening - North</x:t>
        </x:is>
      </x:c>
      <x:c r="E147" s="6" t="inlineStr">
        <x:is>
          <x:t xml:space="preserve">Calgary NE</x:t>
        </x:is>
      </x:c>
      <x:c r="F147" s="6" t="inlineStr">
        <x:is>
          <x:t xml:space="preserve">Priya Sharma</x:t>
        </x:is>
      </x:c>
      <x:c r="G147" s="6" t="inlineStr">
        <x:is>
          <x:t xml:space="preserve">MEP - Mechanical</x:t>
        </x:is>
      </x:c>
      <x:c r="H147" s="6" t="inlineStr">
        <x:is>
          <x:t xml:space="preserve">Air Handling Unit</x:t>
        </x:is>
      </x:c>
      <x:c r="I147" s="6" t="inlineStr">
        <x:is>
          <x:t xml:space="preserve">Ainsworth Inc.</x:t>
        </x:is>
      </x:c>
      <x:c r="J147" s="6" t="inlineStr">
        <x:is>
          <x:t xml:space="preserve">Tender – Open</x:t>
        </x:is>
      </x:c>
      <x:c r="K147" s="7" t="n">
        <x:v>45</x:v>
      </x:c>
      <x:c r="L147" s="6" t="inlineStr">
        <x:is>
          <x:t xml:space="preserve">lot</x:t>
        </x:is>
      </x:c>
      <x:c r="M147" s="8" t="n">
        <x:v>8904.33</x:v>
      </x:c>
      <x:c r="N147" s="8" t="n">
        <x:v>10889.98</x:v>
      </x:c>
      <x:c r="O147" s="8" t="n">
        <x:v>400694.85</x:v>
      </x:c>
      <x:c r="P147" s="8" t="n">
        <x:v>490049.1</x:v>
      </x:c>
      <x:c r="Q147" s="8" t="n">
        <x:v>-89354.25</x:v>
      </x:c>
      <x:c r="R147" s="9" t="n">
        <x:v>-18.2</x:v>
      </x:c>
      <x:c r="S147" s="7" t="n">
        <x:v>32</x:v>
      </x:c>
      <x:c r="T147" s="6" t="inlineStr">
        <x:is>
          <x:t xml:space="preserve">Yes</x:t>
        </x:is>
      </x:c>
      <x:c r="U147" s="6" t="inlineStr">
        <x:is>
          <x:t xml:space="preserve">Delivered</x:t>
        </x:is>
      </x:c>
    </x:row>
    <x:row r="148">
      <x:c r="A148" s="2" t="inlineStr">
        <x:is>
          <x:t xml:space="preserve">PO-2025-0147</x:t>
        </x:is>
      </x:c>
      <x:c r="B148" s="2" t="inlineStr">
        <x:is>
          <x:t xml:space="preserve">02/08/2025</x:t>
        </x:is>
      </x:c>
      <x:c r="C148" s="2" t="inlineStr">
        <x:is>
          <x:t xml:space="preserve">August</x:t>
        </x:is>
      </x:c>
      <x:c r="D148" s="2" t="inlineStr">
        <x:is>
          <x:t xml:space="preserve">Saddledome Arena Retrofit</x:t>
        </x:is>
      </x:c>
      <x:c r="E148" s="2" t="inlineStr">
        <x:is>
          <x:t xml:space="preserve">Rocky View County</x:t>
        </x:is>
      </x:c>
      <x:c r="F148" s="2" t="inlineStr">
        <x:is>
          <x:t xml:space="preserve">Aisha Nkosi</x:t>
        </x:is>
      </x:c>
      <x:c r="G148" s="2" t="inlineStr">
        <x:is>
          <x:t xml:space="preserve">Concrete &amp; Structural</x:t>
        </x:is>
      </x:c>
      <x:c r="H148" s="2" t="inlineStr">
        <x:is>
          <x:t xml:space="preserve">Post-Tension Cables</x:t>
        </x:is>
      </x:c>
      <x:c r="I148" s="2" t="inlineStr">
        <x:is>
          <x:t xml:space="preserve">Evraz Steel Calgary</x:t>
        </x:is>
      </x:c>
      <x:c r="J148" s="2" t="inlineStr">
        <x:is>
          <x:t xml:space="preserve">LPO – Direct Award</x:t>
        </x:is>
      </x:c>
      <x:c r="K148" s="3" t="n">
        <x:v>84</x:v>
      </x:c>
      <x:c r="L148" s="2" t="inlineStr">
        <x:is>
          <x:t xml:space="preserve">m³</x:t>
        </x:is>
      </x:c>
      <x:c r="M148" s="4" t="n">
        <x:v>251.5</x:v>
      </x:c>
      <x:c r="N148" s="4" t="n">
        <x:v>236.05</x:v>
      </x:c>
      <x:c r="O148" s="4" t="n">
        <x:v>21126</x:v>
      </x:c>
      <x:c r="P148" s="4" t="n">
        <x:v>19828.2</x:v>
      </x:c>
      <x:c r="Q148" s="4" t="n">
        <x:v>1297.8</x:v>
      </x:c>
      <x:c r="R148" s="5" t="n">
        <x:v>6.5</x:v>
      </x:c>
      <x:c r="S148" s="3" t="n">
        <x:v>84</x:v>
      </x:c>
      <x:c r="T148" s="2" t="inlineStr">
        <x:is>
          <x:t xml:space="preserve">Yes</x:t>
        </x:is>
      </x:c>
      <x:c r="U148" s="2" t="inlineStr">
        <x:is>
          <x:t xml:space="preserve">Cancelled</x:t>
        </x:is>
      </x:c>
    </x:row>
    <x:row r="149">
      <x:c r="A149" s="6" t="inlineStr">
        <x:is>
          <x:t xml:space="preserve">PO-2025-0148</x:t>
        </x:is>
      </x:c>
      <x:c r="B149" s="6" t="inlineStr">
        <x:is>
          <x:t xml:space="preserve">11/04/2025</x:t>
        </x:is>
      </x:c>
      <x:c r="C149" s="6" t="inlineStr">
        <x:is>
          <x:t xml:space="preserve">April</x:t>
        </x:is>
      </x:c>
      <x:c r="D149" s="6" t="inlineStr">
        <x:is>
          <x:t xml:space="preserve">Deerfoot Trail Widening - North</x:t>
        </x:is>
      </x:c>
      <x:c r="E149" s="6" t="inlineStr">
        <x:is>
          <x:t xml:space="preserve">Rocky View County</x:t>
        </x:is>
      </x:c>
      <x:c r="F149" s="6" t="inlineStr">
        <x:is>
          <x:t xml:space="preserve">Linda Tran</x:t>
        </x:is>
      </x:c>
      <x:c r="G149" s="6" t="inlineStr">
        <x:is>
          <x:t xml:space="preserve">Civil Works</x:t>
        </x:is>
      </x:c>
      <x:c r="H149" s="6" t="inlineStr">
        <x:is>
          <x:t xml:space="preserve">Bulk Excavation</x:t>
        </x:is>
      </x:c>
      <x:c r="I149" s="6" t="inlineStr">
        <x:is>
          <x:t xml:space="preserve">Kiewit Infrastructure</x:t>
        </x:is>
      </x:c>
      <x:c r="J149" s="6" t="inlineStr">
        <x:is>
          <x:t xml:space="preserve">Tender – Open</x:t>
        </x:is>
      </x:c>
      <x:c r="K149" s="7" t="n">
        <x:v>27</x:v>
      </x:c>
      <x:c r="L149" s="6" t="inlineStr">
        <x:is>
          <x:t xml:space="preserve">m³</x:t>
        </x:is>
      </x:c>
      <x:c r="M149" s="8" t="n">
        <x:v>222.86</x:v>
      </x:c>
      <x:c r="N149" s="8" t="n">
        <x:v>250.5</x:v>
      </x:c>
      <x:c r="O149" s="8" t="n">
        <x:v>6017.22</x:v>
      </x:c>
      <x:c r="P149" s="8" t="n">
        <x:v>6763.5</x:v>
      </x:c>
      <x:c r="Q149" s="8" t="n">
        <x:v>-746.28</x:v>
      </x:c>
      <x:c r="R149" s="9" t="n">
        <x:v>-11</x:v>
      </x:c>
      <x:c r="S149" s="7" t="n">
        <x:v>27</x:v>
      </x:c>
      <x:c r="T149" s="6" t="inlineStr">
        <x:is>
          <x:t xml:space="preserve">Yes</x:t>
        </x:is>
      </x:c>
      <x:c r="U149" s="6" t="inlineStr">
        <x:is>
          <x:t xml:space="preserve">Delivered</x:t>
        </x:is>
      </x:c>
    </x:row>
    <x:row r="150">
      <x:c r="A150" s="2" t="inlineStr">
        <x:is>
          <x:t xml:space="preserve">PO-2025-0149</x:t>
        </x:is>
      </x:c>
      <x:c r="B150" s="2" t="inlineStr">
        <x:is>
          <x:t xml:space="preserve">25/10/2025</x:t>
        </x:is>
      </x:c>
      <x:c r="C150" s="2" t="inlineStr">
        <x:is>
          <x:t xml:space="preserve">October</x:t>
        </x:is>
      </x:c>
      <x:c r="D150" s="2" t="inlineStr">
        <x:is>
          <x:t xml:space="preserve">Stampede Park Infrastructure Upgrade</x:t>
        </x:is>
      </x:c>
      <x:c r="E150" s="2" t="inlineStr">
        <x:is>
          <x:t xml:space="preserve">Calgary NE</x:t>
        </x:is>
      </x:c>
      <x:c r="F150" s="2" t="inlineStr">
        <x:is>
          <x:t xml:space="preserve">Mohammed Siddiqui</x:t>
        </x:is>
      </x:c>
      <x:c r="G150" s="2" t="inlineStr">
        <x:is>
          <x:t xml:space="preserve">MEP - Mechanical</x:t>
        </x:is>
      </x:c>
      <x:c r="H150" s="2" t="inlineStr">
        <x:is>
          <x:t xml:space="preserve">Air Handling Unit</x:t>
        </x:is>
      </x:c>
      <x:c r="I150" s="2" t="inlineStr">
        <x:is>
          <x:t xml:space="preserve">Johnson Controls Alberta</x:t>
        </x:is>
      </x:c>
      <x:c r="J150" s="2" t="inlineStr">
        <x:is>
          <x:t xml:space="preserve">Tender – Open</x:t>
        </x:is>
      </x:c>
      <x:c r="K150" s="3" t="n">
        <x:v>46</x:v>
      </x:c>
      <x:c r="L150" s="2" t="inlineStr">
        <x:is>
          <x:t xml:space="preserve">lot</x:t>
        </x:is>
      </x:c>
      <x:c r="M150" s="4" t="n">
        <x:v>61927.14</x:v>
      </x:c>
      <x:c r="N150" s="4" t="n">
        <x:v>60487.38</x:v>
      </x:c>
      <x:c r="O150" s="4" t="n">
        <x:v>2848648.44</x:v>
      </x:c>
      <x:c r="P150" s="4" t="n">
        <x:v>2782419.48</x:v>
      </x:c>
      <x:c r="Q150" s="4" t="n">
        <x:v>66228.96000000001</x:v>
      </x:c>
      <x:c r="R150" s="5" t="n">
        <x:v>2.4</x:v>
      </x:c>
      <x:c r="S150" s="3" t="n">
        <x:v>5</x:v>
      </x:c>
      <x:c r="T150" s="2" t="inlineStr">
        <x:is>
          <x:t xml:space="preserve">Yes</x:t>
        </x:is>
      </x:c>
      <x:c r="U150" s="2" t="inlineStr">
        <x:is>
          <x:t xml:space="preserve">Cancelled</x:t>
        </x:is>
      </x:c>
    </x:row>
    <x:row r="151">
      <x:c r="A151" s="6" t="inlineStr">
        <x:is>
          <x:t xml:space="preserve">PO-2025-0150</x:t>
        </x:is>
      </x:c>
      <x:c r="B151" s="6" t="inlineStr">
        <x:is>
          <x:t xml:space="preserve">16/04/2025</x:t>
        </x:is>
      </x:c>
      <x:c r="C151" s="6" t="inlineStr">
        <x:is>
          <x:t xml:space="preserve">April</x:t>
        </x:is>
      </x:c>
      <x:c r="D151" s="6" t="inlineStr">
        <x:is>
          <x:t xml:space="preserve">Rocky View Industrial Logistics Hub</x:t>
        </x:is>
      </x:c>
      <x:c r="E151" s="6" t="inlineStr">
        <x:is>
          <x:t xml:space="preserve">Calgary SE</x:t>
        </x:is>
      </x:c>
      <x:c r="F151" s="6" t="inlineStr">
        <x:is>
          <x:t xml:space="preserve">Priya Sharma</x:t>
        </x:is>
      </x:c>
      <x:c r="G151" s="6" t="inlineStr">
        <x:is>
          <x:t xml:space="preserve">Civil Works</x:t>
        </x:is>
      </x:c>
      <x:c r="H151" s="6" t="inlineStr">
        <x:is>
          <x:t xml:space="preserve">Granular Backfill</x:t>
        </x:is>
      </x:c>
      <x:c r="I151" s="6" t="inlineStr">
        <x:is>
          <x:t xml:space="preserve">Graham Construction</x:t>
        </x:is>
      </x:c>
      <x:c r="J151" s="6" t="inlineStr">
        <x:is>
          <x:t xml:space="preserve">Tender – Open</x:t>
        </x:is>
      </x:c>
      <x:c r="K151" s="7" t="n">
        <x:v>105</x:v>
      </x:c>
      <x:c r="L151" s="6" t="inlineStr">
        <x:is>
          <x:t xml:space="preserve">m³</x:t>
        </x:is>
      </x:c>
      <x:c r="M151" s="8" t="n">
        <x:v>163.3</x:v>
      </x:c>
      <x:c r="N151" s="8" t="n">
        <x:v>178.46</x:v>
      </x:c>
      <x:c r="O151" s="8" t="n">
        <x:v>17146.5</x:v>
      </x:c>
      <x:c r="P151" s="8" t="n">
        <x:v>18738.3</x:v>
      </x:c>
      <x:c r="Q151" s="8" t="n">
        <x:v>-1591.8</x:v>
      </x:c>
      <x:c r="R151" s="9" t="n">
        <x:v>-8.5</x:v>
      </x:c>
      <x:c r="S151" s="7" t="n">
        <x:v>39</x:v>
      </x:c>
      <x:c r="T151" s="6" t="inlineStr">
        <x:is>
          <x:t xml:space="preserve">Yes</x:t>
        </x:is>
      </x:c>
      <x:c r="U151" s="6" t="inlineStr">
        <x:is>
          <x:t xml:space="preserve">Pending</x:t>
        </x:is>
      </x:c>
    </x:row>
    <x:row r="152">
      <x:c r="A152" s="2" t="inlineStr">
        <x:is>
          <x:t xml:space="preserve">PO-2025-0151</x:t>
        </x:is>
      </x:c>
      <x:c r="B152" s="2" t="inlineStr">
        <x:is>
          <x:t xml:space="preserve">05/03/2025</x:t>
        </x:is>
      </x:c>
      <x:c r="C152" s="2" t="inlineStr">
        <x:is>
          <x:t xml:space="preserve">March</x:t>
        </x:is>
      </x:c>
      <x:c r="D152" s="2" t="inlineStr">
        <x:is>
          <x:t xml:space="preserve">Calgary SE Ring Road Extension</x:t>
        </x:is>
      </x:c>
      <x:c r="E152" s="2" t="inlineStr">
        <x:is>
          <x:t xml:space="preserve">Calgary SE</x:t>
        </x:is>
      </x:c>
      <x:c r="F152" s="2" t="inlineStr">
        <x:is>
          <x:t xml:space="preserve">Aisha Nkosi</x:t>
        </x:is>
      </x:c>
      <x:c r="G152" s="2" t="inlineStr">
        <x:is>
          <x:t xml:space="preserve">Finishing</x:t>
        </x:is>
      </x:c>
      <x:c r="H152" s="2" t="inlineStr">
        <x:is>
          <x:t xml:space="preserve">Exterior Cladding Panel</x:t>
        </x:is>
      </x:c>
      <x:c r="I152" s="2" t="inlineStr">
        <x:is>
          <x:t xml:space="preserve">Armstrong World Industries</x:t>
        </x:is>
      </x:c>
      <x:c r="J152" s="2" t="inlineStr">
        <x:is>
          <x:t xml:space="preserve">Emergency Procurement</x:t>
        </x:is>
      </x:c>
      <x:c r="K152" s="3" t="n">
        <x:v>16</x:v>
      </x:c>
      <x:c r="L152" s="2" t="inlineStr">
        <x:is>
          <x:t xml:space="preserve">m²</x:t>
        </x:is>
      </x:c>
      <x:c r="M152" s="4" t="n">
        <x:v>107.02</x:v>
      </x:c>
      <x:c r="N152" s="4" t="n">
        <x:v>127.53</x:v>
      </x:c>
      <x:c r="O152" s="4" t="n">
        <x:v>1712.32</x:v>
      </x:c>
      <x:c r="P152" s="4" t="n">
        <x:v>2040.48</x:v>
      </x:c>
      <x:c r="Q152" s="4" t="n">
        <x:v>-328.16</x:v>
      </x:c>
      <x:c r="R152" s="5" t="n">
        <x:v>-16.1</x:v>
      </x:c>
      <x:c r="S152" s="3" t="n">
        <x:v>40</x:v>
      </x:c>
      <x:c r="T152" s="2" t="inlineStr">
        <x:is>
          <x:t xml:space="preserve">Yes</x:t>
        </x:is>
      </x:c>
      <x:c r="U152" s="2" t="inlineStr">
        <x:is>
          <x:t xml:space="preserve">Delivered</x:t>
        </x:is>
      </x:c>
    </x:row>
    <x:row r="153">
      <x:c r="A153" s="6" t="inlineStr">
        <x:is>
          <x:t xml:space="preserve">PO-2025-0152</x:t>
        </x:is>
      </x:c>
      <x:c r="B153" s="6" t="inlineStr">
        <x:is>
          <x:t xml:space="preserve">28/11/2025</x:t>
        </x:is>
      </x:c>
      <x:c r="C153" s="6" t="inlineStr">
        <x:is>
          <x:t xml:space="preserve">November</x:t>
        </x:is>
      </x:c>
      <x:c r="D153" s="6" t="inlineStr">
        <x:is>
          <x:t xml:space="preserve">Stampede Park Infrastructure Upgrade</x:t>
        </x:is>
      </x:c>
      <x:c r="E153" s="6" t="inlineStr">
        <x:is>
          <x:t xml:space="preserve">Calgary SW</x:t>
        </x:is>
      </x:c>
      <x:c r="F153" s="6" t="inlineStr">
        <x:is>
          <x:t xml:space="preserve">Derek McLean</x:t>
        </x:is>
      </x:c>
      <x:c r="G153" s="6" t="inlineStr">
        <x:is>
          <x:t xml:space="preserve">Civil Works</x:t>
        </x:is>
      </x:c>
      <x:c r="H153" s="6" t="inlineStr">
        <x:is>
          <x:t xml:space="preserve">Curb &amp; Gutter Concrete</x:t>
        </x:is>
      </x:c>
      <x:c r="I153" s="6" t="inlineStr">
        <x:is>
          <x:t xml:space="preserve">Graham Construction</x:t>
        </x:is>
      </x:c>
      <x:c r="J153" s="6" t="inlineStr">
        <x:is>
          <x:t xml:space="preserve">Emergency Procurement</x:t>
        </x:is>
      </x:c>
      <x:c r="K153" s="7" t="n">
        <x:v>82</x:v>
      </x:c>
      <x:c r="L153" s="6" t="inlineStr">
        <x:is>
          <x:t xml:space="preserve">m³</x:t>
        </x:is>
      </x:c>
      <x:c r="M153" s="8" t="n">
        <x:v>111.2</x:v>
      </x:c>
      <x:c r="N153" s="8" t="n">
        <x:v>98.34</x:v>
      </x:c>
      <x:c r="O153" s="8" t="n">
        <x:v>9118.4</x:v>
      </x:c>
      <x:c r="P153" s="8" t="n">
        <x:v>8063.88</x:v>
      </x:c>
      <x:c r="Q153" s="8" t="n">
        <x:v>1054.52</x:v>
      </x:c>
      <x:c r="R153" s="9" t="n">
        <x:v>13.1</x:v>
      </x:c>
      <x:c r="S153" s="7" t="n">
        <x:v>57</x:v>
      </x:c>
      <x:c r="T153" s="6" t="inlineStr">
        <x:is>
          <x:t xml:space="preserve">Yes</x:t>
        </x:is>
      </x:c>
      <x:c r="U153" s="6" t="inlineStr">
        <x:is>
          <x:t xml:space="preserve">Pending</x:t>
        </x:is>
      </x:c>
    </x:row>
    <x:row r="154">
      <x:c r="A154" s="2" t="inlineStr">
        <x:is>
          <x:t xml:space="preserve">PO-2025-0153</x:t>
        </x:is>
      </x:c>
      <x:c r="B154" s="2" t="inlineStr">
        <x:is>
          <x:t xml:space="preserve">14/08/2025</x:t>
        </x:is>
      </x:c>
      <x:c r="C154" s="2" t="inlineStr">
        <x:is>
          <x:t xml:space="preserve">August</x:t>
        </x:is>
      </x:c>
      <x:c r="D154" s="2" t="inlineStr">
        <x:is>
          <x:t xml:space="preserve">Quarry Park Mixed-Use Development</x:t>
        </x:is>
      </x:c>
      <x:c r="E154" s="2" t="inlineStr">
        <x:is>
          <x:t xml:space="preserve">Calgary SE</x:t>
        </x:is>
      </x:c>
      <x:c r="F154" s="2" t="inlineStr">
        <x:is>
          <x:t xml:space="preserve">Liam Kowalski</x:t>
        </x:is>
      </x:c>
      <x:c r="G154" s="2" t="inlineStr">
        <x:is>
          <x:t xml:space="preserve">Safety &amp; Temp Works</x:t>
        </x:is>
      </x:c>
      <x:c r="H154" s="2" t="inlineStr">
        <x:is>
          <x:t xml:space="preserve">Site Hoarding &amp; Fencing</x:t>
        </x:is>
      </x:c>
      <x:c r="I154" s="2" t="inlineStr">
        <x:is>
          <x:t xml:space="preserve">Safway Alberta</x:t>
        </x:is>
      </x:c>
      <x:c r="J154" s="2" t="inlineStr">
        <x:is>
          <x:t xml:space="preserve">Standing Offer Agreement</x:t>
        </x:is>
      </x:c>
      <x:c r="K154" s="3" t="n">
        <x:v>76</x:v>
      </x:c>
      <x:c r="L154" s="2" t="inlineStr">
        <x:is>
          <x:t xml:space="preserve">lot</x:t>
        </x:is>
      </x:c>
      <x:c r="M154" s="4" t="n">
        <x:v>8059.3</x:v>
      </x:c>
      <x:c r="N154" s="4" t="n">
        <x:v>9673.1</x:v>
      </x:c>
      <x:c r="O154" s="4" t="n">
        <x:v>612506.8</x:v>
      </x:c>
      <x:c r="P154" s="4" t="n">
        <x:v>735155.6</x:v>
      </x:c>
      <x:c r="Q154" s="4" t="n">
        <x:v>-122648.8</x:v>
      </x:c>
      <x:c r="R154" s="5" t="n">
        <x:v>-16.7</x:v>
      </x:c>
      <x:c r="S154" s="3" t="n">
        <x:v>36</x:v>
      </x:c>
      <x:c r="T154" s="2" t="inlineStr">
        <x:is>
          <x:t xml:space="preserve">Yes</x:t>
        </x:is>
      </x:c>
      <x:c r="U154" s="2" t="inlineStr">
        <x:is>
          <x:t xml:space="preserve">Delivered</x:t>
        </x:is>
      </x:c>
    </x:row>
    <x:row r="155">
      <x:c r="A155" s="6" t="inlineStr">
        <x:is>
          <x:t xml:space="preserve">PO-2025-0154</x:t>
        </x:is>
      </x:c>
      <x:c r="B155" s="6" t="inlineStr">
        <x:is>
          <x:t xml:space="preserve">24/06/2025</x:t>
        </x:is>
      </x:c>
      <x:c r="C155" s="6" t="inlineStr">
        <x:is>
          <x:t xml:space="preserve">June</x:t>
        </x:is>
      </x:c>
      <x:c r="D155" s="6" t="inlineStr">
        <x:is>
          <x:t xml:space="preserve">Calgary SE Ring Road Extension</x:t>
        </x:is>
      </x:c>
      <x:c r="E155" s="6" t="inlineStr">
        <x:is>
          <x:t xml:space="preserve">Calgary NE</x:t>
        </x:is>
      </x:c>
      <x:c r="F155" s="6" t="inlineStr">
        <x:is>
          <x:t xml:space="preserve">Sarah Bouchard</x:t>
        </x:is>
      </x:c>
      <x:c r="G155" s="6" t="inlineStr">
        <x:is>
          <x:t xml:space="preserve">Finishing</x:t>
        </x:is>
      </x:c>
      <x:c r="H155" s="6" t="inlineStr">
        <x:is>
          <x:t xml:space="preserve">Ceramic Floor Tile</x:t>
        </x:is>
      </x:c>
      <x:c r="I155" s="6" t="inlineStr">
        <x:is>
          <x:t xml:space="preserve">Dryvit Systems Canada</x:t>
        </x:is>
      </x:c>
      <x:c r="J155" s="6" t="inlineStr">
        <x:is>
          <x:t xml:space="preserve">LPO – Direct Award</x:t>
        </x:is>
      </x:c>
      <x:c r="K155" s="7" t="n">
        <x:v>3</x:v>
      </x:c>
      <x:c r="L155" s="6" t="inlineStr">
        <x:is>
          <x:t xml:space="preserve">m²</x:t>
        </x:is>
      </x:c>
      <x:c r="M155" s="8" t="n">
        <x:v>376.04</x:v>
      </x:c>
      <x:c r="N155" s="8" t="n">
        <x:v>376.91</x:v>
      </x:c>
      <x:c r="O155" s="8" t="n">
        <x:v>1128.12</x:v>
      </x:c>
      <x:c r="P155" s="8" t="n">
        <x:v>1130.73</x:v>
      </x:c>
      <x:c r="Q155" s="8" t="n">
        <x:v>-2.61</x:v>
      </x:c>
      <x:c r="R155" s="9" t="n">
        <x:v>-0.2</x:v>
      </x:c>
      <x:c r="S155" s="7" t="n">
        <x:v>79</x:v>
      </x:c>
      <x:c r="T155" s="6" t="inlineStr">
        <x:is>
          <x:t xml:space="preserve">Yes</x:t>
        </x:is>
      </x:c>
      <x:c r="U155" s="6" t="inlineStr">
        <x:is>
          <x:t xml:space="preserve">Delivered</x:t>
        </x:is>
      </x:c>
    </x:row>
    <x:row r="156">
      <x:c r="A156" s="2" t="inlineStr">
        <x:is>
          <x:t xml:space="preserve">PO-2025-0155</x:t>
        </x:is>
      </x:c>
      <x:c r="B156" s="2" t="inlineStr">
        <x:is>
          <x:t xml:space="preserve">12/01/2025</x:t>
        </x:is>
      </x:c>
      <x:c r="C156" s="2" t="inlineStr">
        <x:is>
          <x:t xml:space="preserve">January</x:t>
        </x:is>
      </x:c>
      <x:c r="D156" s="2" t="inlineStr">
        <x:is>
          <x:t xml:space="preserve">Saddledome Arena Retrofit</x:t>
        </x:is>
      </x:c>
      <x:c r="E156" s="2" t="inlineStr">
        <x:is>
          <x:t xml:space="preserve">Rocky View County</x:t>
        </x:is>
      </x:c>
      <x:c r="F156" s="2" t="inlineStr">
        <x:is>
          <x:t xml:space="preserve">Aisha Nkosi</x:t>
        </x:is>
      </x:c>
      <x:c r="G156" s="2" t="inlineStr">
        <x:is>
          <x:t xml:space="preserve">Concrete &amp; Structural</x:t>
        </x:is>
      </x:c>
      <x:c r="H156" s="2" t="inlineStr">
        <x:is>
          <x:t xml:space="preserve">Rebar Steel</x:t>
        </x:is>
      </x:c>
      <x:c r="I156" s="2" t="inlineStr">
        <x:is>
          <x:t xml:space="preserve">Inland Concrete</x:t>
        </x:is>
      </x:c>
      <x:c r="J156" s="2" t="inlineStr">
        <x:is>
          <x:t xml:space="preserve">Emergency Procurement</x:t>
        </x:is>
      </x:c>
      <x:c r="K156" s="3" t="n">
        <x:v>86</x:v>
      </x:c>
      <x:c r="L156" s="2" t="inlineStr">
        <x:is>
          <x:t xml:space="preserve">m³</x:t>
        </x:is>
      </x:c>
      <x:c r="M156" s="4" t="n">
        <x:v>358.54</x:v>
      </x:c>
      <x:c r="N156" s="4" t="n">
        <x:v>397.17</x:v>
      </x:c>
      <x:c r="O156" s="4" t="n">
        <x:v>30834.44</x:v>
      </x:c>
      <x:c r="P156" s="4" t="n">
        <x:v>34156.62</x:v>
      </x:c>
      <x:c r="Q156" s="4" t="n">
        <x:v>-3322.18</x:v>
      </x:c>
      <x:c r="R156" s="5" t="n">
        <x:v>-9.699999999999999</x:v>
      </x:c>
      <x:c r="S156" s="3" t="n">
        <x:v>11</x:v>
      </x:c>
      <x:c r="T156" s="2" t="inlineStr">
        <x:is>
          <x:t xml:space="preserve">Yes</x:t>
        </x:is>
      </x:c>
      <x:c r="U156" s="2" t="inlineStr">
        <x:is>
          <x:t xml:space="preserve">Delivered</x:t>
        </x:is>
      </x:c>
    </x:row>
    <x:row r="157">
      <x:c r="A157" s="6" t="inlineStr">
        <x:is>
          <x:t xml:space="preserve">PO-2025-0156</x:t>
        </x:is>
      </x:c>
      <x:c r="B157" s="6" t="inlineStr">
        <x:is>
          <x:t xml:space="preserve">22/07/2025</x:t>
        </x:is>
      </x:c>
      <x:c r="C157" s="6" t="inlineStr">
        <x:is>
          <x:t xml:space="preserve">July</x:t>
        </x:is>
      </x:c>
      <x:c r="D157" s="6" t="inlineStr">
        <x:is>
          <x:t xml:space="preserve">University District Residential Phase 3</x:t>
        </x:is>
      </x:c>
      <x:c r="E157" s="6" t="inlineStr">
        <x:is>
          <x:t xml:space="preserve">Calgary SW</x:t>
        </x:is>
      </x:c>
      <x:c r="F157" s="6" t="inlineStr">
        <x:is>
          <x:t xml:space="preserve">Liam Kowalski</x:t>
        </x:is>
      </x:c>
      <x:c r="G157" s="6" t="inlineStr">
        <x:is>
          <x:t xml:space="preserve">Safety &amp; Temp Works</x:t>
        </x:is>
      </x:c>
      <x:c r="H157" s="6" t="inlineStr">
        <x:is>
          <x:t xml:space="preserve">Site Office Trailer</x:t>
        </x:is>
      </x:c>
      <x:c r="I157" s="6" t="inlineStr">
        <x:is>
          <x:t xml:space="preserve">BrandSafway Canada</x:t>
        </x:is>
      </x:c>
      <x:c r="J157" s="6" t="inlineStr">
        <x:is>
          <x:t xml:space="preserve">LPO – Direct Award</x:t>
        </x:is>
      </x:c>
      <x:c r="K157" s="7" t="n">
        <x:v>84</x:v>
      </x:c>
      <x:c r="L157" s="6" t="inlineStr">
        <x:is>
          <x:t xml:space="preserve">lot</x:t>
        </x:is>
      </x:c>
      <x:c r="M157" s="8" t="n">
        <x:v>19995.23</x:v>
      </x:c>
      <x:c r="N157" s="8" t="n">
        <x:v>20244.97</x:v>
      </x:c>
      <x:c r="O157" s="8" t="n">
        <x:v>1679599.32</x:v>
      </x:c>
      <x:c r="P157" s="8" t="n">
        <x:v>1700577.48</x:v>
      </x:c>
      <x:c r="Q157" s="8" t="n">
        <x:v>-20978.16</x:v>
      </x:c>
      <x:c r="R157" s="9" t="n">
        <x:v>-1.2</x:v>
      </x:c>
      <x:c r="S157" s="7" t="n">
        <x:v>31</x:v>
      </x:c>
      <x:c r="T157" s="6" t="inlineStr">
        <x:is>
          <x:t xml:space="preserve">Yes</x:t>
        </x:is>
      </x:c>
      <x:c r="U157" s="6" t="inlineStr">
        <x:is>
          <x:t xml:space="preserve">Pending</x:t>
        </x:is>
      </x:c>
    </x:row>
    <x:row r="158">
      <x:c r="A158" s="2" t="inlineStr">
        <x:is>
          <x:t xml:space="preserve">PO-2025-0157</x:t>
        </x:is>
      </x:c>
      <x:c r="B158" s="2" t="inlineStr">
        <x:is>
          <x:t xml:space="preserve">18/04/2025</x:t>
        </x:is>
      </x:c>
      <x:c r="C158" s="2" t="inlineStr">
        <x:is>
          <x:t xml:space="preserve">April</x:t>
        </x:is>
      </x:c>
      <x:c r="D158" s="2" t="inlineStr">
        <x:is>
          <x:t xml:space="preserve">Stampede Park Infrastructure Upgrade</x:t>
        </x:is>
      </x:c>
      <x:c r="E158" s="2" t="inlineStr">
        <x:is>
          <x:t xml:space="preserve">Calgary SE</x:t>
        </x:is>
      </x:c>
      <x:c r="F158" s="2" t="inlineStr">
        <x:is>
          <x:t xml:space="preserve">Priya Sharma</x:t>
        </x:is>
      </x:c>
      <x:c r="G158" s="2" t="inlineStr">
        <x:is>
          <x:t xml:space="preserve">MEP - Mechanical</x:t>
        </x:is>
      </x:c>
      <x:c r="H158" s="2" t="inlineStr">
        <x:is>
          <x:t xml:space="preserve">Insulated Pipework</x:t>
        </x:is>
      </x:c>
      <x:c r="I158" s="2" t="inlineStr">
        <x:is>
          <x:t xml:space="preserve">Stantec MEP</x:t>
        </x:is>
      </x:c>
      <x:c r="J158" s="2" t="inlineStr">
        <x:is>
          <x:t xml:space="preserve">LPO – Direct Award</x:t>
        </x:is>
      </x:c>
      <x:c r="K158" s="3" t="n">
        <x:v>84</x:v>
      </x:c>
      <x:c r="L158" s="2" t="inlineStr">
        <x:is>
          <x:t xml:space="preserve">lot</x:t>
        </x:is>
      </x:c>
      <x:c r="M158" s="4" t="n">
        <x:v>5833.63</x:v>
      </x:c>
      <x:c r="N158" s="4" t="n">
        <x:v>6559.6</x:v>
      </x:c>
      <x:c r="O158" s="4" t="n">
        <x:v>490024.92</x:v>
      </x:c>
      <x:c r="P158" s="4" t="n">
        <x:v>551006.4</x:v>
      </x:c>
      <x:c r="Q158" s="4" t="n">
        <x:v>-60981.48</x:v>
      </x:c>
      <x:c r="R158" s="5" t="n">
        <x:v>-11.1</x:v>
      </x:c>
      <x:c r="S158" s="3" t="n">
        <x:v>36</x:v>
      </x:c>
      <x:c r="T158" s="2" t="inlineStr">
        <x:is>
          <x:t xml:space="preserve">Yes</x:t>
        </x:is>
      </x:c>
      <x:c r="U158" s="2" t="inlineStr">
        <x:is>
          <x:t xml:space="preserve">Cancelled</x:t>
        </x:is>
      </x:c>
    </x:row>
    <x:row r="159">
      <x:c r="A159" s="6" t="inlineStr">
        <x:is>
          <x:t xml:space="preserve">PO-2025-0158</x:t>
        </x:is>
      </x:c>
      <x:c r="B159" s="6" t="inlineStr">
        <x:is>
          <x:t xml:space="preserve">31/08/2025</x:t>
        </x:is>
      </x:c>
      <x:c r="C159" s="6" t="inlineStr">
        <x:is>
          <x:t xml:space="preserve">August</x:t>
        </x:is>
      </x:c>
      <x:c r="D159" s="6" t="inlineStr">
        <x:is>
          <x:t xml:space="preserve">Calgary SE Ring Road Extension</x:t>
        </x:is>
      </x:c>
      <x:c r="E159" s="6" t="inlineStr">
        <x:is>
          <x:t xml:space="preserve">Rocky View County</x:t>
        </x:is>
      </x:c>
      <x:c r="F159" s="6" t="inlineStr">
        <x:is>
          <x:t xml:space="preserve">Linda Tran</x:t>
        </x:is>
      </x:c>
      <x:c r="G159" s="6" t="inlineStr">
        <x:is>
          <x:t xml:space="preserve">Civil Works</x:t>
        </x:is>
      </x:c>
      <x:c r="H159" s="6" t="inlineStr">
        <x:is>
          <x:t xml:space="preserve">Granular Backfill</x:t>
        </x:is>
      </x:c>
      <x:c r="I159" s="6" t="inlineStr">
        <x:is>
          <x:t xml:space="preserve">Ledcor Civil Alberta</x:t>
        </x:is>
      </x:c>
      <x:c r="J159" s="6" t="inlineStr">
        <x:is>
          <x:t xml:space="preserve">Tender – Open</x:t>
        </x:is>
      </x:c>
      <x:c r="K159" s="7" t="n">
        <x:v>115</x:v>
      </x:c>
      <x:c r="L159" s="6" t="inlineStr">
        <x:is>
          <x:t xml:space="preserve">m³</x:t>
        </x:is>
      </x:c>
      <x:c r="M159" s="8" t="n">
        <x:v>295.86</x:v>
      </x:c>
      <x:c r="N159" s="8" t="n">
        <x:v>353.61</x:v>
      </x:c>
      <x:c r="O159" s="8" t="n">
        <x:v>34023.9</x:v>
      </x:c>
      <x:c r="P159" s="8" t="n">
        <x:v>40665.15</x:v>
      </x:c>
      <x:c r="Q159" s="8" t="n">
        <x:v>-6641.25</x:v>
      </x:c>
      <x:c r="R159" s="9" t="n">
        <x:v>-16.3</x:v>
      </x:c>
      <x:c r="S159" s="7" t="n">
        <x:v>17</x:v>
      </x:c>
      <x:c r="T159" s="6" t="inlineStr">
        <x:is>
          <x:t xml:space="preserve">Yes</x:t>
        </x:is>
      </x:c>
      <x:c r="U159" s="6" t="inlineStr">
        <x:is>
          <x:t xml:space="preserve">Pending</x:t>
        </x:is>
      </x:c>
    </x:row>
    <x:row r="160">
      <x:c r="A160" s="2" t="inlineStr">
        <x:is>
          <x:t xml:space="preserve">PO-2025-0159</x:t>
        </x:is>
      </x:c>
      <x:c r="B160" s="2" t="inlineStr">
        <x:is>
          <x:t xml:space="preserve">15/10/2025</x:t>
        </x:is>
      </x:c>
      <x:c r="C160" s="2" t="inlineStr">
        <x:is>
          <x:t xml:space="preserve">October</x:t>
        </x:is>
      </x:c>
      <x:c r="D160" s="2" t="inlineStr">
        <x:is>
          <x:t xml:space="preserve">Deerfoot Trail Widening - North</x:t>
        </x:is>
      </x:c>
      <x:c r="E160" s="2" t="inlineStr">
        <x:is>
          <x:t xml:space="preserve">Calgary NE</x:t>
        </x:is>
      </x:c>
      <x:c r="F160" s="2" t="inlineStr">
        <x:is>
          <x:t xml:space="preserve">Priya Sharma</x:t>
        </x:is>
      </x:c>
      <x:c r="G160" s="2" t="inlineStr">
        <x:is>
          <x:t xml:space="preserve">Concrete &amp; Structural</x:t>
        </x:is>
      </x:c>
      <x:c r="H160" s="2" t="inlineStr">
        <x:is>
          <x:t xml:space="preserve">Rebar Steel</x:t>
        </x:is>
      </x:c>
      <x:c r="I160" s="2" t="inlineStr">
        <x:is>
          <x:t xml:space="preserve">Lafarge Canada - Calgary</x:t>
        </x:is>
      </x:c>
      <x:c r="J160" s="2" t="inlineStr">
        <x:is>
          <x:t xml:space="preserve">Emergency Procurement</x:t>
        </x:is>
      </x:c>
      <x:c r="K160" s="3" t="n">
        <x:v>85</x:v>
      </x:c>
      <x:c r="L160" s="2" t="inlineStr">
        <x:is>
          <x:t xml:space="preserve">m³</x:t>
        </x:is>
      </x:c>
      <x:c r="M160" s="4" t="n">
        <x:v>321.8</x:v>
      </x:c>
      <x:c r="N160" s="4" t="n">
        <x:v>287.55</x:v>
      </x:c>
      <x:c r="O160" s="4" t="n">
        <x:v>27353</x:v>
      </x:c>
      <x:c r="P160" s="4" t="n">
        <x:v>24441.75</x:v>
      </x:c>
      <x:c r="Q160" s="4" t="n">
        <x:v>2911.25</x:v>
      </x:c>
      <x:c r="R160" s="5" t="n">
        <x:v>11.9</x:v>
      </x:c>
      <x:c r="S160" s="3" t="n">
        <x:v>69</x:v>
      </x:c>
      <x:c r="T160" s="2" t="inlineStr">
        <x:is>
          <x:t xml:space="preserve">Yes</x:t>
        </x:is>
      </x:c>
      <x:c r="U160" s="2" t="inlineStr">
        <x:is>
          <x:t xml:space="preserve">Delivered</x:t>
        </x:is>
      </x:c>
    </x:row>
    <x:row r="161">
      <x:c r="A161" s="6" t="inlineStr">
        <x:is>
          <x:t xml:space="preserve">PO-2025-0160</x:t>
        </x:is>
      </x:c>
      <x:c r="B161" s="6" t="inlineStr">
        <x:is>
          <x:t xml:space="preserve">06/05/2025</x:t>
        </x:is>
      </x:c>
      <x:c r="C161" s="6" t="inlineStr">
        <x:is>
          <x:t xml:space="preserve">May</x:t>
        </x:is>
      </x:c>
      <x:c r="D161" s="6" t="inlineStr">
        <x:is>
          <x:t xml:space="preserve">Foothills Medical Centre Expansion</x:t>
        </x:is>
      </x:c>
      <x:c r="E161" s="6" t="inlineStr">
        <x:is>
          <x:t xml:space="preserve">Rocky View County</x:t>
        </x:is>
      </x:c>
      <x:c r="F161" s="6" t="inlineStr">
        <x:is>
          <x:t xml:space="preserve">Aisha Nkosi</x:t>
        </x:is>
      </x:c>
      <x:c r="G161" s="6" t="inlineStr">
        <x:is>
          <x:t xml:space="preserve">Civil Works</x:t>
        </x:is>
      </x:c>
      <x:c r="H161" s="6" t="inlineStr">
        <x:is>
          <x:t xml:space="preserve">Bulk Excavation</x:t>
        </x:is>
      </x:c>
      <x:c r="I161" s="6" t="inlineStr">
        <x:is>
          <x:t xml:space="preserve">Graham Construction</x:t>
        </x:is>
      </x:c>
      <x:c r="J161" s="6" t="inlineStr">
        <x:is>
          <x:t xml:space="preserve">3-Quote Comparison</x:t>
        </x:is>
      </x:c>
      <x:c r="K161" s="7" t="n">
        <x:v>59</x:v>
      </x:c>
      <x:c r="L161" s="6" t="inlineStr">
        <x:is>
          <x:t xml:space="preserve">m³</x:t>
        </x:is>
      </x:c>
      <x:c r="M161" s="8" t="n">
        <x:v>197.32</x:v>
      </x:c>
      <x:c r="N161" s="8" t="n">
        <x:v>180.02</x:v>
      </x:c>
      <x:c r="O161" s="8" t="n">
        <x:v>11641.88</x:v>
      </x:c>
      <x:c r="P161" s="8" t="n">
        <x:v>10621.18</x:v>
      </x:c>
      <x:c r="Q161" s="8" t="n">
        <x:v>1020.7</x:v>
      </x:c>
      <x:c r="R161" s="9" t="n">
        <x:v>9.6</x:v>
      </x:c>
      <x:c r="S161" s="7" t="n">
        <x:v>17</x:v>
      </x:c>
      <x:c r="T161" s="6" t="inlineStr">
        <x:is>
          <x:t xml:space="preserve">Yes</x:t>
        </x:is>
      </x:c>
      <x:c r="U161" s="6" t="inlineStr">
        <x:is>
          <x:t xml:space="preserve">Pending</x:t>
        </x:is>
      </x:c>
    </x:row>
    <x:row r="162">
      <x:c r="A162" s="2" t="inlineStr">
        <x:is>
          <x:t xml:space="preserve">PO-2025-0161</x:t>
        </x:is>
      </x:c>
      <x:c r="B162" s="2" t="inlineStr">
        <x:is>
          <x:t xml:space="preserve">21/03/2025</x:t>
        </x:is>
      </x:c>
      <x:c r="C162" s="2" t="inlineStr">
        <x:is>
          <x:t xml:space="preserve">March</x:t>
        </x:is>
      </x:c>
      <x:c r="D162" s="2" t="inlineStr">
        <x:is>
          <x:t xml:space="preserve">Saddledome Arena Retrofit</x:t>
        </x:is>
      </x:c>
      <x:c r="E162" s="2" t="inlineStr">
        <x:is>
          <x:t xml:space="preserve">Calgary SW</x:t>
        </x:is>
      </x:c>
      <x:c r="F162" s="2" t="inlineStr">
        <x:is>
          <x:t xml:space="preserve">Derek McLean</x:t>
        </x:is>
      </x:c>
      <x:c r="G162" s="2" t="inlineStr">
        <x:is>
          <x:t xml:space="preserve">Civil Works</x:t>
        </x:is>
      </x:c>
      <x:c r="H162" s="2" t="inlineStr">
        <x:is>
          <x:t xml:space="preserve">Storm Drainage Pipe</x:t>
        </x:is>
      </x:c>
      <x:c r="I162" s="2" t="inlineStr">
        <x:is>
          <x:t xml:space="preserve">Ledcor Civil Alberta</x:t>
        </x:is>
      </x:c>
      <x:c r="J162" s="2" t="inlineStr">
        <x:is>
          <x:t xml:space="preserve">LPO – Direct Award</x:t>
        </x:is>
      </x:c>
      <x:c r="K162" s="3" t="n">
        <x:v>103</x:v>
      </x:c>
      <x:c r="L162" s="2" t="inlineStr">
        <x:is>
          <x:t xml:space="preserve">m³</x:t>
        </x:is>
      </x:c>
      <x:c r="M162" s="4" t="n">
        <x:v>113.37</x:v>
      </x:c>
      <x:c r="N162" s="4" t="n">
        <x:v>132.76</x:v>
      </x:c>
      <x:c r="O162" s="4" t="n">
        <x:v>11677.11</x:v>
      </x:c>
      <x:c r="P162" s="4" t="n">
        <x:v>13674.28</x:v>
      </x:c>
      <x:c r="Q162" s="4" t="n">
        <x:v>-1997.17</x:v>
      </x:c>
      <x:c r="R162" s="5" t="n">
        <x:v>-14.6</x:v>
      </x:c>
      <x:c r="S162" s="3" t="n">
        <x:v>52</x:v>
      </x:c>
      <x:c r="T162" s="2" t="inlineStr">
        <x:is>
          <x:t xml:space="preserve">No</x:t>
        </x:is>
      </x:c>
      <x:c r="U162" s="2" t="inlineStr">
        <x:is>
          <x:t xml:space="preserve">Pending</x:t>
        </x:is>
      </x:c>
    </x:row>
    <x:row r="163">
      <x:c r="A163" s="6" t="inlineStr">
        <x:is>
          <x:t xml:space="preserve">PO-2025-0162</x:t>
        </x:is>
      </x:c>
      <x:c r="B163" s="6" t="inlineStr">
        <x:is>
          <x:t xml:space="preserve">13/11/2025</x:t>
        </x:is>
      </x:c>
      <x:c r="C163" s="6" t="inlineStr">
        <x:is>
          <x:t xml:space="preserve">November</x:t>
        </x:is>
      </x:c>
      <x:c r="D163" s="6" t="inlineStr">
        <x:is>
          <x:t xml:space="preserve">Bow River Crossing Overpass</x:t>
        </x:is>
      </x:c>
      <x:c r="E163" s="6" t="inlineStr">
        <x:is>
          <x:t xml:space="preserve">Rocky View County</x:t>
        </x:is>
      </x:c>
      <x:c r="F163" s="6" t="inlineStr">
        <x:is>
          <x:t xml:space="preserve">Liam Kowalski</x:t>
        </x:is>
      </x:c>
      <x:c r="G163" s="6" t="inlineStr">
        <x:is>
          <x:t xml:space="preserve">Concrete &amp; Structural</x:t>
        </x:is>
      </x:c>
      <x:c r="H163" s="6" t="inlineStr">
        <x:is>
          <x:t xml:space="preserve">Structural Formwork</x:t>
        </x:is>
      </x:c>
      <x:c r="I163" s="6" t="inlineStr">
        <x:is>
          <x:t xml:space="preserve">Alberta Precast</x:t>
        </x:is>
      </x:c>
      <x:c r="J163" s="6" t="inlineStr">
        <x:is>
          <x:t xml:space="preserve">Standing Offer Agreement</x:t>
        </x:is>
      </x:c>
      <x:c r="K163" s="7" t="n">
        <x:v>11</x:v>
      </x:c>
      <x:c r="L163" s="6" t="inlineStr">
        <x:is>
          <x:t xml:space="preserve">m³</x:t>
        </x:is>
      </x:c>
      <x:c r="M163" s="8" t="n">
        <x:v>405.58</x:v>
      </x:c>
      <x:c r="N163" s="8" t="n">
        <x:v>381.88</x:v>
      </x:c>
      <x:c r="O163" s="8" t="n">
        <x:v>4461.38</x:v>
      </x:c>
      <x:c r="P163" s="8" t="n">
        <x:v>4200.68</x:v>
      </x:c>
      <x:c r="Q163" s="8" t="n">
        <x:v>260.7</x:v>
      </x:c>
      <x:c r="R163" s="9" t="n">
        <x:v>6.2</x:v>
      </x:c>
      <x:c r="S163" s="7" t="n">
        <x:v>72</x:v>
      </x:c>
      <x:c r="T163" s="6" t="inlineStr">
        <x:is>
          <x:t xml:space="preserve">No</x:t>
        </x:is>
      </x:c>
      <x:c r="U163" s="6" t="inlineStr">
        <x:is>
          <x:t xml:space="preserve">Partially Delivered</x:t>
        </x:is>
      </x:c>
    </x:row>
    <x:row r="164">
      <x:c r="A164" s="2" t="inlineStr">
        <x:is>
          <x:t xml:space="preserve">PO-2025-0163</x:t>
        </x:is>
      </x:c>
      <x:c r="B164" s="2" t="inlineStr">
        <x:is>
          <x:t xml:space="preserve">18/06/2025</x:t>
        </x:is>
      </x:c>
      <x:c r="C164" s="2" t="inlineStr">
        <x:is>
          <x:t xml:space="preserve">June</x:t>
        </x:is>
      </x:c>
      <x:c r="D164" s="2" t="inlineStr">
        <x:is>
          <x:t xml:space="preserve">Stampede Park Infrastructure Upgrade</x:t>
        </x:is>
      </x:c>
      <x:c r="E164" s="2" t="inlineStr">
        <x:is>
          <x:t xml:space="preserve">Calgary SW</x:t>
        </x:is>
      </x:c>
      <x:c r="F164" s="2" t="inlineStr">
        <x:is>
          <x:t xml:space="preserve">Priya Sharma</x:t>
        </x:is>
      </x:c>
      <x:c r="G164" s="2" t="inlineStr">
        <x:is>
          <x:t xml:space="preserve">Safety &amp; Temp Works</x:t>
        </x:is>
      </x:c>
      <x:c r="H164" s="2" t="inlineStr">
        <x:is>
          <x:t xml:space="preserve">Site Office Trailer</x:t>
        </x:is>
      </x:c>
      <x:c r="I164" s="2" t="inlineStr">
        <x:is>
          <x:t xml:space="preserve">Safway Alberta</x:t>
        </x:is>
      </x:c>
      <x:c r="J164" s="2" t="inlineStr">
        <x:is>
          <x:t xml:space="preserve">Standing Offer Agreement</x:t>
        </x:is>
      </x:c>
      <x:c r="K164" s="3" t="n">
        <x:v>35</x:v>
      </x:c>
      <x:c r="L164" s="2" t="inlineStr">
        <x:is>
          <x:t xml:space="preserve">lot</x:t>
        </x:is>
      </x:c>
      <x:c r="M164" s="4" t="n">
        <x:v>12850.11</x:v>
      </x:c>
      <x:c r="N164" s="4" t="n">
        <x:v>14661.25</x:v>
      </x:c>
      <x:c r="O164" s="4" t="n">
        <x:v>449753.85</x:v>
      </x:c>
      <x:c r="P164" s="4" t="n">
        <x:v>513143.75</x:v>
      </x:c>
      <x:c r="Q164" s="4" t="n">
        <x:v>-63389.9</x:v>
      </x:c>
      <x:c r="R164" s="5" t="n">
        <x:v>-12.4</x:v>
      </x:c>
      <x:c r="S164" s="3" t="n">
        <x:v>37</x:v>
      </x:c>
      <x:c r="T164" s="2" t="inlineStr">
        <x:is>
          <x:t xml:space="preserve">No</x:t>
        </x:is>
      </x:c>
      <x:c r="U164" s="2" t="inlineStr">
        <x:is>
          <x:t xml:space="preserve">Delivered</x:t>
        </x:is>
      </x:c>
    </x:row>
    <x:row r="165">
      <x:c r="A165" s="6" t="inlineStr">
        <x:is>
          <x:t xml:space="preserve">PO-2025-0164</x:t>
        </x:is>
      </x:c>
      <x:c r="B165" s="6" t="inlineStr">
        <x:is>
          <x:t xml:space="preserve">08/08/2025</x:t>
        </x:is>
      </x:c>
      <x:c r="C165" s="6" t="inlineStr">
        <x:is>
          <x:t xml:space="preserve">August</x:t>
        </x:is>
      </x:c>
      <x:c r="D165" s="6" t="inlineStr">
        <x:is>
          <x:t xml:space="preserve">Stampede Park Infrastructure Upgrade</x:t>
        </x:is>
      </x:c>
      <x:c r="E165" s="6" t="inlineStr">
        <x:is>
          <x:t xml:space="preserve">Rocky View County</x:t>
        </x:is>
      </x:c>
      <x:c r="F165" s="6" t="inlineStr">
        <x:is>
          <x:t xml:space="preserve">Aisha Nkosi</x:t>
        </x:is>
      </x:c>
      <x:c r="G165" s="6" t="inlineStr">
        <x:is>
          <x:t xml:space="preserve">MEP - Electrical</x:t>
        </x:is>
      </x:c>
      <x:c r="H165" s="6" t="inlineStr">
        <x:is>
          <x:t xml:space="preserve">Grounding System</x:t>
        </x:is>
      </x:c>
      <x:c r="I165" s="6" t="inlineStr">
        <x:is>
          <x:t xml:space="preserve">Stuart Olson Electrical</x:t>
        </x:is>
      </x:c>
      <x:c r="J165" s="6" t="inlineStr">
        <x:is>
          <x:t xml:space="preserve">LPO – Direct Award</x:t>
        </x:is>
      </x:c>
      <x:c r="K165" s="7" t="n">
        <x:v>107</x:v>
      </x:c>
      <x:c r="L165" s="6" t="inlineStr">
        <x:is>
          <x:t xml:space="preserve">lot</x:t>
        </x:is>
      </x:c>
      <x:c r="M165" s="8" t="n">
        <x:v>7122.35</x:v>
      </x:c>
      <x:c r="N165" s="8" t="n">
        <x:v>7562.61</x:v>
      </x:c>
      <x:c r="O165" s="8" t="n">
        <x:v>762091.45</x:v>
      </x:c>
      <x:c r="P165" s="8" t="n">
        <x:v>809199.27</x:v>
      </x:c>
      <x:c r="Q165" s="8" t="n">
        <x:v>-47107.82</x:v>
      </x:c>
      <x:c r="R165" s="9" t="n">
        <x:v>-5.8</x:v>
      </x:c>
      <x:c r="S165" s="7" t="n">
        <x:v>24</x:v>
      </x:c>
      <x:c r="T165" s="6" t="inlineStr">
        <x:is>
          <x:t xml:space="preserve">Yes</x:t>
        </x:is>
      </x:c>
      <x:c r="U165" s="6" t="inlineStr">
        <x:is>
          <x:t xml:space="preserve">Pending</x:t>
        </x:is>
      </x:c>
    </x:row>
    <x:row r="166">
      <x:c r="A166" s="2" t="inlineStr">
        <x:is>
          <x:t xml:space="preserve">PO-2025-0165</x:t>
        </x:is>
      </x:c>
      <x:c r="B166" s="2" t="inlineStr">
        <x:is>
          <x:t xml:space="preserve">15/06/2025</x:t>
        </x:is>
      </x:c>
      <x:c r="C166" s="2" t="inlineStr">
        <x:is>
          <x:t xml:space="preserve">June</x:t>
        </x:is>
      </x:c>
      <x:c r="D166" s="2" t="inlineStr">
        <x:is>
          <x:t xml:space="preserve">University District Residential Phase 3</x:t>
        </x:is>
      </x:c>
      <x:c r="E166" s="2" t="inlineStr">
        <x:is>
          <x:t xml:space="preserve">Calgary SW</x:t>
        </x:is>
      </x:c>
      <x:c r="F166" s="2" t="inlineStr">
        <x:is>
          <x:t xml:space="preserve">Liam Kowalski</x:t>
        </x:is>
      </x:c>
      <x:c r="G166" s="2" t="inlineStr">
        <x:is>
          <x:t xml:space="preserve">Safety &amp; Temp Works</x:t>
        </x:is>
      </x:c>
      <x:c r="H166" s="2" t="inlineStr">
        <x:is>
          <x:t xml:space="preserve">Site Hoarding &amp; Fencing</x:t>
        </x:is>
      </x:c>
      <x:c r="I166" s="2" t="inlineStr">
        <x:is>
          <x:t xml:space="preserve">Levitt-Safety Calgary</x:t>
        </x:is>
      </x:c>
      <x:c r="J166" s="2" t="inlineStr">
        <x:is>
          <x:t xml:space="preserve">Tender – Open</x:t>
        </x:is>
      </x:c>
      <x:c r="K166" s="3" t="n">
        <x:v>30</x:v>
      </x:c>
      <x:c r="L166" s="2" t="inlineStr">
        <x:is>
          <x:t xml:space="preserve">lot</x:t>
        </x:is>
      </x:c>
      <x:c r="M166" s="4" t="n">
        <x:v>7768.35</x:v>
      </x:c>
      <x:c r="N166" s="4" t="n">
        <x:v>8215.43</x:v>
      </x:c>
      <x:c r="O166" s="4" t="n">
        <x:v>233050.5</x:v>
      </x:c>
      <x:c r="P166" s="4" t="n">
        <x:v>246462.9</x:v>
      </x:c>
      <x:c r="Q166" s="4" t="n">
        <x:v>-13412.4</x:v>
      </x:c>
      <x:c r="R166" s="5" t="n">
        <x:v>-5.4</x:v>
      </x:c>
      <x:c r="S166" s="3" t="n">
        <x:v>71</x:v>
      </x:c>
      <x:c r="T166" s="2" t="inlineStr">
        <x:is>
          <x:t xml:space="preserve">Yes</x:t>
        </x:is>
      </x:c>
      <x:c r="U166" s="2" t="inlineStr">
        <x:is>
          <x:t xml:space="preserve">Delivered</x:t>
        </x:is>
      </x:c>
    </x:row>
    <x:row r="167">
      <x:c r="A167" s="6" t="inlineStr">
        <x:is>
          <x:t xml:space="preserve">PO-2025-0166</x:t>
        </x:is>
      </x:c>
      <x:c r="B167" s="6" t="inlineStr">
        <x:is>
          <x:t xml:space="preserve">11/07/2025</x:t>
        </x:is>
      </x:c>
      <x:c r="C167" s="6" t="inlineStr">
        <x:is>
          <x:t xml:space="preserve">July</x:t>
        </x:is>
      </x:c>
      <x:c r="D167" s="6" t="inlineStr">
        <x:is>
          <x:t xml:space="preserve">University District Residential Phase 3</x:t>
        </x:is>
      </x:c>
      <x:c r="E167" s="6" t="inlineStr">
        <x:is>
          <x:t xml:space="preserve">Calgary NE</x:t>
        </x:is>
      </x:c>
      <x:c r="F167" s="6" t="inlineStr">
        <x:is>
          <x:t xml:space="preserve">Sarah Bouchard</x:t>
        </x:is>
      </x:c>
      <x:c r="G167" s="6" t="inlineStr">
        <x:is>
          <x:t xml:space="preserve">Concrete &amp; Structural</x:t>
        </x:is>
      </x:c>
      <x:c r="H167" s="6" t="inlineStr">
        <x:is>
          <x:t xml:space="preserve">Post-Tension Cables</x:t>
        </x:is>
      </x:c>
      <x:c r="I167" s="6" t="inlineStr">
        <x:is>
          <x:t xml:space="preserve">Alberta Precast</x:t>
        </x:is>
      </x:c>
      <x:c r="J167" s="6" t="inlineStr">
        <x:is>
          <x:t xml:space="preserve">Tender – Open</x:t>
        </x:is>
      </x:c>
      <x:c r="K167" s="7" t="n">
        <x:v>89</x:v>
      </x:c>
      <x:c r="L167" s="6" t="inlineStr">
        <x:is>
          <x:t xml:space="preserve">m³</x:t>
        </x:is>
      </x:c>
      <x:c r="M167" s="8" t="n">
        <x:v>662.77</x:v>
      </x:c>
      <x:c r="N167" s="8" t="n">
        <x:v>662.89</x:v>
      </x:c>
      <x:c r="O167" s="8" t="n">
        <x:v>58986.53</x:v>
      </x:c>
      <x:c r="P167" s="8" t="n">
        <x:v>58997.21</x:v>
      </x:c>
      <x:c r="Q167" s="8" t="n">
        <x:v>-10.68</x:v>
      </x:c>
      <x:c r="R167" s="9" t="n">
        <x:v>-0</x:v>
      </x:c>
      <x:c r="S167" s="7" t="n">
        <x:v>42</x:v>
      </x:c>
      <x:c r="T167" s="6" t="inlineStr">
        <x:is>
          <x:t xml:space="preserve">No</x:t>
        </x:is>
      </x:c>
      <x:c r="U167" s="6" t="inlineStr">
        <x:is>
          <x:t xml:space="preserve">Pending</x:t>
        </x:is>
      </x:c>
    </x:row>
    <x:row r="168">
      <x:c r="A168" s="2" t="inlineStr">
        <x:is>
          <x:t xml:space="preserve">PO-2025-0167</x:t>
        </x:is>
      </x:c>
      <x:c r="B168" s="2" t="inlineStr">
        <x:is>
          <x:t xml:space="preserve">29/01/2025</x:t>
        </x:is>
      </x:c>
      <x:c r="C168" s="2" t="inlineStr">
        <x:is>
          <x:t xml:space="preserve">January</x:t>
        </x:is>
      </x:c>
      <x:c r="D168" s="2" t="inlineStr">
        <x:is>
          <x:t xml:space="preserve">Rocky View Industrial Logistics Hub</x:t>
        </x:is>
      </x:c>
      <x:c r="E168" s="2" t="inlineStr">
        <x:is>
          <x:t xml:space="preserve">Calgary SW</x:t>
        </x:is>
      </x:c>
      <x:c r="F168" s="2" t="inlineStr">
        <x:is>
          <x:t xml:space="preserve">Liam Kowalski</x:t>
        </x:is>
      </x:c>
      <x:c r="G168" s="2" t="inlineStr">
        <x:is>
          <x:t xml:space="preserve">Civil Works</x:t>
        </x:is>
      </x:c>
      <x:c r="H168" s="2" t="inlineStr">
        <x:is>
          <x:t xml:space="preserve">Bulk Excavation</x:t>
        </x:is>
      </x:c>
      <x:c r="I168" s="2" t="inlineStr">
        <x:is>
          <x:t xml:space="preserve">Kiewit Infrastructure</x:t>
        </x:is>
      </x:c>
      <x:c r="J168" s="2" t="inlineStr">
        <x:is>
          <x:t xml:space="preserve">LPO – Direct Award</x:t>
        </x:is>
      </x:c>
      <x:c r="K168" s="3" t="n">
        <x:v>76</x:v>
      </x:c>
      <x:c r="L168" s="2" t="inlineStr">
        <x:is>
          <x:t xml:space="preserve">m³</x:t>
        </x:is>
      </x:c>
      <x:c r="M168" s="4" t="n">
        <x:v>109.39</x:v>
      </x:c>
      <x:c r="N168" s="4" t="n">
        <x:v>105.3</x:v>
      </x:c>
      <x:c r="O168" s="4" t="n">
        <x:v>8313.639999999999</x:v>
      </x:c>
      <x:c r="P168" s="4" t="n">
        <x:v>8002.8</x:v>
      </x:c>
      <x:c r="Q168" s="4" t="n">
        <x:v>310.84</x:v>
      </x:c>
      <x:c r="R168" s="5" t="n">
        <x:v>3.9</x:v>
      </x:c>
      <x:c r="S168" s="3" t="n">
        <x:v>58</x:v>
      </x:c>
      <x:c r="T168" s="2" t="inlineStr">
        <x:is>
          <x:t xml:space="preserve">Yes</x:t>
        </x:is>
      </x:c>
      <x:c r="U168" s="2" t="inlineStr">
        <x:is>
          <x:t xml:space="preserve">Delivered</x:t>
        </x:is>
      </x:c>
    </x:row>
    <x:row r="169">
      <x:c r="A169" s="6" t="inlineStr">
        <x:is>
          <x:t xml:space="preserve">PO-2025-0168</x:t>
        </x:is>
      </x:c>
      <x:c r="B169" s="6" t="inlineStr">
        <x:is>
          <x:t xml:space="preserve">25/07/2025</x:t>
        </x:is>
      </x:c>
      <x:c r="C169" s="6" t="inlineStr">
        <x:is>
          <x:t xml:space="preserve">July</x:t>
        </x:is>
      </x:c>
      <x:c r="D169" s="6" t="inlineStr">
        <x:is>
          <x:t xml:space="preserve">Calgary SE Ring Road Extension</x:t>
        </x:is>
      </x:c>
      <x:c r="E169" s="6" t="inlineStr">
        <x:is>
          <x:t xml:space="preserve">Calgary SE</x:t>
        </x:is>
      </x:c>
      <x:c r="F169" s="6" t="inlineStr">
        <x:is>
          <x:t xml:space="preserve">Derek McLean</x:t>
        </x:is>
      </x:c>
      <x:c r="G169" s="6" t="inlineStr">
        <x:is>
          <x:t xml:space="preserve">Finishing</x:t>
        </x:is>
      </x:c>
      <x:c r="H169" s="6" t="inlineStr">
        <x:is>
          <x:t xml:space="preserve">Ceramic Floor Tile</x:t>
        </x:is>
      </x:c>
      <x:c r="I169" s="6" t="inlineStr">
        <x:is>
          <x:t xml:space="preserve">Centura Tile Calgary</x:t>
        </x:is>
      </x:c>
      <x:c r="J169" s="6" t="inlineStr">
        <x:is>
          <x:t xml:space="preserve">3-Quote Comparison</x:t>
        </x:is>
      </x:c>
      <x:c r="K169" s="7" t="n">
        <x:v>43</x:v>
      </x:c>
      <x:c r="L169" s="6" t="inlineStr">
        <x:is>
          <x:t xml:space="preserve">m²</x:t>
        </x:is>
      </x:c>
      <x:c r="M169" s="8" t="n">
        <x:v>392.61</x:v>
      </x:c>
      <x:c r="N169" s="8" t="n">
        <x:v>342.5</x:v>
      </x:c>
      <x:c r="O169" s="8" t="n">
        <x:v>16882.23</x:v>
      </x:c>
      <x:c r="P169" s="8" t="n">
        <x:v>14727.5</x:v>
      </x:c>
      <x:c r="Q169" s="8" t="n">
        <x:v>2154.73</x:v>
      </x:c>
      <x:c r="R169" s="9" t="n">
        <x:v>14.6</x:v>
      </x:c>
      <x:c r="S169" s="7" t="n">
        <x:v>23</x:v>
      </x:c>
      <x:c r="T169" s="6" t="inlineStr">
        <x:is>
          <x:t xml:space="preserve">Yes</x:t>
        </x:is>
      </x:c>
      <x:c r="U169" s="6" t="inlineStr">
        <x:is>
          <x:t xml:space="preserve">Delivered</x:t>
        </x:is>
      </x:c>
    </x:row>
    <x:row r="170">
      <x:c r="A170" s="2" t="inlineStr">
        <x:is>
          <x:t xml:space="preserve">PO-2025-0169</x:t>
        </x:is>
      </x:c>
      <x:c r="B170" s="2" t="inlineStr">
        <x:is>
          <x:t xml:space="preserve">25/11/2025</x:t>
        </x:is>
      </x:c>
      <x:c r="C170" s="2" t="inlineStr">
        <x:is>
          <x:t xml:space="preserve">November</x:t>
        </x:is>
      </x:c>
      <x:c r="D170" s="2" t="inlineStr">
        <x:is>
          <x:t xml:space="preserve">Quarry Park Mixed-Use Development</x:t>
        </x:is>
      </x:c>
      <x:c r="E170" s="2" t="inlineStr">
        <x:is>
          <x:t xml:space="preserve">Calgary NE</x:t>
        </x:is>
      </x:c>
      <x:c r="F170" s="2" t="inlineStr">
        <x:is>
          <x:t xml:space="preserve">Priya Sharma</x:t>
        </x:is>
      </x:c>
      <x:c r="G170" s="2" t="inlineStr">
        <x:is>
          <x:t xml:space="preserve">Civil Works</x:t>
        </x:is>
      </x:c>
      <x:c r="H170" s="2" t="inlineStr">
        <x:is>
          <x:t xml:space="preserve">Bulk Excavation</x:t>
        </x:is>
      </x:c>
      <x:c r="I170" s="2" t="inlineStr">
        <x:is>
          <x:t xml:space="preserve">EllisDon Civil</x:t>
        </x:is>
      </x:c>
      <x:c r="J170" s="2" t="inlineStr">
        <x:is>
          <x:t xml:space="preserve">Emergency Procurement</x:t>
        </x:is>
      </x:c>
      <x:c r="K170" s="3" t="n">
        <x:v>44</x:v>
      </x:c>
      <x:c r="L170" s="2" t="inlineStr">
        <x:is>
          <x:t xml:space="preserve">m³</x:t>
        </x:is>
      </x:c>
      <x:c r="M170" s="4" t="n">
        <x:v>90.31999999999999</x:v>
      </x:c>
      <x:c r="N170" s="4" t="n">
        <x:v>99.59999999999999</x:v>
      </x:c>
      <x:c r="O170" s="4" t="n">
        <x:v>3974.08</x:v>
      </x:c>
      <x:c r="P170" s="4" t="n">
        <x:v>4382.4</x:v>
      </x:c>
      <x:c r="Q170" s="4" t="n">
        <x:v>-408.32</x:v>
      </x:c>
      <x:c r="R170" s="5" t="n">
        <x:v>-9.300000000000001</x:v>
      </x:c>
      <x:c r="S170" s="3" t="n">
        <x:v>6</x:v>
      </x:c>
      <x:c r="T170" s="2" t="inlineStr">
        <x:is>
          <x:t xml:space="preserve">Yes</x:t>
        </x:is>
      </x:c>
      <x:c r="U170" s="2" t="inlineStr">
        <x:is>
          <x:t xml:space="preserve">Cancelled</x:t>
        </x:is>
      </x:c>
    </x:row>
    <x:row r="171">
      <x:c r="A171" s="6" t="inlineStr">
        <x:is>
          <x:t xml:space="preserve">PO-2025-0170</x:t>
        </x:is>
      </x:c>
      <x:c r="B171" s="6" t="inlineStr">
        <x:is>
          <x:t xml:space="preserve">19/04/2025</x:t>
        </x:is>
      </x:c>
      <x:c r="C171" s="6" t="inlineStr">
        <x:is>
          <x:t xml:space="preserve">April</x:t>
        </x:is>
      </x:c>
      <x:c r="D171" s="6" t="inlineStr">
        <x:is>
          <x:t xml:space="preserve">Springbank Off-Stream Reservoir</x:t>
        </x:is>
      </x:c>
      <x:c r="E171" s="6" t="inlineStr">
        <x:is>
          <x:t xml:space="preserve">Calgary NE</x:t>
        </x:is>
      </x:c>
      <x:c r="F171" s="6" t="inlineStr">
        <x:is>
          <x:t xml:space="preserve">Linda Tran</x:t>
        </x:is>
      </x:c>
      <x:c r="G171" s="6" t="inlineStr">
        <x:is>
          <x:t xml:space="preserve">Safety &amp; Temp Works</x:t>
        </x:is>
      </x:c>
      <x:c r="H171" s="6" t="inlineStr">
        <x:is>
          <x:t xml:space="preserve">PPE Bulk Supply</x:t>
        </x:is>
      </x:c>
      <x:c r="I171" s="6" t="inlineStr">
        <x:is>
          <x:t xml:space="preserve">Sunbelt Rentals Canada</x:t>
        </x:is>
      </x:c>
      <x:c r="J171" s="6" t="inlineStr">
        <x:is>
          <x:t xml:space="preserve">LPO – Direct Award</x:t>
        </x:is>
      </x:c>
      <x:c r="K171" s="7" t="n">
        <x:v>11</x:v>
      </x:c>
      <x:c r="L171" s="6" t="inlineStr">
        <x:is>
          <x:t xml:space="preserve">lot</x:t>
        </x:is>
      </x:c>
      <x:c r="M171" s="8" t="n">
        <x:v>4194.39</x:v>
      </x:c>
      <x:c r="N171" s="8" t="n">
        <x:v>4309.31</x:v>
      </x:c>
      <x:c r="O171" s="8" t="n">
        <x:v>46138.29</x:v>
      </x:c>
      <x:c r="P171" s="8" t="n">
        <x:v>47402.41</x:v>
      </x:c>
      <x:c r="Q171" s="8" t="n">
        <x:v>-1264.12</x:v>
      </x:c>
      <x:c r="R171" s="9" t="n">
        <x:v>-2.7</x:v>
      </x:c>
      <x:c r="S171" s="7" t="n">
        <x:v>21</x:v>
      </x:c>
      <x:c r="T171" s="6" t="inlineStr">
        <x:is>
          <x:t xml:space="preserve">Yes</x:t>
        </x:is>
      </x:c>
      <x:c r="U171" s="6" t="inlineStr">
        <x:is>
          <x:t xml:space="preserve">Partially Delivered</x:t>
        </x:is>
      </x:c>
    </x:row>
    <x:row r="172">
      <x:c r="A172" s="2" t="inlineStr">
        <x:is>
          <x:t xml:space="preserve">PO-2025-0171</x:t>
        </x:is>
      </x:c>
      <x:c r="B172" s="2" t="inlineStr">
        <x:is>
          <x:t xml:space="preserve">12/08/2025</x:t>
        </x:is>
      </x:c>
      <x:c r="C172" s="2" t="inlineStr">
        <x:is>
          <x:t xml:space="preserve">August</x:t>
        </x:is>
      </x:c>
      <x:c r="D172" s="2" t="inlineStr">
        <x:is>
          <x:t xml:space="preserve">Calgary SE Ring Road Extension</x:t>
        </x:is>
      </x:c>
      <x:c r="E172" s="2" t="inlineStr">
        <x:is>
          <x:t xml:space="preserve">Rocky View County</x:t>
        </x:is>
      </x:c>
      <x:c r="F172" s="2" t="inlineStr">
        <x:is>
          <x:t xml:space="preserve">Linda Tran</x:t>
        </x:is>
      </x:c>
      <x:c r="G172" s="2" t="inlineStr">
        <x:is>
          <x:t xml:space="preserve">MEP - Electrical</x:t>
        </x:is>
      </x:c>
      <x:c r="H172" s="2" t="inlineStr">
        <x:is>
          <x:t xml:space="preserve">MV Distribution Cable</x:t>
        </x:is>
      </x:c>
      <x:c r="I172" s="2" t="inlineStr">
        <x:is>
          <x:t xml:space="preserve">Schneider Electric Canada</x:t>
        </x:is>
      </x:c>
      <x:c r="J172" s="2" t="inlineStr">
        <x:is>
          <x:t xml:space="preserve">Emergency Procurement</x:t>
        </x:is>
      </x:c>
      <x:c r="K172" s="3" t="n">
        <x:v>90</x:v>
      </x:c>
      <x:c r="L172" s="2" t="inlineStr">
        <x:is>
          <x:t xml:space="preserve">lot</x:t>
        </x:is>
      </x:c>
      <x:c r="M172" s="4" t="n">
        <x:v>64884.05</x:v>
      </x:c>
      <x:c r="N172" s="4" t="n">
        <x:v>58719.33</x:v>
      </x:c>
      <x:c r="O172" s="4" t="n">
        <x:v>5839564.5</x:v>
      </x:c>
      <x:c r="P172" s="4" t="n">
        <x:v>5284739.7</x:v>
      </x:c>
      <x:c r="Q172" s="4" t="n">
        <x:v>554824.8</x:v>
      </x:c>
      <x:c r="R172" s="5" t="n">
        <x:v>10.5</x:v>
      </x:c>
      <x:c r="S172" s="3" t="n">
        <x:v>43</x:v>
      </x:c>
      <x:c r="T172" s="2" t="inlineStr">
        <x:is>
          <x:t xml:space="preserve">Yes</x:t>
        </x:is>
      </x:c>
      <x:c r="U172" s="2" t="inlineStr">
        <x:is>
          <x:t xml:space="preserve">Cancelled</x:t>
        </x:is>
      </x:c>
    </x:row>
    <x:row r="173">
      <x:c r="A173" s="6" t="inlineStr">
        <x:is>
          <x:t xml:space="preserve">PO-2025-0172</x:t>
        </x:is>
      </x:c>
      <x:c r="B173" s="6" t="inlineStr">
        <x:is>
          <x:t xml:space="preserve">14/10/2025</x:t>
        </x:is>
      </x:c>
      <x:c r="C173" s="6" t="inlineStr">
        <x:is>
          <x:t xml:space="preserve">October</x:t>
        </x:is>
      </x:c>
      <x:c r="D173" s="6" t="inlineStr">
        <x:is>
          <x:t xml:space="preserve">Calgary SE Ring Road Extension</x:t>
        </x:is>
      </x:c>
      <x:c r="E173" s="6" t="inlineStr">
        <x:is>
          <x:t xml:space="preserve">Calgary SW</x:t>
        </x:is>
      </x:c>
      <x:c r="F173" s="6" t="inlineStr">
        <x:is>
          <x:t xml:space="preserve">James Okafor</x:t>
        </x:is>
      </x:c>
      <x:c r="G173" s="6" t="inlineStr">
        <x:is>
          <x:t xml:space="preserve">Concrete &amp; Structural</x:t>
        </x:is>
      </x:c>
      <x:c r="H173" s="6" t="inlineStr">
        <x:is>
          <x:t xml:space="preserve">Structural Formwork</x:t>
        </x:is>
      </x:c>
      <x:c r="I173" s="6" t="inlineStr">
        <x:is>
          <x:t xml:space="preserve">Alberta Precast</x:t>
        </x:is>
      </x:c>
      <x:c r="J173" s="6" t="inlineStr">
        <x:is>
          <x:t xml:space="preserve">LPO – Direct Award</x:t>
        </x:is>
      </x:c>
      <x:c r="K173" s="7" t="n">
        <x:v>36</x:v>
      </x:c>
      <x:c r="L173" s="6" t="inlineStr">
        <x:is>
          <x:t xml:space="preserve">m³</x:t>
        </x:is>
      </x:c>
      <x:c r="M173" s="8" t="n">
        <x:v>282.88</x:v>
      </x:c>
      <x:c r="N173" s="8" t="n">
        <x:v>294.06</x:v>
      </x:c>
      <x:c r="O173" s="8" t="n">
        <x:v>10183.68</x:v>
      </x:c>
      <x:c r="P173" s="8" t="n">
        <x:v>10586.16</x:v>
      </x:c>
      <x:c r="Q173" s="8" t="n">
        <x:v>-402.48</x:v>
      </x:c>
      <x:c r="R173" s="9" t="n">
        <x:v>-3.8</x:v>
      </x:c>
      <x:c r="S173" s="7" t="n">
        <x:v>8</x:v>
      </x:c>
      <x:c r="T173" s="6" t="inlineStr">
        <x:is>
          <x:t xml:space="preserve">Yes</x:t>
        </x:is>
      </x:c>
      <x:c r="U173" s="6" t="inlineStr">
        <x:is>
          <x:t xml:space="preserve">Partially Delivered</x:t>
        </x:is>
      </x:c>
    </x:row>
    <x:row r="174">
      <x:c r="A174" s="2" t="inlineStr">
        <x:is>
          <x:t xml:space="preserve">PO-2025-0173</x:t>
        </x:is>
      </x:c>
      <x:c r="B174" s="2" t="inlineStr">
        <x:is>
          <x:t xml:space="preserve">13/04/2025</x:t>
        </x:is>
      </x:c>
      <x:c r="C174" s="2" t="inlineStr">
        <x:is>
          <x:t xml:space="preserve">April</x:t>
        </x:is>
      </x:c>
      <x:c r="D174" s="2" t="inlineStr">
        <x:is>
          <x:t xml:space="preserve">Stampede Park Infrastructure Upgrade</x:t>
        </x:is>
      </x:c>
      <x:c r="E174" s="2" t="inlineStr">
        <x:is>
          <x:t xml:space="preserve">Rocky View County</x:t>
        </x:is>
      </x:c>
      <x:c r="F174" s="2" t="inlineStr">
        <x:is>
          <x:t xml:space="preserve">Priya Sharma</x:t>
        </x:is>
      </x:c>
      <x:c r="G174" s="2" t="inlineStr">
        <x:is>
          <x:t xml:space="preserve">Civil Works</x:t>
        </x:is>
      </x:c>
      <x:c r="H174" s="2" t="inlineStr">
        <x:is>
          <x:t xml:space="preserve">Curb &amp; Gutter Concrete</x:t>
        </x:is>
      </x:c>
      <x:c r="I174" s="2" t="inlineStr">
        <x:is>
          <x:t xml:space="preserve">EllisDon Civil</x:t>
        </x:is>
      </x:c>
      <x:c r="J174" s="2" t="inlineStr">
        <x:is>
          <x:t xml:space="preserve">Emergency Procurement</x:t>
        </x:is>
      </x:c>
      <x:c r="K174" s="3" t="n">
        <x:v>22</x:v>
      </x:c>
      <x:c r="L174" s="2" t="inlineStr">
        <x:is>
          <x:t xml:space="preserve">m³</x:t>
        </x:is>
      </x:c>
      <x:c r="M174" s="4" t="n">
        <x:v>244.3</x:v>
      </x:c>
      <x:c r="N174" s="4" t="n">
        <x:v>281.86</x:v>
      </x:c>
      <x:c r="O174" s="4" t="n">
        <x:v>5374.6</x:v>
      </x:c>
      <x:c r="P174" s="4" t="n">
        <x:v>6200.92</x:v>
      </x:c>
      <x:c r="Q174" s="4" t="n">
        <x:v>-826.3200000000001</x:v>
      </x:c>
      <x:c r="R174" s="5" t="n">
        <x:v>-13.3</x:v>
      </x:c>
      <x:c r="S174" s="3" t="n">
        <x:v>45</x:v>
      </x:c>
      <x:c r="T174" s="2" t="inlineStr">
        <x:is>
          <x:t xml:space="preserve">No</x:t>
        </x:is>
      </x:c>
      <x:c r="U174" s="2" t="inlineStr">
        <x:is>
          <x:t xml:space="preserve">Delivered</x:t>
        </x:is>
      </x:c>
    </x:row>
    <x:row r="175">
      <x:c r="A175" s="6" t="inlineStr">
        <x:is>
          <x:t xml:space="preserve">PO-2025-0174</x:t>
        </x:is>
      </x:c>
      <x:c r="B175" s="6" t="inlineStr">
        <x:is>
          <x:t xml:space="preserve">25/03/2025</x:t>
        </x:is>
      </x:c>
      <x:c r="C175" s="6" t="inlineStr">
        <x:is>
          <x:t xml:space="preserve">March</x:t>
        </x:is>
      </x:c>
      <x:c r="D175" s="6" t="inlineStr">
        <x:is>
          <x:t xml:space="preserve">Rocky View Industrial Logistics Hub</x:t>
        </x:is>
      </x:c>
      <x:c r="E175" s="6" t="inlineStr">
        <x:is>
          <x:t xml:space="preserve">Rocky View County</x:t>
        </x:is>
      </x:c>
      <x:c r="F175" s="6" t="inlineStr">
        <x:is>
          <x:t xml:space="preserve">Aisha Nkosi</x:t>
        </x:is>
      </x:c>
      <x:c r="G175" s="6" t="inlineStr">
        <x:is>
          <x:t xml:space="preserve">Finishing</x:t>
        </x:is>
      </x:c>
      <x:c r="H175" s="6" t="inlineStr">
        <x:is>
          <x:t xml:space="preserve">Waterproofing Membrane</x:t>
        </x:is>
      </x:c>
      <x:c r="I175" s="6" t="inlineStr">
        <x:is>
          <x:t xml:space="preserve">Dryvit Systems Canada</x:t>
        </x:is>
      </x:c>
      <x:c r="J175" s="6" t="inlineStr">
        <x:is>
          <x:t xml:space="preserve">Emergency Procurement</x:t>
        </x:is>
      </x:c>
      <x:c r="K175" s="7" t="n">
        <x:v>60</x:v>
      </x:c>
      <x:c r="L175" s="6" t="inlineStr">
        <x:is>
          <x:t xml:space="preserve">m²</x:t>
        </x:is>
      </x:c>
      <x:c r="M175" s="8" t="n">
        <x:v>295.52</x:v>
      </x:c>
      <x:c r="N175" s="8" t="n">
        <x:v>294.38</x:v>
      </x:c>
      <x:c r="O175" s="8" t="n">
        <x:v>17731.2</x:v>
      </x:c>
      <x:c r="P175" s="8" t="n">
        <x:v>17662.8</x:v>
      </x:c>
      <x:c r="Q175" s="8" t="n">
        <x:v>68.40000000000001</x:v>
      </x:c>
      <x:c r="R175" s="9" t="n">
        <x:v>0.4</x:v>
      </x:c>
      <x:c r="S175" s="7" t="n">
        <x:v>78</x:v>
      </x:c>
      <x:c r="T175" s="6" t="inlineStr">
        <x:is>
          <x:t xml:space="preserve">No</x:t>
        </x:is>
      </x:c>
      <x:c r="U175" s="6" t="inlineStr">
        <x:is>
          <x:t xml:space="preserve">Cancelled</x:t>
        </x:is>
      </x:c>
    </x:row>
    <x:row r="176">
      <x:c r="A176" s="2" t="inlineStr">
        <x:is>
          <x:t xml:space="preserve">PO-2025-0175</x:t>
        </x:is>
      </x:c>
      <x:c r="B176" s="2" t="inlineStr">
        <x:is>
          <x:t xml:space="preserve">22/07/2025</x:t>
        </x:is>
      </x:c>
      <x:c r="C176" s="2" t="inlineStr">
        <x:is>
          <x:t xml:space="preserve">July</x:t>
        </x:is>
      </x:c>
      <x:c r="D176" s="2" t="inlineStr">
        <x:is>
          <x:t xml:space="preserve">Rocky View Industrial Logistics Hub</x:t>
        </x:is>
      </x:c>
      <x:c r="E176" s="2" t="inlineStr">
        <x:is>
          <x:t xml:space="preserve">Calgary NE</x:t>
        </x:is>
      </x:c>
      <x:c r="F176" s="2" t="inlineStr">
        <x:is>
          <x:t xml:space="preserve">Mohammed Siddiqui</x:t>
        </x:is>
      </x:c>
      <x:c r="G176" s="2" t="inlineStr">
        <x:is>
          <x:t xml:space="preserve">Safety &amp; Temp Works</x:t>
        </x:is>
      </x:c>
      <x:c r="H176" s="2" t="inlineStr">
        <x:is>
          <x:t xml:space="preserve">PPE Bulk Supply</x:t>
        </x:is>
      </x:c>
      <x:c r="I176" s="2" t="inlineStr">
        <x:is>
          <x:t xml:space="preserve">Safway Alberta</x:t>
        </x:is>
      </x:c>
      <x:c r="J176" s="2" t="inlineStr">
        <x:is>
          <x:t xml:space="preserve">Tender – Open</x:t>
        </x:is>
      </x:c>
      <x:c r="K176" s="3" t="n">
        <x:v>74</x:v>
      </x:c>
      <x:c r="L176" s="2" t="inlineStr">
        <x:is>
          <x:t xml:space="preserve">lot</x:t>
        </x:is>
      </x:c>
      <x:c r="M176" s="4" t="n">
        <x:v>14850.82</x:v>
      </x:c>
      <x:c r="N176" s="4" t="n">
        <x:v>13026.34</x:v>
      </x:c>
      <x:c r="O176" s="4" t="n">
        <x:v>1098960.68</x:v>
      </x:c>
      <x:c r="P176" s="4" t="n">
        <x:v>963949.16</x:v>
      </x:c>
      <x:c r="Q176" s="4" t="n">
        <x:v>135011.52</x:v>
      </x:c>
      <x:c r="R176" s="5" t="n">
        <x:v>14</x:v>
      </x:c>
      <x:c r="S176" s="3" t="n">
        <x:v>12</x:v>
      </x:c>
      <x:c r="T176" s="2" t="inlineStr">
        <x:is>
          <x:t xml:space="preserve">Yes</x:t>
        </x:is>
      </x:c>
      <x:c r="U176" s="2" t="inlineStr">
        <x:is>
          <x:t xml:space="preserve">Delivered</x:t>
        </x:is>
      </x:c>
    </x:row>
    <x:row r="177">
      <x:c r="A177" s="6" t="inlineStr">
        <x:is>
          <x:t xml:space="preserve">PO-2025-0176</x:t>
        </x:is>
      </x:c>
      <x:c r="B177" s="6" t="inlineStr">
        <x:is>
          <x:t xml:space="preserve">13/07/2025</x:t>
        </x:is>
      </x:c>
      <x:c r="C177" s="6" t="inlineStr">
        <x:is>
          <x:t xml:space="preserve">July</x:t>
        </x:is>
      </x:c>
      <x:c r="D177" s="6" t="inlineStr">
        <x:is>
          <x:t xml:space="preserve">Foothills Medical Centre Expansion</x:t>
        </x:is>
      </x:c>
      <x:c r="E177" s="6" t="inlineStr">
        <x:is>
          <x:t xml:space="preserve">Calgary SW</x:t>
        </x:is>
      </x:c>
      <x:c r="F177" s="6" t="inlineStr">
        <x:is>
          <x:t xml:space="preserve">James Okafor</x:t>
        </x:is>
      </x:c>
      <x:c r="G177" s="6" t="inlineStr">
        <x:is>
          <x:t xml:space="preserve">Civil Works</x:t>
        </x:is>
      </x:c>
      <x:c r="H177" s="6" t="inlineStr">
        <x:is>
          <x:t xml:space="preserve">Storm Drainage Pipe</x:t>
        </x:is>
      </x:c>
      <x:c r="I177" s="6" t="inlineStr">
        <x:is>
          <x:t xml:space="preserve">Ledcor Civil Alberta</x:t>
        </x:is>
      </x:c>
      <x:c r="J177" s="6" t="inlineStr">
        <x:is>
          <x:t xml:space="preserve">Standing Offer Agreement</x:t>
        </x:is>
      </x:c>
      <x:c r="K177" s="7" t="n">
        <x:v>59</x:v>
      </x:c>
      <x:c r="L177" s="6" t="inlineStr">
        <x:is>
          <x:t xml:space="preserve">m³</x:t>
        </x:is>
      </x:c>
      <x:c r="M177" s="8" t="n">
        <x:v>286.96</x:v>
      </x:c>
      <x:c r="N177" s="8" t="n">
        <x:v>288.96</x:v>
      </x:c>
      <x:c r="O177" s="8" t="n">
        <x:v>16930.64</x:v>
      </x:c>
      <x:c r="P177" s="8" t="n">
        <x:v>17048.64</x:v>
      </x:c>
      <x:c r="Q177" s="8" t="n">
        <x:v>-118</x:v>
      </x:c>
      <x:c r="R177" s="9" t="n">
        <x:v>-0.7</x:v>
      </x:c>
      <x:c r="S177" s="7" t="n">
        <x:v>19</x:v>
      </x:c>
      <x:c r="T177" s="6" t="inlineStr">
        <x:is>
          <x:t xml:space="preserve">No</x:t>
        </x:is>
      </x:c>
      <x:c r="U177" s="6" t="inlineStr">
        <x:is>
          <x:t xml:space="preserve">Pending</x:t>
        </x:is>
      </x:c>
    </x:row>
    <x:row r="178">
      <x:c r="A178" s="2" t="inlineStr">
        <x:is>
          <x:t xml:space="preserve">PO-2025-0177</x:t>
        </x:is>
      </x:c>
      <x:c r="B178" s="2" t="inlineStr">
        <x:is>
          <x:t xml:space="preserve">22/02/2025</x:t>
        </x:is>
      </x:c>
      <x:c r="C178" s="2" t="inlineStr">
        <x:is>
          <x:t xml:space="preserve">February</x:t>
        </x:is>
      </x:c>
      <x:c r="D178" s="2" t="inlineStr">
        <x:is>
          <x:t xml:space="preserve">Quarry Park Mixed-Use Development</x:t>
        </x:is>
      </x:c>
      <x:c r="E178" s="2" t="inlineStr">
        <x:is>
          <x:t xml:space="preserve">Calgary SW</x:t>
        </x:is>
      </x:c>
      <x:c r="F178" s="2" t="inlineStr">
        <x:is>
          <x:t xml:space="preserve">Aisha Nkosi</x:t>
        </x:is>
      </x:c>
      <x:c r="G178" s="2" t="inlineStr">
        <x:is>
          <x:t xml:space="preserve">Concrete &amp; Structural</x:t>
        </x:is>
      </x:c>
      <x:c r="H178" s="2" t="inlineStr">
        <x:is>
          <x:t xml:space="preserve">Rebar Steel</x:t>
        </x:is>
      </x:c>
      <x:c r="I178" s="2" t="inlineStr">
        <x:is>
          <x:t xml:space="preserve">Inland Concrete</x:t>
        </x:is>
      </x:c>
      <x:c r="J178" s="2" t="inlineStr">
        <x:is>
          <x:t xml:space="preserve">Tender – Open</x:t>
        </x:is>
      </x:c>
      <x:c r="K178" s="3" t="n">
        <x:v>58</x:v>
      </x:c>
      <x:c r="L178" s="2" t="inlineStr">
        <x:is>
          <x:t xml:space="preserve">m³</x:t>
        </x:is>
      </x:c>
      <x:c r="M178" s="4" t="n">
        <x:v>440.1</x:v>
      </x:c>
      <x:c r="N178" s="4" t="n">
        <x:v>537.5</x:v>
      </x:c>
      <x:c r="O178" s="4" t="n">
        <x:v>25525.8</x:v>
      </x:c>
      <x:c r="P178" s="4" t="n">
        <x:v>31175</x:v>
      </x:c>
      <x:c r="Q178" s="4" t="n">
        <x:v>-5649.2</x:v>
      </x:c>
      <x:c r="R178" s="5" t="n">
        <x:v>-18.1</x:v>
      </x:c>
      <x:c r="S178" s="3" t="n">
        <x:v>49</x:v>
      </x:c>
      <x:c r="T178" s="2" t="inlineStr">
        <x:is>
          <x:t xml:space="preserve">Yes</x:t>
        </x:is>
      </x:c>
      <x:c r="U178" s="2" t="inlineStr">
        <x:is>
          <x:t xml:space="preserve">Delivered</x:t>
        </x:is>
      </x:c>
    </x:row>
    <x:row r="179">
      <x:c r="A179" s="6" t="inlineStr">
        <x:is>
          <x:t xml:space="preserve">PO-2025-0178</x:t>
        </x:is>
      </x:c>
      <x:c r="B179" s="6" t="inlineStr">
        <x:is>
          <x:t xml:space="preserve">07/05/2025</x:t>
        </x:is>
      </x:c>
      <x:c r="C179" s="6" t="inlineStr">
        <x:is>
          <x:t xml:space="preserve">May</x:t>
        </x:is>
      </x:c>
      <x:c r="D179" s="6" t="inlineStr">
        <x:is>
          <x:t xml:space="preserve">Saddledome Arena Retrofit</x:t>
        </x:is>
      </x:c>
      <x:c r="E179" s="6" t="inlineStr">
        <x:is>
          <x:t xml:space="preserve">Calgary SW</x:t>
        </x:is>
      </x:c>
      <x:c r="F179" s="6" t="inlineStr">
        <x:is>
          <x:t xml:space="preserve">Priya Sharma</x:t>
        </x:is>
      </x:c>
      <x:c r="G179" s="6" t="inlineStr">
        <x:is>
          <x:t xml:space="preserve">MEP - Mechanical</x:t>
        </x:is>
      </x:c>
      <x:c r="H179" s="6" t="inlineStr">
        <x:is>
          <x:t xml:space="preserve">Insulated Pipework</x:t>
        </x:is>
      </x:c>
      <x:c r="I179" s="6" t="inlineStr">
        <x:is>
          <x:t xml:space="preserve">PCL Mechanical</x:t>
        </x:is>
      </x:c>
      <x:c r="J179" s="6" t="inlineStr">
        <x:is>
          <x:t xml:space="preserve">3-Quote Comparison</x:t>
        </x:is>
      </x:c>
      <x:c r="K179" s="7" t="n">
        <x:v>75</x:v>
      </x:c>
      <x:c r="L179" s="6" t="inlineStr">
        <x:is>
          <x:t xml:space="preserve">lot</x:t>
        </x:is>
      </x:c>
      <x:c r="M179" s="8" t="n">
        <x:v>76251.99000000001</x:v>
      </x:c>
      <x:c r="N179" s="8" t="n">
        <x:v>70456.32000000001</x:v>
      </x:c>
      <x:c r="O179" s="8" t="n">
        <x:v>5718899.25</x:v>
      </x:c>
      <x:c r="P179" s="8" t="n">
        <x:v>5284224</x:v>
      </x:c>
      <x:c r="Q179" s="8" t="n">
        <x:v>434675.25</x:v>
      </x:c>
      <x:c r="R179" s="9" t="n">
        <x:v>8.199999999999999</x:v>
      </x:c>
      <x:c r="S179" s="7" t="n">
        <x:v>51</x:v>
      </x:c>
      <x:c r="T179" s="6" t="inlineStr">
        <x:is>
          <x:t xml:space="preserve">Yes</x:t>
        </x:is>
      </x:c>
      <x:c r="U179" s="6" t="inlineStr">
        <x:is>
          <x:t xml:space="preserve">Delivered</x:t>
        </x:is>
      </x:c>
    </x:row>
    <x:row r="180">
      <x:c r="A180" s="2" t="inlineStr">
        <x:is>
          <x:t xml:space="preserve">PO-2025-0179</x:t>
        </x:is>
      </x:c>
      <x:c r="B180" s="2" t="inlineStr">
        <x:is>
          <x:t xml:space="preserve">25/02/2025</x:t>
        </x:is>
      </x:c>
      <x:c r="C180" s="2" t="inlineStr">
        <x:is>
          <x:t xml:space="preserve">February</x:t>
        </x:is>
      </x:c>
      <x:c r="D180" s="2" t="inlineStr">
        <x:is>
          <x:t xml:space="preserve">Quarry Park Mixed-Use Development</x:t>
        </x:is>
      </x:c>
      <x:c r="E180" s="2" t="inlineStr">
        <x:is>
          <x:t xml:space="preserve">Calgary SE</x:t>
        </x:is>
      </x:c>
      <x:c r="F180" s="2" t="inlineStr">
        <x:is>
          <x:t xml:space="preserve">Liam Kowalski</x:t>
        </x:is>
      </x:c>
      <x:c r="G180" s="2" t="inlineStr">
        <x:is>
          <x:t xml:space="preserve">Concrete &amp; Structural</x:t>
        </x:is>
      </x:c>
      <x:c r="H180" s="2" t="inlineStr">
        <x:is>
          <x:t xml:space="preserve">Precast Deck Panels</x:t>
        </x:is>
      </x:c>
      <x:c r="I180" s="2" t="inlineStr">
        <x:is>
          <x:t xml:space="preserve">Alberta Precast</x:t>
        </x:is>
      </x:c>
      <x:c r="J180" s="2" t="inlineStr">
        <x:is>
          <x:t xml:space="preserve">3-Quote Comparison</x:t>
        </x:is>
      </x:c>
      <x:c r="K180" s="3" t="n">
        <x:v>33</x:v>
      </x:c>
      <x:c r="L180" s="2" t="inlineStr">
        <x:is>
          <x:t xml:space="preserve">m³</x:t>
        </x:is>
      </x:c>
      <x:c r="M180" s="4" t="n">
        <x:v>462.49</x:v>
      </x:c>
      <x:c r="N180" s="4" t="n">
        <x:v>515.1</x:v>
      </x:c>
      <x:c r="O180" s="4" t="n">
        <x:v>15262.17</x:v>
      </x:c>
      <x:c r="P180" s="4" t="n">
        <x:v>16998.3</x:v>
      </x:c>
      <x:c r="Q180" s="4" t="n">
        <x:v>-1736.13</x:v>
      </x:c>
      <x:c r="R180" s="5" t="n">
        <x:v>-10.2</x:v>
      </x:c>
      <x:c r="S180" s="3" t="n">
        <x:v>40</x:v>
      </x:c>
      <x:c r="T180" s="2" t="inlineStr">
        <x:is>
          <x:t xml:space="preserve">No</x:t>
        </x:is>
      </x:c>
      <x:c r="U180" s="2" t="inlineStr">
        <x:is>
          <x:t xml:space="preserve">Delivered</x:t>
        </x:is>
      </x:c>
    </x:row>
    <x:row r="181">
      <x:c r="A181" s="6" t="inlineStr">
        <x:is>
          <x:t xml:space="preserve">PO-2025-0180</x:t>
        </x:is>
      </x:c>
      <x:c r="B181" s="6" t="inlineStr">
        <x:is>
          <x:t xml:space="preserve">15/05/2025</x:t>
        </x:is>
      </x:c>
      <x:c r="C181" s="6" t="inlineStr">
        <x:is>
          <x:t xml:space="preserve">May</x:t>
        </x:is>
      </x:c>
      <x:c r="D181" s="6" t="inlineStr">
        <x:is>
          <x:t xml:space="preserve">Stampede Park Infrastructure Upgrade</x:t>
        </x:is>
      </x:c>
      <x:c r="E181" s="6" t="inlineStr">
        <x:is>
          <x:t xml:space="preserve">Calgary NE</x:t>
        </x:is>
      </x:c>
      <x:c r="F181" s="6" t="inlineStr">
        <x:is>
          <x:t xml:space="preserve">Mohammed Siddiqui</x:t>
        </x:is>
      </x:c>
      <x:c r="G181" s="6" t="inlineStr">
        <x:is>
          <x:t xml:space="preserve">MEP - Electrical</x:t>
        </x:is>
      </x:c>
      <x:c r="H181" s="6" t="inlineStr">
        <x:is>
          <x:t xml:space="preserve">MV Distribution Cable</x:t>
        </x:is>
      </x:c>
      <x:c r="I181" s="6" t="inlineStr">
        <x:is>
          <x:t xml:space="preserve">Stuart Olson Electrical</x:t>
        </x:is>
      </x:c>
      <x:c r="J181" s="6" t="inlineStr">
        <x:is>
          <x:t xml:space="preserve">Emergency Procurement</x:t>
        </x:is>
      </x:c>
      <x:c r="K181" s="7" t="n">
        <x:v>50</x:v>
      </x:c>
      <x:c r="L181" s="6" t="inlineStr">
        <x:is>
          <x:t xml:space="preserve">lot</x:t>
        </x:is>
      </x:c>
      <x:c r="M181" s="8" t="n">
        <x:v>16069.61</x:v>
      </x:c>
      <x:c r="N181" s="8" t="n">
        <x:v>14797.54</x:v>
      </x:c>
      <x:c r="O181" s="8" t="n">
        <x:v>803480.5</x:v>
      </x:c>
      <x:c r="P181" s="8" t="n">
        <x:v>739877</x:v>
      </x:c>
      <x:c r="Q181" s="8" t="n">
        <x:v>63603.5</x:v>
      </x:c>
      <x:c r="R181" s="9" t="n">
        <x:v>8.6</x:v>
      </x:c>
      <x:c r="S181" s="7" t="n">
        <x:v>73</x:v>
      </x:c>
      <x:c r="T181" s="6" t="inlineStr">
        <x:is>
          <x:t xml:space="preserve">Yes</x:t>
        </x:is>
      </x:c>
      <x:c r="U181" s="6" t="inlineStr">
        <x:is>
          <x:t xml:space="preserve">Pending</x:t>
        </x:is>
      </x:c>
    </x:row>
    <x:row r="182">
      <x:c r="A182" s="2" t="inlineStr">
        <x:is>
          <x:t xml:space="preserve">PO-2025-0181</x:t>
        </x:is>
      </x:c>
      <x:c r="B182" s="2" t="inlineStr">
        <x:is>
          <x:t xml:space="preserve">15/02/2025</x:t>
        </x:is>
      </x:c>
      <x:c r="C182" s="2" t="inlineStr">
        <x:is>
          <x:t xml:space="preserve">February</x:t>
        </x:is>
      </x:c>
      <x:c r="D182" s="2" t="inlineStr">
        <x:is>
          <x:t xml:space="preserve">Deerfoot Trail Widening - North</x:t>
        </x:is>
      </x:c>
      <x:c r="E182" s="2" t="inlineStr">
        <x:is>
          <x:t xml:space="preserve">Calgary SW</x:t>
        </x:is>
      </x:c>
      <x:c r="F182" s="2" t="inlineStr">
        <x:is>
          <x:t xml:space="preserve">Mohammed Siddiqui</x:t>
        </x:is>
      </x:c>
      <x:c r="G182" s="2" t="inlineStr">
        <x:is>
          <x:t xml:space="preserve">Finishing</x:t>
        </x:is>
      </x:c>
      <x:c r="H182" s="2" t="inlineStr">
        <x:is>
          <x:t xml:space="preserve">Waterproofing Membrane</x:t>
        </x:is>
      </x:c>
      <x:c r="I182" s="2" t="inlineStr">
        <x:is>
          <x:t xml:space="preserve">Tremco Roofing</x:t>
        </x:is>
      </x:c>
      <x:c r="J182" s="2" t="inlineStr">
        <x:is>
          <x:t xml:space="preserve">LPO – Direct Award</x:t>
        </x:is>
      </x:c>
      <x:c r="K182" s="3" t="n">
        <x:v>100</x:v>
      </x:c>
      <x:c r="L182" s="2" t="inlineStr">
        <x:is>
          <x:t xml:space="preserve">m²</x:t>
        </x:is>
      </x:c>
      <x:c r="M182" s="4" t="n">
        <x:v>230.85</x:v>
      </x:c>
      <x:c r="N182" s="4" t="n">
        <x:v>230.35</x:v>
      </x:c>
      <x:c r="O182" s="4" t="n">
        <x:v>23085</x:v>
      </x:c>
      <x:c r="P182" s="4" t="n">
        <x:v>23035</x:v>
      </x:c>
      <x:c r="Q182" s="4" t="n">
        <x:v>50</x:v>
      </x:c>
      <x:c r="R182" s="5" t="n">
        <x:v>0.2</x:v>
      </x:c>
      <x:c r="S182" s="3" t="n">
        <x:v>73</x:v>
      </x:c>
      <x:c r="T182" s="2" t="inlineStr">
        <x:is>
          <x:t xml:space="preserve">No</x:t>
        </x:is>
      </x:c>
      <x:c r="U182" s="2" t="inlineStr">
        <x:is>
          <x:t xml:space="preserve">Partially Delivered</x:t>
        </x:is>
      </x:c>
    </x:row>
    <x:row r="183">
      <x:c r="A183" s="6" t="inlineStr">
        <x:is>
          <x:t xml:space="preserve">PO-2025-0182</x:t>
        </x:is>
      </x:c>
      <x:c r="B183" s="6" t="inlineStr">
        <x:is>
          <x:t xml:space="preserve">09/07/2025</x:t>
        </x:is>
      </x:c>
      <x:c r="C183" s="6" t="inlineStr">
        <x:is>
          <x:t xml:space="preserve">July</x:t>
        </x:is>
      </x:c>
      <x:c r="D183" s="6" t="inlineStr">
        <x:is>
          <x:t xml:space="preserve">Rocky View Industrial Logistics Hub</x:t>
        </x:is>
      </x:c>
      <x:c r="E183" s="6" t="inlineStr">
        <x:is>
          <x:t xml:space="preserve">Calgary SW</x:t>
        </x:is>
      </x:c>
      <x:c r="F183" s="6" t="inlineStr">
        <x:is>
          <x:t xml:space="preserve">Linda Tran</x:t>
        </x:is>
      </x:c>
      <x:c r="G183" s="6" t="inlineStr">
        <x:is>
          <x:t xml:space="preserve">Safety &amp; Temp Works</x:t>
        </x:is>
      </x:c>
      <x:c r="H183" s="6" t="inlineStr">
        <x:is>
          <x:t xml:space="preserve">Site Office Trailer</x:t>
        </x:is>
      </x:c>
      <x:c r="I183" s="6" t="inlineStr">
        <x:is>
          <x:t xml:space="preserve">Levitt-Safety Calgary</x:t>
        </x:is>
      </x:c>
      <x:c r="J183" s="6" t="inlineStr">
        <x:is>
          <x:t xml:space="preserve">3-Quote Comparison</x:t>
        </x:is>
      </x:c>
      <x:c r="K183" s="7" t="n">
        <x:v>71</x:v>
      </x:c>
      <x:c r="L183" s="6" t="inlineStr">
        <x:is>
          <x:t xml:space="preserve">lot</x:t>
        </x:is>
      </x:c>
      <x:c r="M183" s="8" t="n">
        <x:v>2339.36</x:v>
      </x:c>
      <x:c r="N183" s="8" t="n">
        <x:v>2109.86</x:v>
      </x:c>
      <x:c r="O183" s="8" t="n">
        <x:v>166094.56</x:v>
      </x:c>
      <x:c r="P183" s="8" t="n">
        <x:v>149800.06</x:v>
      </x:c>
      <x:c r="Q183" s="8" t="n">
        <x:v>16294.5</x:v>
      </x:c>
      <x:c r="R183" s="9" t="n">
        <x:v>10.9</x:v>
      </x:c>
      <x:c r="S183" s="7" t="n">
        <x:v>13</x:v>
      </x:c>
      <x:c r="T183" s="6" t="inlineStr">
        <x:is>
          <x:t xml:space="preserve">Yes</x:t>
        </x:is>
      </x:c>
      <x:c r="U183" s="6" t="inlineStr">
        <x:is>
          <x:t xml:space="preserve">Delivered</x:t>
        </x:is>
      </x:c>
    </x:row>
    <x:row r="184">
      <x:c r="A184" s="2" t="inlineStr">
        <x:is>
          <x:t xml:space="preserve">PO-2025-0183</x:t>
        </x:is>
      </x:c>
      <x:c r="B184" s="2" t="inlineStr">
        <x:is>
          <x:t xml:space="preserve">22/02/2025</x:t>
        </x:is>
      </x:c>
      <x:c r="C184" s="2" t="inlineStr">
        <x:is>
          <x:t xml:space="preserve">February</x:t>
        </x:is>
      </x:c>
      <x:c r="D184" s="2" t="inlineStr">
        <x:is>
          <x:t xml:space="preserve">Springbank Off-Stream Reservoir</x:t>
        </x:is>
      </x:c>
      <x:c r="E184" s="2" t="inlineStr">
        <x:is>
          <x:t xml:space="preserve">Calgary NE</x:t>
        </x:is>
      </x:c>
      <x:c r="F184" s="2" t="inlineStr">
        <x:is>
          <x:t xml:space="preserve">Linda Tran</x:t>
        </x:is>
      </x:c>
      <x:c r="G184" s="2" t="inlineStr">
        <x:is>
          <x:t xml:space="preserve">MEP - Mechanical</x:t>
        </x:is>
      </x:c>
      <x:c r="H184" s="2" t="inlineStr">
        <x:is>
          <x:t xml:space="preserve">Air Handling Unit</x:t>
        </x:is>
      </x:c>
      <x:c r="I184" s="2" t="inlineStr">
        <x:is>
          <x:t xml:space="preserve">PCL Mechanical</x:t>
        </x:is>
      </x:c>
      <x:c r="J184" s="2" t="inlineStr">
        <x:is>
          <x:t xml:space="preserve">3-Quote Comparison</x:t>
        </x:is>
      </x:c>
      <x:c r="K184" s="3" t="n">
        <x:v>86</x:v>
      </x:c>
      <x:c r="L184" s="2" t="inlineStr">
        <x:is>
          <x:t xml:space="preserve">lot</x:t>
        </x:is>
      </x:c>
      <x:c r="M184" s="4" t="n">
        <x:v>11182.55</x:v>
      </x:c>
      <x:c r="N184" s="4" t="n">
        <x:v>12441.87</x:v>
      </x:c>
      <x:c r="O184" s="4" t="n">
        <x:v>961699.3</x:v>
      </x:c>
      <x:c r="P184" s="4" t="n">
        <x:v>1070000.82</x:v>
      </x:c>
      <x:c r="Q184" s="4" t="n">
        <x:v>-108301.52</x:v>
      </x:c>
      <x:c r="R184" s="5" t="n">
        <x:v>-10.1</x:v>
      </x:c>
      <x:c r="S184" s="3" t="n">
        <x:v>22</x:v>
      </x:c>
      <x:c r="T184" s="2" t="inlineStr">
        <x:is>
          <x:t xml:space="preserve">No</x:t>
        </x:is>
      </x:c>
      <x:c r="U184" s="2" t="inlineStr">
        <x:is>
          <x:t xml:space="preserve">Pending</x:t>
        </x:is>
      </x:c>
    </x:row>
    <x:row r="185">
      <x:c r="A185" s="6" t="inlineStr">
        <x:is>
          <x:t xml:space="preserve">PO-2025-0184</x:t>
        </x:is>
      </x:c>
      <x:c r="B185" s="6" t="inlineStr">
        <x:is>
          <x:t xml:space="preserve">15/03/2025</x:t>
        </x:is>
      </x:c>
      <x:c r="C185" s="6" t="inlineStr">
        <x:is>
          <x:t xml:space="preserve">March</x:t>
        </x:is>
      </x:c>
      <x:c r="D185" s="6" t="inlineStr">
        <x:is>
          <x:t xml:space="preserve">Deerfoot Trail Widening - North</x:t>
        </x:is>
      </x:c>
      <x:c r="E185" s="6" t="inlineStr">
        <x:is>
          <x:t xml:space="preserve">Calgary NE</x:t>
        </x:is>
      </x:c>
      <x:c r="F185" s="6" t="inlineStr">
        <x:is>
          <x:t xml:space="preserve">Priya Sharma</x:t>
        </x:is>
      </x:c>
      <x:c r="G185" s="6" t="inlineStr">
        <x:is>
          <x:t xml:space="preserve">Civil Works</x:t>
        </x:is>
      </x:c>
      <x:c r="H185" s="6" t="inlineStr">
        <x:is>
          <x:t xml:space="preserve">Storm Drainage Pipe</x:t>
        </x:is>
      </x:c>
      <x:c r="I185" s="6" t="inlineStr">
        <x:is>
          <x:t xml:space="preserve">Graham Construction</x:t>
        </x:is>
      </x:c>
      <x:c r="J185" s="6" t="inlineStr">
        <x:is>
          <x:t xml:space="preserve">Emergency Procurement</x:t>
        </x:is>
      </x:c>
      <x:c r="K185" s="7" t="n">
        <x:v>79</x:v>
      </x:c>
      <x:c r="L185" s="6" t="inlineStr">
        <x:is>
          <x:t xml:space="preserve">m³</x:t>
        </x:is>
      </x:c>
      <x:c r="M185" s="8" t="n">
        <x:v>232.13</x:v>
      </x:c>
      <x:c r="N185" s="8" t="n">
        <x:v>243.65</x:v>
      </x:c>
      <x:c r="O185" s="8" t="n">
        <x:v>18338.27</x:v>
      </x:c>
      <x:c r="P185" s="8" t="n">
        <x:v>19248.35</x:v>
      </x:c>
      <x:c r="Q185" s="8" t="n">
        <x:v>-910.08</x:v>
      </x:c>
      <x:c r="R185" s="9" t="n">
        <x:v>-4.7</x:v>
      </x:c>
      <x:c r="S185" s="7" t="n">
        <x:v>29</x:v>
      </x:c>
      <x:c r="T185" s="6" t="inlineStr">
        <x:is>
          <x:t xml:space="preserve">Yes</x:t>
        </x:is>
      </x:c>
      <x:c r="U185" s="6" t="inlineStr">
        <x:is>
          <x:t xml:space="preserve">Delivered</x:t>
        </x:is>
      </x:c>
    </x:row>
    <x:row r="186">
      <x:c r="A186" s="2" t="inlineStr">
        <x:is>
          <x:t xml:space="preserve">PO-2025-0185</x:t>
        </x:is>
      </x:c>
      <x:c r="B186" s="2" t="inlineStr">
        <x:is>
          <x:t xml:space="preserve">02/08/2025</x:t>
        </x:is>
      </x:c>
      <x:c r="C186" s="2" t="inlineStr">
        <x:is>
          <x:t xml:space="preserve">August</x:t>
        </x:is>
      </x:c>
      <x:c r="D186" s="2" t="inlineStr">
        <x:is>
          <x:t xml:space="preserve">Saddledome Arena Retrofit</x:t>
        </x:is>
      </x:c>
      <x:c r="E186" s="2" t="inlineStr">
        <x:is>
          <x:t xml:space="preserve">Rocky View County</x:t>
        </x:is>
      </x:c>
      <x:c r="F186" s="2" t="inlineStr">
        <x:is>
          <x:t xml:space="preserve">Liam Kowalski</x:t>
        </x:is>
      </x:c>
      <x:c r="G186" s="2" t="inlineStr">
        <x:is>
          <x:t xml:space="preserve">MEP - Mechanical</x:t>
        </x:is>
      </x:c>
      <x:c r="H186" s="2" t="inlineStr">
        <x:is>
          <x:t xml:space="preserve">HVAC Rooftop Unit</x:t>
        </x:is>
      </x:c>
      <x:c r="I186" s="2" t="inlineStr">
        <x:is>
          <x:t xml:space="preserve">Stantec MEP</x:t>
        </x:is>
      </x:c>
      <x:c r="J186" s="2" t="inlineStr">
        <x:is>
          <x:t xml:space="preserve">Emergency Procurement</x:t>
        </x:is>
      </x:c>
      <x:c r="K186" s="3" t="n">
        <x:v>116</x:v>
      </x:c>
      <x:c r="L186" s="2" t="inlineStr">
        <x:is>
          <x:t xml:space="preserve">lot</x:t>
        </x:is>
      </x:c>
      <x:c r="M186" s="4" t="n">
        <x:v>92444.49000000001</x:v>
      </x:c>
      <x:c r="N186" s="4" t="n">
        <x:v>99225.47</x:v>
      </x:c>
      <x:c r="O186" s="4" t="n">
        <x:v>10723560.84</x:v>
      </x:c>
      <x:c r="P186" s="4" t="n">
        <x:v>11510154.52</x:v>
      </x:c>
      <x:c r="Q186" s="4" t="n">
        <x:v>-786593.6800000001</x:v>
      </x:c>
      <x:c r="R186" s="5" t="n">
        <x:v>-6.8</x:v>
      </x:c>
      <x:c r="S186" s="3" t="n">
        <x:v>21</x:v>
      </x:c>
      <x:c r="T186" s="2" t="inlineStr">
        <x:is>
          <x:t xml:space="preserve">Yes</x:t>
        </x:is>
      </x:c>
      <x:c r="U186" s="2" t="inlineStr">
        <x:is>
          <x:t xml:space="preserve">Delivered</x:t>
        </x:is>
      </x:c>
    </x:row>
    <x:row r="187">
      <x:c r="A187" s="6" t="inlineStr">
        <x:is>
          <x:t xml:space="preserve">PO-2025-0186</x:t>
        </x:is>
      </x:c>
      <x:c r="B187" s="6" t="inlineStr">
        <x:is>
          <x:t xml:space="preserve">21/06/2025</x:t>
        </x:is>
      </x:c>
      <x:c r="C187" s="6" t="inlineStr">
        <x:is>
          <x:t xml:space="preserve">June</x:t>
        </x:is>
      </x:c>
      <x:c r="D187" s="6" t="inlineStr">
        <x:is>
          <x:t xml:space="preserve">Foothills Medical Centre Expansion</x:t>
        </x:is>
      </x:c>
      <x:c r="E187" s="6" t="inlineStr">
        <x:is>
          <x:t xml:space="preserve">Calgary SE</x:t>
        </x:is>
      </x:c>
      <x:c r="F187" s="6" t="inlineStr">
        <x:is>
          <x:t xml:space="preserve">Derek McLean</x:t>
        </x:is>
      </x:c>
      <x:c r="G187" s="6" t="inlineStr">
        <x:is>
          <x:t xml:space="preserve">MEP - Mechanical</x:t>
        </x:is>
      </x:c>
      <x:c r="H187" s="6" t="inlineStr">
        <x:is>
          <x:t xml:space="preserve">Insulated Pipework</x:t>
        </x:is>
      </x:c>
      <x:c r="I187" s="6" t="inlineStr">
        <x:is>
          <x:t xml:space="preserve">Ainsworth Inc.</x:t>
        </x:is>
      </x:c>
      <x:c r="J187" s="6" t="inlineStr">
        <x:is>
          <x:t xml:space="preserve">LPO – Direct Award</x:t>
        </x:is>
      </x:c>
      <x:c r="K187" s="7" t="n">
        <x:v>102</x:v>
      </x:c>
      <x:c r="L187" s="6" t="inlineStr">
        <x:is>
          <x:t xml:space="preserve">lot</x:t>
        </x:is>
      </x:c>
      <x:c r="M187" s="8" t="n">
        <x:v>61826.62</x:v>
      </x:c>
      <x:c r="N187" s="8" t="n">
        <x:v>67047.67</x:v>
      </x:c>
      <x:c r="O187" s="8" t="n">
        <x:v>6306315.24</x:v>
      </x:c>
      <x:c r="P187" s="8" t="n">
        <x:v>6838862.34</x:v>
      </x:c>
      <x:c r="Q187" s="8" t="n">
        <x:v>-532547.1</x:v>
      </x:c>
      <x:c r="R187" s="9" t="n">
        <x:v>-7.8</x:v>
      </x:c>
      <x:c r="S187" s="7" t="n">
        <x:v>77</x:v>
      </x:c>
      <x:c r="T187" s="6" t="inlineStr">
        <x:is>
          <x:t xml:space="preserve">Yes</x:t>
        </x:is>
      </x:c>
      <x:c r="U187" s="6" t="inlineStr">
        <x:is>
          <x:t xml:space="preserve">Pending</x:t>
        </x:is>
      </x:c>
    </x:row>
    <x:row r="188">
      <x:c r="A188" s="2" t="inlineStr">
        <x:is>
          <x:t xml:space="preserve">PO-2025-0187</x:t>
        </x:is>
      </x:c>
      <x:c r="B188" s="2" t="inlineStr">
        <x:is>
          <x:t xml:space="preserve">11/06/2025</x:t>
        </x:is>
      </x:c>
      <x:c r="C188" s="2" t="inlineStr">
        <x:is>
          <x:t xml:space="preserve">June</x:t>
        </x:is>
      </x:c>
      <x:c r="D188" s="2" t="inlineStr">
        <x:is>
          <x:t xml:space="preserve">Saddledome Arena Retrofit</x:t>
        </x:is>
      </x:c>
      <x:c r="E188" s="2" t="inlineStr">
        <x:is>
          <x:t xml:space="preserve">Calgary NE</x:t>
        </x:is>
      </x:c>
      <x:c r="F188" s="2" t="inlineStr">
        <x:is>
          <x:t xml:space="preserve">Priya Sharma</x:t>
        </x:is>
      </x:c>
      <x:c r="G188" s="2" t="inlineStr">
        <x:is>
          <x:t xml:space="preserve">Finishing</x:t>
        </x:is>
      </x:c>
      <x:c r="H188" s="2" t="inlineStr">
        <x:is>
          <x:t xml:space="preserve">Drywall &amp; Framing</x:t>
        </x:is>
      </x:c>
      <x:c r="I188" s="2" t="inlineStr">
        <x:is>
          <x:t xml:space="preserve">Centura Tile Calgary</x:t>
        </x:is>
      </x:c>
      <x:c r="J188" s="2" t="inlineStr">
        <x:is>
          <x:t xml:space="preserve">LPO – Direct Award</x:t>
        </x:is>
      </x:c>
      <x:c r="K188" s="3" t="n">
        <x:v>39</x:v>
      </x:c>
      <x:c r="L188" s="2" t="inlineStr">
        <x:is>
          <x:t xml:space="preserve">m²</x:t>
        </x:is>
      </x:c>
      <x:c r="M188" s="4" t="n">
        <x:v>179.17</x:v>
      </x:c>
      <x:c r="N188" s="4" t="n">
        <x:v>219.25</x:v>
      </x:c>
      <x:c r="O188" s="4" t="n">
        <x:v>6987.63</x:v>
      </x:c>
      <x:c r="P188" s="4" t="n">
        <x:v>8550.75</x:v>
      </x:c>
      <x:c r="Q188" s="4" t="n">
        <x:v>-1563.12</x:v>
      </x:c>
      <x:c r="R188" s="5" t="n">
        <x:v>-18.3</x:v>
      </x:c>
      <x:c r="S188" s="3" t="n">
        <x:v>7</x:v>
      </x:c>
      <x:c r="T188" s="2" t="inlineStr">
        <x:is>
          <x:t xml:space="preserve">Yes</x:t>
        </x:is>
      </x:c>
      <x:c r="U188" s="2" t="inlineStr">
        <x:is>
          <x:t xml:space="preserve">Delivered</x:t>
        </x:is>
      </x:c>
    </x:row>
    <x:row r="189">
      <x:c r="A189" s="6" t="inlineStr">
        <x:is>
          <x:t xml:space="preserve">PO-2025-0188</x:t>
        </x:is>
      </x:c>
      <x:c r="B189" s="6" t="inlineStr">
        <x:is>
          <x:t xml:space="preserve">06/04/2025</x:t>
        </x:is>
      </x:c>
      <x:c r="C189" s="6" t="inlineStr">
        <x:is>
          <x:t xml:space="preserve">April</x:t>
        </x:is>
      </x:c>
      <x:c r="D189" s="6" t="inlineStr">
        <x:is>
          <x:t xml:space="preserve">Springbank Off-Stream Reservoir</x:t>
        </x:is>
      </x:c>
      <x:c r="E189" s="6" t="inlineStr">
        <x:is>
          <x:t xml:space="preserve">Calgary NE</x:t>
        </x:is>
      </x:c>
      <x:c r="F189" s="6" t="inlineStr">
        <x:is>
          <x:t xml:space="preserve">Sarah Bouchard</x:t>
        </x:is>
      </x:c>
      <x:c r="G189" s="6" t="inlineStr">
        <x:is>
          <x:t xml:space="preserve">Concrete &amp; Structural</x:t>
        </x:is>
      </x:c>
      <x:c r="H189" s="6" t="inlineStr">
        <x:is>
          <x:t xml:space="preserve">Rebar Steel</x:t>
        </x:is>
      </x:c>
      <x:c r="I189" s="6" t="inlineStr">
        <x:is>
          <x:t xml:space="preserve">Lafarge Canada - Calgary</x:t>
        </x:is>
      </x:c>
      <x:c r="J189" s="6" t="inlineStr">
        <x:is>
          <x:t xml:space="preserve">Standing Offer Agreement</x:t>
        </x:is>
      </x:c>
      <x:c r="K189" s="7" t="n">
        <x:v>53</x:v>
      </x:c>
      <x:c r="L189" s="6" t="inlineStr">
        <x:is>
          <x:t xml:space="preserve">m³</x:t>
        </x:is>
      </x:c>
      <x:c r="M189" s="8" t="n">
        <x:v>601.6900000000001</x:v>
      </x:c>
      <x:c r="N189" s="8" t="n">
        <x:v>597.61</x:v>
      </x:c>
      <x:c r="O189" s="8" t="n">
        <x:v>31889.57</x:v>
      </x:c>
      <x:c r="P189" s="8" t="n">
        <x:v>31673.33</x:v>
      </x:c>
      <x:c r="Q189" s="8" t="n">
        <x:v>216.24</x:v>
      </x:c>
      <x:c r="R189" s="9" t="n">
        <x:v>0.7</x:v>
      </x:c>
      <x:c r="S189" s="7" t="n">
        <x:v>32</x:v>
      </x:c>
      <x:c r="T189" s="6" t="inlineStr">
        <x:is>
          <x:t xml:space="preserve">Yes</x:t>
        </x:is>
      </x:c>
      <x:c r="U189" s="6" t="inlineStr">
        <x:is>
          <x:t xml:space="preserve">Delivered</x:t>
        </x:is>
      </x:c>
    </x:row>
    <x:row r="190">
      <x:c r="A190" s="2" t="inlineStr">
        <x:is>
          <x:t xml:space="preserve">PO-2025-0189</x:t>
        </x:is>
      </x:c>
      <x:c r="B190" s="2" t="inlineStr">
        <x:is>
          <x:t xml:space="preserve">04/05/2025</x:t>
        </x:is>
      </x:c>
      <x:c r="C190" s="2" t="inlineStr">
        <x:is>
          <x:t xml:space="preserve">May</x:t>
        </x:is>
      </x:c>
      <x:c r="D190" s="2" t="inlineStr">
        <x:is>
          <x:t xml:space="preserve">Quarry Park Mixed-Use Development</x:t>
        </x:is>
      </x:c>
      <x:c r="E190" s="2" t="inlineStr">
        <x:is>
          <x:t xml:space="preserve">Calgary NE</x:t>
        </x:is>
      </x:c>
      <x:c r="F190" s="2" t="inlineStr">
        <x:is>
          <x:t xml:space="preserve">Linda Tran</x:t>
        </x:is>
      </x:c>
      <x:c r="G190" s="2" t="inlineStr">
        <x:is>
          <x:t xml:space="preserve">Finishing</x:t>
        </x:is>
      </x:c>
      <x:c r="H190" s="2" t="inlineStr">
        <x:is>
          <x:t xml:space="preserve">Acoustic Ceiling Grid</x:t>
        </x:is>
      </x:c>
      <x:c r="I190" s="2" t="inlineStr">
        <x:is>
          <x:t xml:space="preserve">Tremco Roofing</x:t>
        </x:is>
      </x:c>
      <x:c r="J190" s="2" t="inlineStr">
        <x:is>
          <x:t xml:space="preserve">Standing Offer Agreement</x:t>
        </x:is>
      </x:c>
      <x:c r="K190" s="3" t="n">
        <x:v>120</x:v>
      </x:c>
      <x:c r="L190" s="2" t="inlineStr">
        <x:is>
          <x:t xml:space="preserve">m²</x:t>
        </x:is>
      </x:c>
      <x:c r="M190" s="4" t="n">
        <x:v>320.63</x:v>
      </x:c>
      <x:c r="N190" s="4" t="n">
        <x:v>383.19</x:v>
      </x:c>
      <x:c r="O190" s="4" t="n">
        <x:v>38475.6</x:v>
      </x:c>
      <x:c r="P190" s="4" t="n">
        <x:v>45982.8</x:v>
      </x:c>
      <x:c r="Q190" s="4" t="n">
        <x:v>-7507.2</x:v>
      </x:c>
      <x:c r="R190" s="5" t="n">
        <x:v>-16.3</x:v>
      </x:c>
      <x:c r="S190" s="3" t="n">
        <x:v>26</x:v>
      </x:c>
      <x:c r="T190" s="2" t="inlineStr">
        <x:is>
          <x:t xml:space="preserve">No</x:t>
        </x:is>
      </x:c>
      <x:c r="U190" s="2" t="inlineStr">
        <x:is>
          <x:t xml:space="preserve">Delivered</x:t>
        </x:is>
      </x:c>
    </x:row>
    <x:row r="191">
      <x:c r="A191" s="6" t="inlineStr">
        <x:is>
          <x:t xml:space="preserve">PO-2025-0190</x:t>
        </x:is>
      </x:c>
      <x:c r="B191" s="6" t="inlineStr">
        <x:is>
          <x:t xml:space="preserve">10/05/2025</x:t>
        </x:is>
      </x:c>
      <x:c r="C191" s="6" t="inlineStr">
        <x:is>
          <x:t xml:space="preserve">May</x:t>
        </x:is>
      </x:c>
      <x:c r="D191" s="6" t="inlineStr">
        <x:is>
          <x:t xml:space="preserve">Stampede Park Infrastructure Upgrade</x:t>
        </x:is>
      </x:c>
      <x:c r="E191" s="6" t="inlineStr">
        <x:is>
          <x:t xml:space="preserve">Rocky View County</x:t>
        </x:is>
      </x:c>
      <x:c r="F191" s="6" t="inlineStr">
        <x:is>
          <x:t xml:space="preserve">Sarah Bouchard</x:t>
        </x:is>
      </x:c>
      <x:c r="G191" s="6" t="inlineStr">
        <x:is>
          <x:t xml:space="preserve">MEP - Mechanical</x:t>
        </x:is>
      </x:c>
      <x:c r="H191" s="6" t="inlineStr">
        <x:is>
          <x:t xml:space="preserve">Air Handling Unit</x:t>
        </x:is>
      </x:c>
      <x:c r="I191" s="6" t="inlineStr">
        <x:is>
          <x:t xml:space="preserve">Ainsworth Inc.</x:t>
        </x:is>
      </x:c>
      <x:c r="J191" s="6" t="inlineStr">
        <x:is>
          <x:t xml:space="preserve">Emergency Procurement</x:t>
        </x:is>
      </x:c>
      <x:c r="K191" s="7" t="n">
        <x:v>67</x:v>
      </x:c>
      <x:c r="L191" s="6" t="inlineStr">
        <x:is>
          <x:t xml:space="preserve">lot</x:t>
        </x:is>
      </x:c>
      <x:c r="M191" s="8" t="n">
        <x:v>29572.58</x:v>
      </x:c>
      <x:c r="N191" s="8" t="n">
        <x:v>31885.72</x:v>
      </x:c>
      <x:c r="O191" s="8" t="n">
        <x:v>1981362.86</x:v>
      </x:c>
      <x:c r="P191" s="8" t="n">
        <x:v>2136343.24</x:v>
      </x:c>
      <x:c r="Q191" s="8" t="n">
        <x:v>-154980.38</x:v>
      </x:c>
      <x:c r="R191" s="9" t="n">
        <x:v>-7.3</x:v>
      </x:c>
      <x:c r="S191" s="7" t="n">
        <x:v>77</x:v>
      </x:c>
      <x:c r="T191" s="6" t="inlineStr">
        <x:is>
          <x:t xml:space="preserve">Yes</x:t>
        </x:is>
      </x:c>
      <x:c r="U191" s="6" t="inlineStr">
        <x:is>
          <x:t xml:space="preserve">Delivered</x:t>
        </x:is>
      </x:c>
    </x:row>
    <x:row r="192">
      <x:c r="A192" s="2" t="inlineStr">
        <x:is>
          <x:t xml:space="preserve">PO-2025-0191</x:t>
        </x:is>
      </x:c>
      <x:c r="B192" s="2" t="inlineStr">
        <x:is>
          <x:t xml:space="preserve">09/06/2025</x:t>
        </x:is>
      </x:c>
      <x:c r="C192" s="2" t="inlineStr">
        <x:is>
          <x:t xml:space="preserve">June</x:t>
        </x:is>
      </x:c>
      <x:c r="D192" s="2" t="inlineStr">
        <x:is>
          <x:t xml:space="preserve">Foothills Medical Centre Expansion</x:t>
        </x:is>
      </x:c>
      <x:c r="E192" s="2" t="inlineStr">
        <x:is>
          <x:t xml:space="preserve">Calgary NE</x:t>
        </x:is>
      </x:c>
      <x:c r="F192" s="2" t="inlineStr">
        <x:is>
          <x:t xml:space="preserve">Sarah Bouchard</x:t>
        </x:is>
      </x:c>
      <x:c r="G192" s="2" t="inlineStr">
        <x:is>
          <x:t xml:space="preserve">MEP - Electrical</x:t>
        </x:is>
      </x:c>
      <x:c r="H192" s="2" t="inlineStr">
        <x:is>
          <x:t xml:space="preserve">Standby Generator</x:t>
        </x:is>
      </x:c>
      <x:c r="I192" s="2" t="inlineStr">
        <x:is>
          <x:t xml:space="preserve">Stuart Olson Electrical</x:t>
        </x:is>
      </x:c>
      <x:c r="J192" s="2" t="inlineStr">
        <x:is>
          <x:t xml:space="preserve">LPO – Direct Award</x:t>
        </x:is>
      </x:c>
      <x:c r="K192" s="3" t="n">
        <x:v>70</x:v>
      </x:c>
      <x:c r="L192" s="2" t="inlineStr">
        <x:is>
          <x:t xml:space="preserve">lot</x:t>
        </x:is>
      </x:c>
      <x:c r="M192" s="4" t="n">
        <x:v>71715.60000000001</x:v>
      </x:c>
      <x:c r="N192" s="4" t="n">
        <x:v>64198.67</x:v>
      </x:c>
      <x:c r="O192" s="4" t="n">
        <x:v>5020092</x:v>
      </x:c>
      <x:c r="P192" s="4" t="n">
        <x:v>4493906.9</x:v>
      </x:c>
      <x:c r="Q192" s="4" t="n">
        <x:v>526185.1</x:v>
      </x:c>
      <x:c r="R192" s="5" t="n">
        <x:v>11.7</x:v>
      </x:c>
      <x:c r="S192" s="3" t="n">
        <x:v>68</x:v>
      </x:c>
      <x:c r="T192" s="2" t="inlineStr">
        <x:is>
          <x:t xml:space="preserve">No</x:t>
        </x:is>
      </x:c>
      <x:c r="U192" s="2" t="inlineStr">
        <x:is>
          <x:t xml:space="preserve">Delivered</x:t>
        </x:is>
      </x:c>
    </x:row>
    <x:row r="193">
      <x:c r="A193" s="6" t="inlineStr">
        <x:is>
          <x:t xml:space="preserve">PO-2025-0192</x:t>
        </x:is>
      </x:c>
      <x:c r="B193" s="6" t="inlineStr">
        <x:is>
          <x:t xml:space="preserve">23/01/2025</x:t>
        </x:is>
      </x:c>
      <x:c r="C193" s="6" t="inlineStr">
        <x:is>
          <x:t xml:space="preserve">January</x:t>
        </x:is>
      </x:c>
      <x:c r="D193" s="6" t="inlineStr">
        <x:is>
          <x:t xml:space="preserve">University District Residential Phase 3</x:t>
        </x:is>
      </x:c>
      <x:c r="E193" s="6" t="inlineStr">
        <x:is>
          <x:t xml:space="preserve">Calgary SW</x:t>
        </x:is>
      </x:c>
      <x:c r="F193" s="6" t="inlineStr">
        <x:is>
          <x:t xml:space="preserve">Priya Sharma</x:t>
        </x:is>
      </x:c>
      <x:c r="G193" s="6" t="inlineStr">
        <x:is>
          <x:t xml:space="preserve">MEP - Electrical</x:t>
        </x:is>
      </x:c>
      <x:c r="H193" s="6" t="inlineStr">
        <x:is>
          <x:t xml:space="preserve">LED Site Lighting</x:t>
        </x:is>
      </x:c>
      <x:c r="I193" s="6" t="inlineStr">
        <x:is>
          <x:t xml:space="preserve">Schneider Electric Canada</x:t>
        </x:is>
      </x:c>
      <x:c r="J193" s="6" t="inlineStr">
        <x:is>
          <x:t xml:space="preserve">Standing Offer Agreement</x:t>
        </x:is>
      </x:c>
      <x:c r="K193" s="7" t="n">
        <x:v>54</x:v>
      </x:c>
      <x:c r="L193" s="6" t="inlineStr">
        <x:is>
          <x:t xml:space="preserve">lot</x:t>
        </x:is>
      </x:c>
      <x:c r="M193" s="8" t="n">
        <x:v>89998.03</x:v>
      </x:c>
      <x:c r="N193" s="8" t="n">
        <x:v>104402.67</x:v>
      </x:c>
      <x:c r="O193" s="8" t="n">
        <x:v>4859893.62</x:v>
      </x:c>
      <x:c r="P193" s="8" t="n">
        <x:v>5637744.18</x:v>
      </x:c>
      <x:c r="Q193" s="8" t="n">
        <x:v>-777850.5600000001</x:v>
      </x:c>
      <x:c r="R193" s="9" t="n">
        <x:v>-13.8</x:v>
      </x:c>
      <x:c r="S193" s="7" t="n">
        <x:v>33</x:v>
      </x:c>
      <x:c r="T193" s="6" t="inlineStr">
        <x:is>
          <x:t xml:space="preserve">Yes</x:t>
        </x:is>
      </x:c>
      <x:c r="U193" s="6" t="inlineStr">
        <x:is>
          <x:t xml:space="preserve">Delivered</x:t>
        </x:is>
      </x:c>
    </x:row>
    <x:row r="194">
      <x:c r="A194" s="2" t="inlineStr">
        <x:is>
          <x:t xml:space="preserve">PO-2025-0193</x:t>
        </x:is>
      </x:c>
      <x:c r="B194" s="2" t="inlineStr">
        <x:is>
          <x:t xml:space="preserve">14/07/2025</x:t>
        </x:is>
      </x:c>
      <x:c r="C194" s="2" t="inlineStr">
        <x:is>
          <x:t xml:space="preserve">July</x:t>
        </x:is>
      </x:c>
      <x:c r="D194" s="2" t="inlineStr">
        <x:is>
          <x:t xml:space="preserve">Quarry Park Mixed-Use Development</x:t>
        </x:is>
      </x:c>
      <x:c r="E194" s="2" t="inlineStr">
        <x:is>
          <x:t xml:space="preserve">Calgary NE</x:t>
        </x:is>
      </x:c>
      <x:c r="F194" s="2" t="inlineStr">
        <x:is>
          <x:t xml:space="preserve">Aisha Nkosi</x:t>
        </x:is>
      </x:c>
      <x:c r="G194" s="2" t="inlineStr">
        <x:is>
          <x:t xml:space="preserve">Civil Works</x:t>
        </x:is>
      </x:c>
      <x:c r="H194" s="2" t="inlineStr">
        <x:is>
          <x:t xml:space="preserve">Bulk Excavation</x:t>
        </x:is>
      </x:c>
      <x:c r="I194" s="2" t="inlineStr">
        <x:is>
          <x:t xml:space="preserve">Ledcor Civil Alberta</x:t>
        </x:is>
      </x:c>
      <x:c r="J194" s="2" t="inlineStr">
        <x:is>
          <x:t xml:space="preserve">LPO – Direct Award</x:t>
        </x:is>
      </x:c>
      <x:c r="K194" s="3" t="n">
        <x:v>9</x:v>
      </x:c>
      <x:c r="L194" s="2" t="inlineStr">
        <x:is>
          <x:t xml:space="preserve">m³</x:t>
        </x:is>
      </x:c>
      <x:c r="M194" s="4" t="n">
        <x:v>152</x:v>
      </x:c>
      <x:c r="N194" s="4" t="n">
        <x:v>155.26</x:v>
      </x:c>
      <x:c r="O194" s="4" t="n">
        <x:v>1368</x:v>
      </x:c>
      <x:c r="P194" s="4" t="n">
        <x:v>1397.34</x:v>
      </x:c>
      <x:c r="Q194" s="4" t="n">
        <x:v>-29.34</x:v>
      </x:c>
      <x:c r="R194" s="5" t="n">
        <x:v>-2.1</x:v>
      </x:c>
      <x:c r="S194" s="3" t="n">
        <x:v>24</x:v>
      </x:c>
      <x:c r="T194" s="2" t="inlineStr">
        <x:is>
          <x:t xml:space="preserve">No</x:t>
        </x:is>
      </x:c>
      <x:c r="U194" s="2" t="inlineStr">
        <x:is>
          <x:t xml:space="preserve">Delivered</x:t>
        </x:is>
      </x:c>
    </x:row>
    <x:row r="195">
      <x:c r="A195" s="6" t="inlineStr">
        <x:is>
          <x:t xml:space="preserve">PO-2025-0194</x:t>
        </x:is>
      </x:c>
      <x:c r="B195" s="6" t="inlineStr">
        <x:is>
          <x:t xml:space="preserve">23/03/2025</x:t>
        </x:is>
      </x:c>
      <x:c r="C195" s="6" t="inlineStr">
        <x:is>
          <x:t xml:space="preserve">March</x:t>
        </x:is>
      </x:c>
      <x:c r="D195" s="6" t="inlineStr">
        <x:is>
          <x:t xml:space="preserve">Stampede Park Infrastructure Upgrade</x:t>
        </x:is>
      </x:c>
      <x:c r="E195" s="6" t="inlineStr">
        <x:is>
          <x:t xml:space="preserve">Calgary SW</x:t>
        </x:is>
      </x:c>
      <x:c r="F195" s="6" t="inlineStr">
        <x:is>
          <x:t xml:space="preserve">James Okafor</x:t>
        </x:is>
      </x:c>
      <x:c r="G195" s="6" t="inlineStr">
        <x:is>
          <x:t xml:space="preserve">MEP - Electrical</x:t>
        </x:is>
      </x:c>
      <x:c r="H195" s="6" t="inlineStr">
        <x:is>
          <x:t xml:space="preserve">LED Site Lighting</x:t>
        </x:is>
      </x:c>
      <x:c r="I195" s="6" t="inlineStr">
        <x:is>
          <x:t xml:space="preserve">Houle Electric</x:t>
        </x:is>
      </x:c>
      <x:c r="J195" s="6" t="inlineStr">
        <x:is>
          <x:t xml:space="preserve">3-Quote Comparison</x:t>
        </x:is>
      </x:c>
      <x:c r="K195" s="7" t="n">
        <x:v>41</x:v>
      </x:c>
      <x:c r="L195" s="6" t="inlineStr">
        <x:is>
          <x:t xml:space="preserve">lot</x:t>
        </x:is>
      </x:c>
      <x:c r="M195" s="8" t="n">
        <x:v>72871.89</x:v>
      </x:c>
      <x:c r="N195" s="8" t="n">
        <x:v>88854.78999999999</x:v>
      </x:c>
      <x:c r="O195" s="8" t="n">
        <x:v>2987747.49</x:v>
      </x:c>
      <x:c r="P195" s="8" t="n">
        <x:v>3643046.39</x:v>
      </x:c>
      <x:c r="Q195" s="8" t="n">
        <x:v>-655298.9</x:v>
      </x:c>
      <x:c r="R195" s="9" t="n">
        <x:v>-18</x:v>
      </x:c>
      <x:c r="S195" s="7" t="n">
        <x:v>28</x:v>
      </x:c>
      <x:c r="T195" s="6" t="inlineStr">
        <x:is>
          <x:t xml:space="preserve">No</x:t>
        </x:is>
      </x:c>
      <x:c r="U195" s="6" t="inlineStr">
        <x:is>
          <x:t xml:space="preserve">Cancelled</x:t>
        </x:is>
      </x:c>
    </x:row>
    <x:row r="196">
      <x:c r="A196" s="2" t="inlineStr">
        <x:is>
          <x:t xml:space="preserve">PO-2025-0195</x:t>
        </x:is>
      </x:c>
      <x:c r="B196" s="2" t="inlineStr">
        <x:is>
          <x:t xml:space="preserve">02/05/2025</x:t>
        </x:is>
      </x:c>
      <x:c r="C196" s="2" t="inlineStr">
        <x:is>
          <x:t xml:space="preserve">May</x:t>
        </x:is>
      </x:c>
      <x:c r="D196" s="2" t="inlineStr">
        <x:is>
          <x:t xml:space="preserve">Stampede Park Infrastructure Upgrade</x:t>
        </x:is>
      </x:c>
      <x:c r="E196" s="2" t="inlineStr">
        <x:is>
          <x:t xml:space="preserve">Calgary SE</x:t>
        </x:is>
      </x:c>
      <x:c r="F196" s="2" t="inlineStr">
        <x:is>
          <x:t xml:space="preserve">James Okafor</x:t>
        </x:is>
      </x:c>
      <x:c r="G196" s="2" t="inlineStr">
        <x:is>
          <x:t xml:space="preserve">MEP - Electrical</x:t>
        </x:is>
      </x:c>
      <x:c r="H196" s="2" t="inlineStr">
        <x:is>
          <x:t xml:space="preserve">MV Distribution Cable</x:t>
        </x:is>
      </x:c>
      <x:c r="I196" s="2" t="inlineStr">
        <x:is>
          <x:t xml:space="preserve">Stuart Olson Electrical</x:t>
        </x:is>
      </x:c>
      <x:c r="J196" s="2" t="inlineStr">
        <x:is>
          <x:t xml:space="preserve">LPO – Direct Award</x:t>
        </x:is>
      </x:c>
      <x:c r="K196" s="3" t="n">
        <x:v>93</x:v>
      </x:c>
      <x:c r="L196" s="2" t="inlineStr">
        <x:is>
          <x:t xml:space="preserve">lot</x:t>
        </x:is>
      </x:c>
      <x:c r="M196" s="4" t="n">
        <x:v>88559.64</x:v>
      </x:c>
      <x:c r="N196" s="4" t="n">
        <x:v>87856.5</x:v>
      </x:c>
      <x:c r="O196" s="4" t="n">
        <x:v>8236046.52</x:v>
      </x:c>
      <x:c r="P196" s="4" t="n">
        <x:v>8170654.5</x:v>
      </x:c>
      <x:c r="Q196" s="4" t="n">
        <x:v>65392.02</x:v>
      </x:c>
      <x:c r="R196" s="5" t="n">
        <x:v>0.8</x:v>
      </x:c>
      <x:c r="S196" s="3" t="n">
        <x:v>10</x:v>
      </x:c>
      <x:c r="T196" s="2" t="inlineStr">
        <x:is>
          <x:t xml:space="preserve">No</x:t>
        </x:is>
      </x:c>
      <x:c r="U196" s="2" t="inlineStr">
        <x:is>
          <x:t xml:space="preserve">Delivered</x:t>
        </x:is>
      </x:c>
    </x:row>
    <x:row r="197">
      <x:c r="A197" s="6" t="inlineStr">
        <x:is>
          <x:t xml:space="preserve">PO-2025-0196</x:t>
        </x:is>
      </x:c>
      <x:c r="B197" s="6" t="inlineStr">
        <x:is>
          <x:t xml:space="preserve">04/04/2025</x:t>
        </x:is>
      </x:c>
      <x:c r="C197" s="6" t="inlineStr">
        <x:is>
          <x:t xml:space="preserve">April</x:t>
        </x:is>
      </x:c>
      <x:c r="D197" s="6" t="inlineStr">
        <x:is>
          <x:t xml:space="preserve">Springbank Off-Stream Reservoir</x:t>
        </x:is>
      </x:c>
      <x:c r="E197" s="6" t="inlineStr">
        <x:is>
          <x:t xml:space="preserve">Calgary NE</x:t>
        </x:is>
      </x:c>
      <x:c r="F197" s="6" t="inlineStr">
        <x:is>
          <x:t xml:space="preserve">Mohammed Siddiqui</x:t>
        </x:is>
      </x:c>
      <x:c r="G197" s="6" t="inlineStr">
        <x:is>
          <x:t xml:space="preserve">MEP - Electrical</x:t>
        </x:is>
      </x:c>
      <x:c r="H197" s="6" t="inlineStr">
        <x:is>
          <x:t xml:space="preserve">Standby Generator</x:t>
        </x:is>
      </x:c>
      <x:c r="I197" s="6" t="inlineStr">
        <x:is>
          <x:t xml:space="preserve">Flint Energy Services</x:t>
        </x:is>
      </x:c>
      <x:c r="J197" s="6" t="inlineStr">
        <x:is>
          <x:t xml:space="preserve">LPO – Direct Award</x:t>
        </x:is>
      </x:c>
      <x:c r="K197" s="7" t="n">
        <x:v>29</x:v>
      </x:c>
      <x:c r="L197" s="6" t="inlineStr">
        <x:is>
          <x:t xml:space="preserve">lot</x:t>
        </x:is>
      </x:c>
      <x:c r="M197" s="8" t="n">
        <x:v>9905.459999999999</x:v>
      </x:c>
      <x:c r="N197" s="8" t="n">
        <x:v>8580.860000000001</x:v>
      </x:c>
      <x:c r="O197" s="8" t="n">
        <x:v>287258.34</x:v>
      </x:c>
      <x:c r="P197" s="8" t="n">
        <x:v>248844.94</x:v>
      </x:c>
      <x:c r="Q197" s="8" t="n">
        <x:v>38413.4</x:v>
      </x:c>
      <x:c r="R197" s="9" t="n">
        <x:v>15.4</x:v>
      </x:c>
      <x:c r="S197" s="7" t="n">
        <x:v>43</x:v>
      </x:c>
      <x:c r="T197" s="6" t="inlineStr">
        <x:is>
          <x:t xml:space="preserve">Yes</x:t>
        </x:is>
      </x:c>
      <x:c r="U197" s="6" t="inlineStr">
        <x:is>
          <x:t xml:space="preserve">Cancelled</x:t>
        </x:is>
      </x:c>
    </x:row>
    <x:row r="198">
      <x:c r="A198" s="2" t="inlineStr">
        <x:is>
          <x:t xml:space="preserve">PO-2025-0197</x:t>
        </x:is>
      </x:c>
      <x:c r="B198" s="2" t="inlineStr">
        <x:is>
          <x:t xml:space="preserve">15/09/2025</x:t>
        </x:is>
      </x:c>
      <x:c r="C198" s="2" t="inlineStr">
        <x:is>
          <x:t xml:space="preserve">September</x:t>
        </x:is>
      </x:c>
      <x:c r="D198" s="2" t="inlineStr">
        <x:is>
          <x:t xml:space="preserve">Saddledome Arena Retrofit</x:t>
        </x:is>
      </x:c>
      <x:c r="E198" s="2" t="inlineStr">
        <x:is>
          <x:t xml:space="preserve">Calgary SW</x:t>
        </x:is>
      </x:c>
      <x:c r="F198" s="2" t="inlineStr">
        <x:is>
          <x:t xml:space="preserve">Mohammed Siddiqui</x:t>
        </x:is>
      </x:c>
      <x:c r="G198" s="2" t="inlineStr">
        <x:is>
          <x:t xml:space="preserve">MEP - Electrical</x:t>
        </x:is>
      </x:c>
      <x:c r="H198" s="2" t="inlineStr">
        <x:is>
          <x:t xml:space="preserve">Standby Generator</x:t>
        </x:is>
      </x:c>
      <x:c r="I198" s="2" t="inlineStr">
        <x:is>
          <x:t xml:space="preserve">Schneider Electric Canada</x:t>
        </x:is>
      </x:c>
      <x:c r="J198" s="2" t="inlineStr">
        <x:is>
          <x:t xml:space="preserve">Standing Offer Agreement</x:t>
        </x:is>
      </x:c>
      <x:c r="K198" s="3" t="n">
        <x:v>77</x:v>
      </x:c>
      <x:c r="L198" s="2" t="inlineStr">
        <x:is>
          <x:t xml:space="preserve">lot</x:t>
        </x:is>
      </x:c>
      <x:c r="M198" s="4" t="n">
        <x:v>71931.78</x:v>
      </x:c>
      <x:c r="N198" s="4" t="n">
        <x:v>74428.22</x:v>
      </x:c>
      <x:c r="O198" s="4" t="n">
        <x:v>5538747.06</x:v>
      </x:c>
      <x:c r="P198" s="4" t="n">
        <x:v>5730972.94</x:v>
      </x:c>
      <x:c r="Q198" s="4" t="n">
        <x:v>-192225.88</x:v>
      </x:c>
      <x:c r="R198" s="5" t="n">
        <x:v>-3.4</x:v>
      </x:c>
      <x:c r="S198" s="3" t="n">
        <x:v>81</x:v>
      </x:c>
      <x:c r="T198" s="2" t="inlineStr">
        <x:is>
          <x:t xml:space="preserve">Yes</x:t>
        </x:is>
      </x:c>
      <x:c r="U198" s="2" t="inlineStr">
        <x:is>
          <x:t xml:space="preserve">Partially Delivered</x:t>
        </x:is>
      </x:c>
    </x:row>
    <x:row r="199">
      <x:c r="A199" s="6" t="inlineStr">
        <x:is>
          <x:t xml:space="preserve">PO-2025-0198</x:t>
        </x:is>
      </x:c>
      <x:c r="B199" s="6" t="inlineStr">
        <x:is>
          <x:t xml:space="preserve">27/08/2025</x:t>
        </x:is>
      </x:c>
      <x:c r="C199" s="6" t="inlineStr">
        <x:is>
          <x:t xml:space="preserve">August</x:t>
        </x:is>
      </x:c>
      <x:c r="D199" s="6" t="inlineStr">
        <x:is>
          <x:t xml:space="preserve">Bow River Crossing Overpass</x:t>
        </x:is>
      </x:c>
      <x:c r="E199" s="6" t="inlineStr">
        <x:is>
          <x:t xml:space="preserve">Calgary SW</x:t>
        </x:is>
      </x:c>
      <x:c r="F199" s="6" t="inlineStr">
        <x:is>
          <x:t xml:space="preserve">Aisha Nkosi</x:t>
        </x:is>
      </x:c>
      <x:c r="G199" s="6" t="inlineStr">
        <x:is>
          <x:t xml:space="preserve">MEP - Mechanical</x:t>
        </x:is>
      </x:c>
      <x:c r="H199" s="6" t="inlineStr">
        <x:is>
          <x:t xml:space="preserve">Heat Pump Assembly</x:t>
        </x:is>
      </x:c>
      <x:c r="I199" s="6" t="inlineStr">
        <x:is>
          <x:t xml:space="preserve">Johnson Controls Alberta</x:t>
        </x:is>
      </x:c>
      <x:c r="J199" s="6" t="inlineStr">
        <x:is>
          <x:t xml:space="preserve">Emergency Procurement</x:t>
        </x:is>
      </x:c>
      <x:c r="K199" s="7" t="n">
        <x:v>7</x:v>
      </x:c>
      <x:c r="L199" s="6" t="inlineStr">
        <x:is>
          <x:t xml:space="preserve">lot</x:t>
        </x:is>
      </x:c>
      <x:c r="M199" s="8" t="n">
        <x:v>42549.26</x:v>
      </x:c>
      <x:c r="N199" s="8" t="n">
        <x:v>41148.07</x:v>
      </x:c>
      <x:c r="O199" s="8" t="n">
        <x:v>297844.82</x:v>
      </x:c>
      <x:c r="P199" s="8" t="n">
        <x:v>288036.49</x:v>
      </x:c>
      <x:c r="Q199" s="8" t="n">
        <x:v>9808.33</x:v>
      </x:c>
      <x:c r="R199" s="9" t="n">
        <x:v>3.4</x:v>
      </x:c>
      <x:c r="S199" s="7" t="n">
        <x:v>9</x:v>
      </x:c>
      <x:c r="T199" s="6" t="inlineStr">
        <x:is>
          <x:t xml:space="preserve">No</x:t>
        </x:is>
      </x:c>
      <x:c r="U199" s="6" t="inlineStr">
        <x:is>
          <x:t xml:space="preserve">Cancelled</x:t>
        </x:is>
      </x:c>
    </x:row>
    <x:row r="200">
      <x:c r="A200" s="2" t="inlineStr">
        <x:is>
          <x:t xml:space="preserve">PO-2025-0199</x:t>
        </x:is>
      </x:c>
      <x:c r="B200" s="2" t="inlineStr">
        <x:is>
          <x:t xml:space="preserve">19/04/2025</x:t>
        </x:is>
      </x:c>
      <x:c r="C200" s="2" t="inlineStr">
        <x:is>
          <x:t xml:space="preserve">April</x:t>
        </x:is>
      </x:c>
      <x:c r="D200" s="2" t="inlineStr">
        <x:is>
          <x:t xml:space="preserve">Bow River Crossing Overpass</x:t>
        </x:is>
      </x:c>
      <x:c r="E200" s="2" t="inlineStr">
        <x:is>
          <x:t xml:space="preserve">Calgary NE</x:t>
        </x:is>
      </x:c>
      <x:c r="F200" s="2" t="inlineStr">
        <x:is>
          <x:t xml:space="preserve">Priya Sharma</x:t>
        </x:is>
      </x:c>
      <x:c r="G200" s="2" t="inlineStr">
        <x:is>
          <x:t xml:space="preserve">MEP - Mechanical</x:t>
        </x:is>
      </x:c>
      <x:c r="H200" s="2" t="inlineStr">
        <x:is>
          <x:t xml:space="preserve">Heat Pump Assembly</x:t>
        </x:is>
      </x:c>
      <x:c r="I200" s="2" t="inlineStr">
        <x:is>
          <x:t xml:space="preserve">Stantec MEP</x:t>
        </x:is>
      </x:c>
      <x:c r="J200" s="2" t="inlineStr">
        <x:is>
          <x:t xml:space="preserve">Standing Offer Agreement</x:t>
        </x:is>
      </x:c>
      <x:c r="K200" s="3" t="n">
        <x:v>44</x:v>
      </x:c>
      <x:c r="L200" s="2" t="inlineStr">
        <x:is>
          <x:t xml:space="preserve">lot</x:t>
        </x:is>
      </x:c>
      <x:c r="M200" s="4" t="n">
        <x:v>7777.84</x:v>
      </x:c>
      <x:c r="N200" s="4" t="n">
        <x:v>6733.82</x:v>
      </x:c>
      <x:c r="O200" s="4" t="n">
        <x:v>342224.96</x:v>
      </x:c>
      <x:c r="P200" s="4" t="n">
        <x:v>296288.08</x:v>
      </x:c>
      <x:c r="Q200" s="4" t="n">
        <x:v>45936.88</x:v>
      </x:c>
      <x:c r="R200" s="5" t="n">
        <x:v>15.5</x:v>
      </x:c>
      <x:c r="S200" s="3" t="n">
        <x:v>42</x:v>
      </x:c>
      <x:c r="T200" s="2" t="inlineStr">
        <x:is>
          <x:t xml:space="preserve">Yes</x:t>
        </x:is>
      </x:c>
      <x:c r="U200" s="2" t="inlineStr">
        <x:is>
          <x:t xml:space="preserve">Delivered</x:t>
        </x:is>
      </x:c>
    </x:row>
    <x:row r="201">
      <x:c r="A201" s="6" t="inlineStr">
        <x:is>
          <x:t xml:space="preserve">PO-2025-0200</x:t>
        </x:is>
      </x:c>
      <x:c r="B201" s="6" t="inlineStr">
        <x:is>
          <x:t xml:space="preserve">July 15, 2025</x:t>
        </x:is>
      </x:c>
      <x:c r="C201" s="6" t="inlineStr">
        <x:is>
          <x:t xml:space="preserve">May</x:t>
        </x:is>
      </x:c>
      <x:c r="D201" s="6" t="inlineStr">
        <x:is>
          <x:t xml:space="preserve">Springbank Off-Stream Reservoir</x:t>
        </x:is>
      </x:c>
      <x:c r="E201" s="6" t="inlineStr">
        <x:is>
          <x:t xml:space="preserve">Calgary SE</x:t>
        </x:is>
      </x:c>
      <x:c r="F201" s="6" t="inlineStr">
        <x:is>
          <x:t xml:space="preserve">Linda Tran</x:t>
        </x:is>
      </x:c>
      <x:c r="G201" s="6" t="inlineStr">
        <x:is>
          <x:t xml:space="preserve">Safety &amp; Temp Works</x:t>
        </x:is>
      </x:c>
      <x:c r="H201" s="6" t="inlineStr">
        <x:is>
          <x:t xml:space="preserve">PPE Bulk Supply</x:t>
        </x:is>
      </x:c>
      <x:c r="I201" s="6" t="inlineStr">
        <x:is>
          <x:t xml:space="preserve">Levitt-Safety Calgary</x:t>
        </x:is>
      </x:c>
      <x:c r="J201" s="6" t="inlineStr">
        <x:is>
          <x:t xml:space="preserve">3-Quote Comparison</x:t>
        </x:is>
      </x:c>
      <x:c r="K201" s="7" t="n">
        <x:v>114</x:v>
      </x:c>
      <x:c r="L201" s="6" t="inlineStr">
        <x:is>
          <x:t xml:space="preserve">lot</x:t>
        </x:is>
      </x:c>
      <x:c r="M201" s="8" t="n">
        <x:v>7710.58</x:v>
      </x:c>
      <x:c r="N201" s="8" t="n">
        <x:v>8328.530000000001</x:v>
      </x:c>
      <x:c r="O201" s="8" t="n">
        <x:v>879006.12</x:v>
      </x:c>
      <x:c r="P201" s="8" t="n">
        <x:v>949452.42</x:v>
      </x:c>
      <x:c r="Q201" s="8" t="n">
        <x:v>-70446.3</x:v>
      </x:c>
      <x:c r="R201" s="9" t="n">
        <x:v>-7.4</x:v>
      </x:c>
      <x:c r="S201" s="7" t="n">
        <x:v>82</x:v>
      </x:c>
      <x:c r="T201" s="6" t="inlineStr">
        <x:is>
          <x:t xml:space="preserve">Yes</x:t>
        </x:is>
      </x:c>
      <x:c r="U201" s="6" t="inlineStr">
        <x:is>
          <x:t xml:space="preserve">Pending</x:t>
        </x:is>
      </x:c>
    </x:row>
    <x:row r="202">
      <x:c r="A202" s="2" t="inlineStr">
        <x:is>
          <x:t xml:space="preserve">PO-2025-0201</x:t>
        </x:is>
      </x:c>
      <x:c r="B202" s="2" t="inlineStr">
        <x:is>
          <x:t xml:space="preserve">28/10/2025</x:t>
        </x:is>
      </x:c>
      <x:c r="C202" s="2" t="inlineStr">
        <x:is>
          <x:t xml:space="preserve">October</x:t>
        </x:is>
      </x:c>
      <x:c r="D202" s="2" t="inlineStr">
        <x:is>
          <x:t xml:space="preserve">Stampede Park Infrastructure Upgrade</x:t>
        </x:is>
      </x:c>
      <x:c r="E202" s="2" t="inlineStr">
        <x:is>
          <x:t xml:space="preserve">Calgary SE</x:t>
        </x:is>
      </x:c>
      <x:c r="F202" s="2" t="inlineStr">
        <x:is>
          <x:t xml:space="preserve">James Okafor</x:t>
        </x:is>
      </x:c>
      <x:c r="G202" s="2" t="inlineStr">
        <x:is>
          <x:t xml:space="preserve">MEP - Electrical</x:t>
        </x:is>
      </x:c>
      <x:c r="H202" s="2" t="inlineStr">
        <x:is>
          <x:t xml:space="preserve">Grounding System</x:t>
        </x:is>
      </x:c>
      <x:c r="I202" s="2" t="inlineStr">
        <x:is>
          <x:t xml:space="preserve">Houle Electric</x:t>
        </x:is>
      </x:c>
      <x:c r="J202" s="2" t="inlineStr">
        <x:is>
          <x:t xml:space="preserve">Standing Offer Agreement</x:t>
        </x:is>
      </x:c>
      <x:c r="K202" s="3" t="n">
        <x:v>118</x:v>
      </x:c>
      <x:c r="L202" s="2" t="inlineStr">
        <x:is>
          <x:t xml:space="preserve">lot</x:t>
        </x:is>
      </x:c>
      <x:c r="M202" s="10" t="n"/>
      <x:c r="N202" s="4" t="n">
        <x:v>45742.03</x:v>
      </x:c>
      <x:c r="O202" s="4" t="n">
        <x:v>5566283.02</x:v>
      </x:c>
      <x:c r="P202" s="4" t="n">
        <x:v>5397559.54</x:v>
      </x:c>
      <x:c r="Q202" s="4" t="n">
        <x:v>168723.48</x:v>
      </x:c>
      <x:c r="R202" s="5" t="n">
        <x:v>3.1</x:v>
      </x:c>
      <x:c r="S202" s="3" t="n">
        <x:v>25</x:v>
      </x:c>
      <x:c r="T202" s="2" t="inlineStr">
        <x:is>
          <x:t xml:space="preserve">Yes</x:t>
        </x:is>
      </x:c>
      <x:c r="U202" s="2" t="inlineStr">
        <x:is>
          <x:t xml:space="preserve">Delivered</x:t>
        </x:is>
      </x:c>
    </x:row>
    <x:row r="203">
      <x:c r="A203" s="6" t="inlineStr">
        <x:is>
          <x:t xml:space="preserve">PO-2025-0202</x:t>
        </x:is>
      </x:c>
      <x:c r="B203" s="6" t="inlineStr">
        <x:is>
          <x:t xml:space="preserve">01/05/2025</x:t>
        </x:is>
      </x:c>
      <x:c r="C203" s="6" t="inlineStr">
        <x:is>
          <x:t xml:space="preserve">May</x:t>
        </x:is>
      </x:c>
      <x:c r="D203" s="6" t="inlineStr">
        <x:is>
          <x:t xml:space="preserve">Deerfoot Trail Widening - North</x:t>
        </x:is>
      </x:c>
      <x:c r="E203" s="6" t="inlineStr">
        <x:is>
          <x:t xml:space="preserve">Rocky View County</x:t>
        </x:is>
      </x:c>
      <x:c r="F203" s="6" t="inlineStr">
        <x:is>
          <x:t xml:space="preserve">Priya Sharma</x:t>
        </x:is>
      </x:c>
      <x:c r="G203" s="6" t="inlineStr">
        <x:is>
          <x:t xml:space="preserve">MEP - Mechanical</x:t>
        </x:is>
      </x:c>
      <x:c r="H203" s="6" t="inlineStr">
        <x:is>
          <x:t xml:space="preserve">Air Handling Unit</x:t>
        </x:is>
      </x:c>
      <x:c r="I203" s="6" t="inlineStr">
        <x:is>
          <x:t xml:space="preserve">PCL Mechanical</x:t>
        </x:is>
      </x:c>
      <x:c r="J203" s="6" t="inlineStr">
        <x:is>
          <x:t xml:space="preserve">LPO – Direct Award</x:t>
        </x:is>
      </x:c>
      <x:c r="K203" s="7" t="n">
        <x:v>72</x:v>
      </x:c>
      <x:c r="L203" s="6" t="inlineStr">
        <x:is>
          <x:t xml:space="preserve">lot</x:t>
        </x:is>
      </x:c>
      <x:c r="M203" s="8" t="n">
        <x:v>37607.22</x:v>
      </x:c>
      <x:c r="N203" s="8" t="n">
        <x:v>33943.85</x:v>
      </x:c>
      <x:c r="O203" s="8" t="n">
        <x:v>2707719.84</x:v>
      </x:c>
      <x:c r="P203" s="8" t="n">
        <x:v>2443957.2</x:v>
      </x:c>
      <x:c r="Q203" s="8" t="n">
        <x:v>263762.64</x:v>
      </x:c>
      <x:c r="R203" s="9" t="n">
        <x:v>10.8</x:v>
      </x:c>
      <x:c r="S203" s="7" t="n">
        <x:v>69</x:v>
      </x:c>
      <x:c r="T203" s="6" t="inlineStr">
        <x:is>
          <x:t xml:space="preserve">Yes</x:t>
        </x:is>
      </x:c>
      <x:c r="U203" s="6" t="inlineStr">
        <x:is>
          <x:t xml:space="preserve">Cancelled</x:t>
        </x:is>
      </x:c>
    </x:row>
    <x:row r="204">
      <x:c r="A204" s="2" t="inlineStr">
        <x:is>
          <x:t xml:space="preserve">PO-2025-0203</x:t>
        </x:is>
      </x:c>
      <x:c r="B204" s="2" t="inlineStr">
        <x:is>
          <x:t xml:space="preserve">01/01/2025</x:t>
        </x:is>
      </x:c>
      <x:c r="C204" s="2" t="inlineStr">
        <x:is>
          <x:t xml:space="preserve">January</x:t>
        </x:is>
      </x:c>
      <x:c r="D204" s="2" t="inlineStr">
        <x:is>
          <x:t xml:space="preserve">Stampede Park Infrastructure Upgrade</x:t>
        </x:is>
      </x:c>
      <x:c r="E204" s="2" t="inlineStr">
        <x:is>
          <x:t xml:space="preserve">Rocky View County</x:t>
        </x:is>
      </x:c>
      <x:c r="F204" s="2" t="inlineStr">
        <x:is>
          <x:t xml:space="preserve">Liam Kowalski</x:t>
        </x:is>
      </x:c>
      <x:c r="G204" s="2" t="inlineStr">
        <x:is>
          <x:t xml:space="preserve">MEP - Electrical</x:t>
        </x:is>
      </x:c>
      <x:c r="H204" s="2" t="inlineStr">
        <x:is>
          <x:t xml:space="preserve">Grounding System</x:t>
        </x:is>
      </x:c>
      <x:c r="I204" s="2" t="inlineStr">
        <x:is>
          <x:t xml:space="preserve">Flint Energy Services</x:t>
        </x:is>
      </x:c>
      <x:c r="J204" s="2" t="inlineStr">
        <x:is>
          <x:t xml:space="preserve">LPO – Direct Award</x:t>
        </x:is>
      </x:c>
      <x:c r="K204" s="3" t="n">
        <x:v>82</x:v>
      </x:c>
      <x:c r="L204" s="2" t="inlineStr">
        <x:is>
          <x:t xml:space="preserve">lot</x:t>
        </x:is>
      </x:c>
      <x:c r="M204" s="4" t="n">
        <x:v>30660.2</x:v>
      </x:c>
      <x:c r="N204" s="4" t="n">
        <x:v>31981.06</x:v>
      </x:c>
      <x:c r="O204" s="4" t="n">
        <x:v>2514136.4</x:v>
      </x:c>
      <x:c r="P204" s="4" t="n">
        <x:v>2622446.92</x:v>
      </x:c>
      <x:c r="Q204" s="4" t="n">
        <x:v>-108310.52</x:v>
      </x:c>
      <x:c r="R204" s="5" t="n">
        <x:v>-4.1</x:v>
      </x:c>
      <x:c r="S204" s="3" t="n">
        <x:v>22</x:v>
      </x:c>
      <x:c r="T204" s="2" t="inlineStr">
        <x:is>
          <x:t xml:space="preserve">Yes</x:t>
        </x:is>
      </x:c>
      <x:c r="U204" s="2" t="inlineStr">
        <x:is>
          <x:t xml:space="preserve">Delivered</x:t>
        </x:is>
      </x:c>
    </x:row>
    <x:row r="205">
      <x:c r="A205" s="6" t="inlineStr">
        <x:is>
          <x:t xml:space="preserve">PO-2025-0204</x:t>
        </x:is>
      </x:c>
      <x:c r="B205" s="6" t="inlineStr">
        <x:is>
          <x:t xml:space="preserve">03/10/2025</x:t>
        </x:is>
      </x:c>
      <x:c r="C205" s="6" t="inlineStr">
        <x:is>
          <x:t xml:space="preserve">October</x:t>
        </x:is>
      </x:c>
      <x:c r="D205" s="6" t="inlineStr">
        <x:is>
          <x:t xml:space="preserve">Stampede Park Infrastructure Upgrade</x:t>
        </x:is>
      </x:c>
      <x:c r="E205" s="6" t="inlineStr">
        <x:is>
          <x:t xml:space="preserve">Calgary NE</x:t>
        </x:is>
      </x:c>
      <x:c r="F205" s="6" t="inlineStr">
        <x:is>
          <x:t xml:space="preserve">Sarah Bouchard</x:t>
        </x:is>
      </x:c>
      <x:c r="G205" s="6" t="inlineStr">
        <x:is>
          <x:t xml:space="preserve">Concrete &amp; Structural</x:t>
        </x:is>
      </x:c>
      <x:c r="H205" s="6" t="inlineStr">
        <x:is>
          <x:t xml:space="preserve">Rebar Steel</x:t>
        </x:is>
      </x:c>
      <x:c r="I205" s="6" t="inlineStr">
        <x:is>
          <x:t xml:space="preserve">Lafarge Canada - Calgary</x:t>
        </x:is>
      </x:c>
      <x:c r="J205" s="6" t="inlineStr">
        <x:is>
          <x:t xml:space="preserve">Emergency Procurement</x:t>
        </x:is>
      </x:c>
      <x:c r="K205" s="7" t="n">
        <x:v>103</x:v>
      </x:c>
      <x:c r="L205" s="6" t="inlineStr">
        <x:is>
          <x:t xml:space="preserve">m³</x:t>
        </x:is>
      </x:c>
      <x:c r="M205" s="8" t="n">
        <x:v>599.66</x:v>
      </x:c>
      <x:c r="N205" s="8" t="n">
        <x:v>525.21</x:v>
      </x:c>
      <x:c r="O205" s="8" t="n">
        <x:v>61764.98</x:v>
      </x:c>
      <x:c r="P205" s="8" t="n">
        <x:v>54096.63</x:v>
      </x:c>
      <x:c r="Q205" s="8" t="n">
        <x:v>7668.35</x:v>
      </x:c>
      <x:c r="R205" s="9" t="n">
        <x:v>14.2</x:v>
      </x:c>
      <x:c r="S205" s="7" t="n">
        <x:v>28</x:v>
      </x:c>
      <x:c r="T205" s="6" t="inlineStr">
        <x:is>
          <x:t xml:space="preserve">Yes</x:t>
        </x:is>
      </x:c>
      <x:c r="U205" s="6" t="inlineStr">
        <x:is>
          <x:t xml:space="preserve">Pending</x:t>
        </x:is>
      </x:c>
    </x:row>
    <x:row r="206">
      <x:c r="A206" s="2" t="inlineStr">
        <x:is>
          <x:t xml:space="preserve">PO-2025-0205</x:t>
        </x:is>
      </x:c>
      <x:c r="B206" s="2" t="inlineStr">
        <x:is>
          <x:t xml:space="preserve">22/02/2025</x:t>
        </x:is>
      </x:c>
      <x:c r="C206" s="2" t="inlineStr">
        <x:is>
          <x:t xml:space="preserve">February</x:t>
        </x:is>
      </x:c>
      <x:c r="D206" s="2" t="inlineStr">
        <x:is>
          <x:t xml:space="preserve">University District Residential Phase 3</x:t>
        </x:is>
      </x:c>
      <x:c r="E206" s="2" t="inlineStr">
        <x:is>
          <x:t xml:space="preserve">Calgary SE</x:t>
        </x:is>
      </x:c>
      <x:c r="F206" s="2" t="inlineStr">
        <x:is>
          <x:t xml:space="preserve">Aisha Nkosi</x:t>
        </x:is>
      </x:c>
      <x:c r="G206" s="2" t="inlineStr">
        <x:is>
          <x:t xml:space="preserve">Finishing</x:t>
        </x:is>
      </x:c>
      <x:c r="H206" s="2" t="inlineStr">
        <x:is>
          <x:t xml:space="preserve">Ceramic Floor Tile</x:t>
        </x:is>
      </x:c>
      <x:c r="I206" s="2" t="inlineStr">
        <x:is>
          <x:t xml:space="preserve">Centura Tile Calgary</x:t>
        </x:is>
      </x:c>
      <x:c r="J206" s="2" t="inlineStr">
        <x:is>
          <x:t xml:space="preserve">Standing Offer Agreement</x:t>
        </x:is>
      </x:c>
      <x:c r="K206" s="3" t="n">
        <x:v>41</x:v>
      </x:c>
      <x:c r="L206" s="2" t="inlineStr">
        <x:is>
          <x:t xml:space="preserve">m²</x:t>
        </x:is>
      </x:c>
      <x:c r="M206" s="4" t="n">
        <x:v>120.59</x:v>
      </x:c>
      <x:c r="N206" s="4" t="n">
        <x:v>142.25</x:v>
      </x:c>
      <x:c r="O206" s="4" t="n">
        <x:v>4944.19</x:v>
      </x:c>
      <x:c r="P206" s="4" t="n">
        <x:v>5832.25</x:v>
      </x:c>
      <x:c r="Q206" s="4" t="n">
        <x:v>-888.0599999999999</x:v>
      </x:c>
      <x:c r="R206" s="5" t="n">
        <x:v>-15.2</x:v>
      </x:c>
      <x:c r="S206" s="3" t="n">
        <x:v>68</x:v>
      </x:c>
      <x:c r="T206" s="2" t="inlineStr">
        <x:is>
          <x:t xml:space="preserve">Yes</x:t>
        </x:is>
      </x:c>
      <x:c r="U206" s="2" t="inlineStr">
        <x:is>
          <x:t xml:space="preserve">Delivered</x:t>
        </x:is>
      </x:c>
    </x:row>
    <x:row r="207">
      <x:c r="A207" s="6" t="inlineStr">
        <x:is>
          <x:t xml:space="preserve">PO-2025-0206</x:t>
        </x:is>
      </x:c>
      <x:c r="B207" s="6" t="inlineStr">
        <x:is>
          <x:t xml:space="preserve">28/11/2025</x:t>
        </x:is>
      </x:c>
      <x:c r="C207" s="6" t="inlineStr">
        <x:is>
          <x:t xml:space="preserve">November</x:t>
        </x:is>
      </x:c>
      <x:c r="D207" s="6" t="inlineStr">
        <x:is>
          <x:t xml:space="preserve">Foothills Medical Centre Expansion</x:t>
        </x:is>
      </x:c>
      <x:c r="E207" s="6" t="inlineStr">
        <x:is>
          <x:t xml:space="preserve">Rocky View County</x:t>
        </x:is>
      </x:c>
      <x:c r="F207" s="6" t="inlineStr">
        <x:is>
          <x:t xml:space="preserve">Mohammed Siddiqui</x:t>
        </x:is>
      </x:c>
      <x:c r="G207" s="6" t="inlineStr">
        <x:is>
          <x:t xml:space="preserve">MEP - Electrical</x:t>
        </x:is>
      </x:c>
      <x:c r="H207" s="6" t="inlineStr">
        <x:is>
          <x:t xml:space="preserve">LV Switchgear Panel</x:t>
        </x:is>
      </x:c>
      <x:c r="I207" s="6" t="inlineStr">
        <x:is>
          <x:t xml:space="preserve">Houle Electric</x:t>
        </x:is>
      </x:c>
      <x:c r="J207" s="6" t="inlineStr">
        <x:is>
          <x:t xml:space="preserve">Tender – Open</x:t>
        </x:is>
      </x:c>
      <x:c r="K207" s="7" t="n">
        <x:v>23</x:v>
      </x:c>
      <x:c r="L207" s="6" t="inlineStr">
        <x:is>
          <x:t xml:space="preserve">lot</x:t>
        </x:is>
      </x:c>
      <x:c r="M207" s="8" t="n">
        <x:v>72671.38</x:v>
      </x:c>
      <x:c r="N207" s="8" t="n">
        <x:v>65746.09</x:v>
      </x:c>
      <x:c r="O207" s="8" t="n">
        <x:v>1671441.74</x:v>
      </x:c>
      <x:c r="P207" s="8" t="n">
        <x:v>1512160.07</x:v>
      </x:c>
      <x:c r="Q207" s="8" t="n">
        <x:v>159281.67</x:v>
      </x:c>
      <x:c r="R207" s="9" t="n">
        <x:v>10.5</x:v>
      </x:c>
      <x:c r="S207" s="7" t="n">
        <x:v>64</x:v>
      </x:c>
      <x:c r="T207" s="6" t="inlineStr">
        <x:is>
          <x:t xml:space="preserve">Yes</x:t>
        </x:is>
      </x:c>
      <x:c r="U207" s="6" t="inlineStr">
        <x:is>
          <x:t xml:space="preserve">Delivered</x:t>
        </x:is>
      </x:c>
    </x:row>
    <x:row r="208">
      <x:c r="A208" s="2" t="inlineStr">
        <x:is>
          <x:t xml:space="preserve">PO-2025-0207</x:t>
        </x:is>
      </x:c>
      <x:c r="B208" s="2" t="inlineStr">
        <x:is>
          <x:t xml:space="preserve">23/01/2025</x:t>
        </x:is>
      </x:c>
      <x:c r="C208" s="2" t="inlineStr">
        <x:is>
          <x:t xml:space="preserve">January</x:t>
        </x:is>
      </x:c>
      <x:c r="D208" s="2" t="inlineStr">
        <x:is>
          <x:t xml:space="preserve">Bow River Crossing Overpass</x:t>
        </x:is>
      </x:c>
      <x:c r="E208" s="2" t="inlineStr">
        <x:is>
          <x:t xml:space="preserve">Calgary SE</x:t>
        </x:is>
      </x:c>
      <x:c r="F208" s="2" t="inlineStr">
        <x:is>
          <x:t xml:space="preserve">Priya Sharma</x:t>
        </x:is>
      </x:c>
      <x:c r="G208" s="2" t="inlineStr">
        <x:is>
          <x:t xml:space="preserve">Civil Works</x:t>
        </x:is>
      </x:c>
      <x:c r="H208" s="2" t="inlineStr">
        <x:is>
          <x:t xml:space="preserve">Storm Drainage Pipe</x:t>
        </x:is>
      </x:c>
      <x:c r="I208" s="2" t="inlineStr">
        <x:is>
          <x:t xml:space="preserve">EllisDon Civil</x:t>
        </x:is>
      </x:c>
      <x:c r="J208" s="2" t="inlineStr">
        <x:is>
          <x:t xml:space="preserve">3-Quote Comparison</x:t>
        </x:is>
      </x:c>
      <x:c r="K208" s="3" t="n">
        <x:v>37</x:v>
      </x:c>
      <x:c r="L208" s="2" t="inlineStr">
        <x:is>
          <x:t xml:space="preserve">m³</x:t>
        </x:is>
      </x:c>
      <x:c r="M208" s="4" t="n">
        <x:v>82.89</x:v>
      </x:c>
      <x:c r="N208" s="4" t="n">
        <x:v>98.73</x:v>
      </x:c>
      <x:c r="O208" s="4" t="n">
        <x:v>3066.93</x:v>
      </x:c>
      <x:c r="P208" s="4" t="n">
        <x:v>3653.01</x:v>
      </x:c>
      <x:c r="Q208" s="4" t="n">
        <x:v>-586.08</x:v>
      </x:c>
      <x:c r="R208" s="5" t="n">
        <x:v>-16</x:v>
      </x:c>
      <x:c r="S208" s="3" t="n">
        <x:v>43</x:v>
      </x:c>
      <x:c r="T208" s="2" t="inlineStr">
        <x:is>
          <x:t xml:space="preserve">No</x:t>
        </x:is>
      </x:c>
      <x:c r="U208" s="2" t="inlineStr">
        <x:is>
          <x:t xml:space="preserve">Pending</x:t>
        </x:is>
      </x:c>
    </x:row>
    <x:row r="209">
      <x:c r="A209" s="6" t="inlineStr">
        <x:is>
          <x:t xml:space="preserve">PO-2025-0208</x:t>
        </x:is>
      </x:c>
      <x:c r="B209" s="6" t="inlineStr">
        <x:is>
          <x:t xml:space="preserve">14/05/2025</x:t>
        </x:is>
      </x:c>
      <x:c r="C209" s="6" t="inlineStr">
        <x:is>
          <x:t xml:space="preserve">May</x:t>
        </x:is>
      </x:c>
      <x:c r="D209" s="6" t="inlineStr">
        <x:is>
          <x:t xml:space="preserve">Springbank Off-Stream Reservoir</x:t>
        </x:is>
      </x:c>
      <x:c r="E209" s="6" t="inlineStr">
        <x:is>
          <x:t xml:space="preserve">Calgary SW</x:t>
        </x:is>
      </x:c>
      <x:c r="F209" s="6" t="inlineStr">
        <x:is>
          <x:t xml:space="preserve">Derek McLean</x:t>
        </x:is>
      </x:c>
      <x:c r="G209" s="6" t="inlineStr">
        <x:is>
          <x:t xml:space="preserve">Safety &amp; Temp Works</x:t>
        </x:is>
      </x:c>
      <x:c r="H209" s="6" t="inlineStr">
        <x:is>
          <x:t xml:space="preserve">Site Hoarding &amp; Fencing</x:t>
        </x:is>
      </x:c>
      <x:c r="I209" s="6" t="inlineStr">
        <x:is>
          <x:t xml:space="preserve">Sunbelt Rentals Canada</x:t>
        </x:is>
      </x:c>
      <x:c r="J209" s="6" t="inlineStr">
        <x:is>
          <x:t xml:space="preserve">Standing Offer Agreement</x:t>
        </x:is>
      </x:c>
      <x:c r="K209" s="7" t="n">
        <x:v>112</x:v>
      </x:c>
      <x:c r="L209" s="6" t="inlineStr">
        <x:is>
          <x:t xml:space="preserve">lot</x:t>
        </x:is>
      </x:c>
      <x:c r="M209" s="8" t="n">
        <x:v>15900.37</x:v>
      </x:c>
      <x:c r="N209" s="8" t="n">
        <x:v>13689.46</x:v>
      </x:c>
      <x:c r="O209" s="8" t="n">
        <x:v>1780841.44</x:v>
      </x:c>
      <x:c r="P209" s="8" t="n">
        <x:v>1533219.52</x:v>
      </x:c>
      <x:c r="Q209" s="8" t="n">
        <x:v>247621.92</x:v>
      </x:c>
      <x:c r="R209" s="9" t="n">
        <x:v>16.2</x:v>
      </x:c>
      <x:c r="S209" s="7" t="n">
        <x:v>37</x:v>
      </x:c>
      <x:c r="T209" s="6" t="inlineStr">
        <x:is>
          <x:t xml:space="preserve">Yes</x:t>
        </x:is>
      </x:c>
      <x:c r="U209" s="6" t="inlineStr">
        <x:is>
          <x:t xml:space="preserve">Cancelled</x:t>
        </x:is>
      </x:c>
    </x:row>
    <x:row r="210">
      <x:c r="A210" s="2" t="inlineStr">
        <x:is>
          <x:t xml:space="preserve">PO-2025-0209</x:t>
        </x:is>
      </x:c>
      <x:c r="B210" s="2" t="inlineStr">
        <x:is>
          <x:t xml:space="preserve">09/09/2025</x:t>
        </x:is>
      </x:c>
      <x:c r="C210" s="2" t="inlineStr">
        <x:is>
          <x:t xml:space="preserve">September</x:t>
        </x:is>
      </x:c>
      <x:c r="D210" s="2" t="inlineStr">
        <x:is>
          <x:t xml:space="preserve">Foothills Medical Centre Expansion</x:t>
        </x:is>
      </x:c>
      <x:c r="E210" s="2" t="inlineStr">
        <x:is>
          <x:t xml:space="preserve">Rocky View County</x:t>
        </x:is>
      </x:c>
      <x:c r="F210" s="2" t="inlineStr">
        <x:is>
          <x:t xml:space="preserve">Liam Kowalski</x:t>
        </x:is>
      </x:c>
      <x:c r="G210" s="2" t="inlineStr">
        <x:is>
          <x:t xml:space="preserve">Safety &amp; Temp Works</x:t>
        </x:is>
      </x:c>
      <x:c r="H210" s="2" t="inlineStr">
        <x:is>
          <x:t xml:space="preserve">Fall Protection Netting</x:t>
        </x:is>
      </x:c>
      <x:c r="I210" s="2" t="inlineStr">
        <x:is>
          <x:t xml:space="preserve">BrandSafway Canada</x:t>
        </x:is>
      </x:c>
      <x:c r="J210" s="2" t="inlineStr">
        <x:is>
          <x:t xml:space="preserve">3-Quote Comparison</x:t>
        </x:is>
      </x:c>
      <x:c r="K210" s="3" t="n">
        <x:v>30</x:v>
      </x:c>
      <x:c r="L210" s="2" t="inlineStr">
        <x:is>
          <x:t xml:space="preserve">lot</x:t>
        </x:is>
      </x:c>
      <x:c r="M210" s="4" t="n">
        <x:v>10448.16</x:v>
      </x:c>
      <x:c r="N210" s="4" t="n">
        <x:v>9901.92</x:v>
      </x:c>
      <x:c r="O210" s="4" t="n">
        <x:v>313444.8</x:v>
      </x:c>
      <x:c r="P210" s="4" t="n">
        <x:v>297057.6</x:v>
      </x:c>
      <x:c r="Q210" s="4" t="n">
        <x:v>16387.2</x:v>
      </x:c>
      <x:c r="R210" s="5" t="n">
        <x:v>5.5</x:v>
      </x:c>
      <x:c r="S210" s="3" t="n">
        <x:v>83</x:v>
      </x:c>
      <x:c r="T210" s="2" t="inlineStr">
        <x:is>
          <x:t xml:space="preserve">Yes</x:t>
        </x:is>
      </x:c>
      <x:c r="U210" s="2" t="inlineStr">
        <x:is>
          <x:t xml:space="preserve">Cancelled</x:t>
        </x:is>
      </x:c>
    </x:row>
    <x:row r="211">
      <x:c r="A211" s="6" t="inlineStr">
        <x:is>
          <x:t xml:space="preserve">PO-2025-0210</x:t>
        </x:is>
      </x:c>
      <x:c r="B211" s="6" t="inlineStr">
        <x:is>
          <x:t xml:space="preserve">20/03/2025</x:t>
        </x:is>
      </x:c>
      <x:c r="C211" s="6" t="inlineStr">
        <x:is>
          <x:t xml:space="preserve">March</x:t>
        </x:is>
      </x:c>
      <x:c r="D211" s="6" t="inlineStr">
        <x:is>
          <x:t xml:space="preserve">Deerfoot Trail Widening - North</x:t>
        </x:is>
      </x:c>
      <x:c r="E211" s="6" t="inlineStr">
        <x:is>
          <x:t xml:space="preserve">Rocky View County</x:t>
        </x:is>
      </x:c>
      <x:c r="F211" s="6" t="inlineStr">
        <x:is>
          <x:t xml:space="preserve">James Okafor</x:t>
        </x:is>
      </x:c>
      <x:c r="G211" s="6" t="inlineStr">
        <x:is>
          <x:t xml:space="preserve">MEP - Electrical</x:t>
        </x:is>
      </x:c>
      <x:c r="H211" s="6" t="inlineStr">
        <x:is>
          <x:t xml:space="preserve">Grounding System</x:t>
        </x:is>
      </x:c>
      <x:c r="I211" s="6" t="inlineStr">
        <x:is>
          <x:t xml:space="preserve">Stuart Olson Electrical</x:t>
        </x:is>
      </x:c>
      <x:c r="J211" s="6" t="inlineStr">
        <x:is>
          <x:t xml:space="preserve">LPO – Direct Award</x:t>
        </x:is>
      </x:c>
      <x:c r="K211" s="7" t="n">
        <x:v>88</x:v>
      </x:c>
      <x:c r="L211" s="6" t="inlineStr">
        <x:is>
          <x:t xml:space="preserve">lot</x:t>
        </x:is>
      </x:c>
      <x:c r="M211" s="8" t="n">
        <x:v>59291.61</x:v>
      </x:c>
      <x:c r="N211" s="8" t="n">
        <x:v>68376.85000000001</x:v>
      </x:c>
      <x:c r="O211" s="8" t="n">
        <x:v>5217661.68</x:v>
      </x:c>
      <x:c r="P211" s="8" t="n">
        <x:v>6017162.8</x:v>
      </x:c>
      <x:c r="Q211" s="8" t="n">
        <x:v>-799501.12</x:v>
      </x:c>
      <x:c r="R211" s="9" t="n">
        <x:v>-13.3</x:v>
      </x:c>
      <x:c r="S211" s="7" t="n">
        <x:v>17</x:v>
      </x:c>
      <x:c r="T211" s="6" t="inlineStr">
        <x:is>
          <x:t xml:space="preserve">Yes</x:t>
        </x:is>
      </x:c>
      <x:c r="U211" s="6" t="inlineStr">
        <x:is>
          <x:t xml:space="preserve">Delivered</x:t>
        </x:is>
      </x:c>
    </x:row>
    <x:row r="212">
      <x:c r="A212" s="2" t="inlineStr">
        <x:is>
          <x:t xml:space="preserve">PO-2025-0211</x:t>
        </x:is>
      </x:c>
      <x:c r="B212" s="2" t="inlineStr">
        <x:is>
          <x:t xml:space="preserve">14/01/2025</x:t>
        </x:is>
      </x:c>
      <x:c r="C212" s="2" t="inlineStr">
        <x:is>
          <x:t xml:space="preserve">January</x:t>
        </x:is>
      </x:c>
      <x:c r="D212" s="2" t="inlineStr">
        <x:is>
          <x:t xml:space="preserve">Quarry Park Mixed-Use Development</x:t>
        </x:is>
      </x:c>
      <x:c r="E212" s="2" t="inlineStr">
        <x:is>
          <x:t xml:space="preserve">Calgary SE</x:t>
        </x:is>
      </x:c>
      <x:c r="F212" s="2" t="inlineStr">
        <x:is>
          <x:t xml:space="preserve">Priya Sharma</x:t>
        </x:is>
      </x:c>
      <x:c r="G212" s="2" t="inlineStr">
        <x:is>
          <x:t xml:space="preserve">Civil Works</x:t>
        </x:is>
      </x:c>
      <x:c r="H212" s="2" t="inlineStr">
        <x:is>
          <x:t xml:space="preserve">Bulk Excavation</x:t>
        </x:is>
      </x:c>
      <x:c r="I212" s="2" t="inlineStr">
        <x:is>
          <x:t xml:space="preserve">Kiewit Infrastructure</x:t>
        </x:is>
      </x:c>
      <x:c r="J212" s="2" t="inlineStr">
        <x:is>
          <x:t xml:space="preserve">Tender – Open</x:t>
        </x:is>
      </x:c>
      <x:c r="K212" s="3" t="n">
        <x:v>63</x:v>
      </x:c>
      <x:c r="L212" s="2" t="inlineStr">
        <x:is>
          <x:t xml:space="preserve">m³</x:t>
        </x:is>
      </x:c>
      <x:c r="M212" s="4" t="n">
        <x:v>110.46</x:v>
      </x:c>
      <x:c r="N212" s="4" t="n">
        <x:v>97.76000000000001</x:v>
      </x:c>
      <x:c r="O212" s="4" t="n">
        <x:v>6958.98</x:v>
      </x:c>
      <x:c r="P212" s="4" t="n">
        <x:v>6158.88</x:v>
      </x:c>
      <x:c r="Q212" s="4" t="n">
        <x:v>800.1</x:v>
      </x:c>
      <x:c r="R212" s="5" t="n">
        <x:v>13</x:v>
      </x:c>
      <x:c r="S212" s="3" t="n">
        <x:v>16</x:v>
      </x:c>
      <x:c r="T212" s="2" t="inlineStr">
        <x:is>
          <x:t xml:space="preserve">Yes</x:t>
        </x:is>
      </x:c>
      <x:c r="U212" s="2" t="inlineStr">
        <x:is>
          <x:t xml:space="preserve">Pending</x:t>
        </x:is>
      </x:c>
    </x:row>
    <x:row r="213">
      <x:c r="A213" s="6" t="inlineStr">
        <x:is>
          <x:t xml:space="preserve">PO-2025-0212</x:t>
        </x:is>
      </x:c>
      <x:c r="B213" s="6" t="inlineStr">
        <x:is>
          <x:t xml:space="preserve">26/01/2025</x:t>
        </x:is>
      </x:c>
      <x:c r="C213" s="6" t="inlineStr">
        <x:is>
          <x:t xml:space="preserve">January</x:t>
        </x:is>
      </x:c>
      <x:c r="D213" s="6" t="inlineStr">
        <x:is>
          <x:t xml:space="preserve">Stampede Park Infrastructure Upgrade</x:t>
        </x:is>
      </x:c>
      <x:c r="E213" s="6" t="inlineStr">
        <x:is>
          <x:t xml:space="preserve">Calgary SW</x:t>
        </x:is>
      </x:c>
      <x:c r="F213" s="6" t="inlineStr">
        <x:is>
          <x:t xml:space="preserve">Sarah Bouchard</x:t>
        </x:is>
      </x:c>
      <x:c r="G213" s="6" t="inlineStr">
        <x:is>
          <x:t xml:space="preserve">MEP - Electrical</x:t>
        </x:is>
      </x:c>
      <x:c r="H213" s="6" t="inlineStr">
        <x:is>
          <x:t xml:space="preserve">LV Switchgear Panel</x:t>
        </x:is>
      </x:c>
      <x:c r="I213" s="6" t="inlineStr">
        <x:is>
          <x:t xml:space="preserve">Stuart Olson Electrical</x:t>
        </x:is>
      </x:c>
      <x:c r="J213" s="6" t="inlineStr">
        <x:is>
          <x:t xml:space="preserve">Standing Offer Agreement</x:t>
        </x:is>
      </x:c>
      <x:c r="K213" s="7" t="n">
        <x:v>9</x:v>
      </x:c>
      <x:c r="L213" s="6" t="inlineStr">
        <x:is>
          <x:t xml:space="preserve">lot</x:t>
        </x:is>
      </x:c>
      <x:c r="M213" s="8" t="n">
        <x:v>31358.18</x:v>
      </x:c>
      <x:c r="N213" s="8" t="n">
        <x:v>31017.34</x:v>
      </x:c>
      <x:c r="O213" s="8" t="n">
        <x:v>282223.62</x:v>
      </x:c>
      <x:c r="P213" s="8" t="n">
        <x:v>279156.06</x:v>
      </x:c>
      <x:c r="Q213" s="8" t="n">
        <x:v>3067.56</x:v>
      </x:c>
      <x:c r="R213" s="9" t="n">
        <x:v>1.1</x:v>
      </x:c>
      <x:c r="S213" s="7" t="n">
        <x:v>49</x:v>
      </x:c>
      <x:c r="T213" s="6" t="inlineStr">
        <x:is>
          <x:t xml:space="preserve">Yes</x:t>
        </x:is>
      </x:c>
      <x:c r="U213" s="6" t="inlineStr">
        <x:is>
          <x:t xml:space="preserve">Cancelled</x:t>
        </x:is>
      </x:c>
    </x:row>
    <x:row r="214">
      <x:c r="A214" s="2" t="inlineStr">
        <x:is>
          <x:t xml:space="preserve">PO-2025-0213</x:t>
        </x:is>
      </x:c>
      <x:c r="B214" s="2" t="inlineStr">
        <x:is>
          <x:t xml:space="preserve">30/09/2025</x:t>
        </x:is>
      </x:c>
      <x:c r="C214" s="2" t="inlineStr">
        <x:is>
          <x:t xml:space="preserve">September</x:t>
        </x:is>
      </x:c>
      <x:c r="D214" s="2" t="inlineStr">
        <x:is>
          <x:t xml:space="preserve">University District Residential Phase 3</x:t>
        </x:is>
      </x:c>
      <x:c r="E214" s="2" t="inlineStr">
        <x:is>
          <x:t xml:space="preserve">Calgary SW</x:t>
        </x:is>
      </x:c>
      <x:c r="F214" s="2" t="inlineStr">
        <x:is>
          <x:t xml:space="preserve">Priya Sharma</x:t>
        </x:is>
      </x:c>
      <x:c r="G214" s="2" t="inlineStr">
        <x:is>
          <x:t xml:space="preserve">Civil Works</x:t>
        </x:is>
      </x:c>
      <x:c r="H214" s="2" t="inlineStr">
        <x:is>
          <x:t xml:space="preserve">Granular Backfill</x:t>
        </x:is>
      </x:c>
      <x:c r="I214" s="2" t="inlineStr">
        <x:is>
          <x:t xml:space="preserve">EllisDon Civil</x:t>
        </x:is>
      </x:c>
      <x:c r="J214" s="2" t="inlineStr">
        <x:is>
          <x:t xml:space="preserve">LPO – Direct Award</x:t>
        </x:is>
      </x:c>
      <x:c r="K214" s="3" t="n">
        <x:v>61</x:v>
      </x:c>
      <x:c r="L214" s="2" t="inlineStr">
        <x:is>
          <x:t xml:space="preserve">m³</x:t>
        </x:is>
      </x:c>
      <x:c r="M214" s="4" t="n">
        <x:v>164.48</x:v>
      </x:c>
      <x:c r="N214" s="4" t="n">
        <x:v>184.31</x:v>
      </x:c>
      <x:c r="O214" s="4" t="n">
        <x:v>10033.28</x:v>
      </x:c>
      <x:c r="P214" s="4" t="n">
        <x:v>11242.91</x:v>
      </x:c>
      <x:c r="Q214" s="4" t="n">
        <x:v>-1209.63</x:v>
      </x:c>
      <x:c r="R214" s="5" t="n">
        <x:v>-10.8</x:v>
      </x:c>
      <x:c r="S214" s="3" t="n">
        <x:v>84</x:v>
      </x:c>
      <x:c r="T214" s="2" t="inlineStr">
        <x:is>
          <x:t xml:space="preserve">Yes</x:t>
        </x:is>
      </x:c>
      <x:c r="U214" s="2" t="inlineStr">
        <x:is>
          <x:t xml:space="preserve">Cancelled</x:t>
        </x:is>
      </x:c>
    </x:row>
    <x:row r="215">
      <x:c r="A215" s="6" t="inlineStr">
        <x:is>
          <x:t xml:space="preserve">PO-2025-0214</x:t>
        </x:is>
      </x:c>
      <x:c r="B215" s="6" t="inlineStr">
        <x:is>
          <x:t xml:space="preserve">14/09/2025</x:t>
        </x:is>
      </x:c>
      <x:c r="C215" s="6" t="inlineStr">
        <x:is>
          <x:t xml:space="preserve">September</x:t>
        </x:is>
      </x:c>
      <x:c r="D215" s="6" t="inlineStr">
        <x:is>
          <x:t xml:space="preserve">Quarry Park Mixed-Use Development</x:t>
        </x:is>
      </x:c>
      <x:c r="E215" s="6" t="inlineStr">
        <x:is>
          <x:t xml:space="preserve">Rocky View County</x:t>
        </x:is>
      </x:c>
      <x:c r="F215" s="6" t="inlineStr">
        <x:is>
          <x:t xml:space="preserve">Sarah Bouchard</x:t>
        </x:is>
      </x:c>
      <x:c r="G215" s="6" t="inlineStr">
        <x:is>
          <x:t xml:space="preserve">Concrete &amp; Structural</x:t>
        </x:is>
      </x:c>
      <x:c r="H215" s="6" t="inlineStr">
        <x:is>
          <x:t xml:space="preserve">Post-Tension Cables</x:t>
        </x:is>
      </x:c>
      <x:c r="I215" s="6" t="inlineStr">
        <x:is>
          <x:t xml:space="preserve">Lafarge Canada - Calgary</x:t>
        </x:is>
      </x:c>
      <x:c r="J215" s="6" t="inlineStr">
        <x:is>
          <x:t xml:space="preserve">3-Quote Comparison</x:t>
        </x:is>
      </x:c>
      <x:c r="K215" s="7" t="n">
        <x:v>8</x:v>
      </x:c>
      <x:c r="L215" s="6" t="inlineStr">
        <x:is>
          <x:t xml:space="preserve">m³</x:t>
        </x:is>
      </x:c>
      <x:c r="M215" s="8" t="n">
        <x:v>570.05</x:v>
      </x:c>
      <x:c r="N215" s="8" t="n">
        <x:v>623.51</x:v>
      </x:c>
      <x:c r="O215" s="8" t="n">
        <x:v>4560.4</x:v>
      </x:c>
      <x:c r="P215" s="8" t="n">
        <x:v>4988.08</x:v>
      </x:c>
      <x:c r="Q215" s="8" t="n">
        <x:v>-427.68</x:v>
      </x:c>
      <x:c r="R215" s="9" t="n">
        <x:v>-8.6</x:v>
      </x:c>
      <x:c r="S215" s="7" t="n">
        <x:v>27</x:v>
      </x:c>
      <x:c r="T215" s="6" t="inlineStr">
        <x:is>
          <x:t xml:space="preserve">Yes</x:t>
        </x:is>
      </x:c>
      <x:c r="U215" s="6" t="inlineStr">
        <x:is>
          <x:t xml:space="preserve">Delivered</x:t>
        </x:is>
      </x:c>
    </x:row>
    <x:row r="216">
      <x:c r="A216" s="2" t="inlineStr">
        <x:is>
          <x:t xml:space="preserve">PO-2025-0215</x:t>
        </x:is>
      </x:c>
      <x:c r="B216" s="2" t="inlineStr">
        <x:is>
          <x:t xml:space="preserve">27/10/2025</x:t>
        </x:is>
      </x:c>
      <x:c r="C216" s="2" t="inlineStr">
        <x:is>
          <x:t xml:space="preserve">October</x:t>
        </x:is>
      </x:c>
      <x:c r="D216" s="2" t="inlineStr">
        <x:is>
          <x:t xml:space="preserve">Rocky View Industrial Logistics Hub</x:t>
        </x:is>
      </x:c>
      <x:c r="E216" s="2" t="inlineStr">
        <x:is>
          <x:t xml:space="preserve">Calgary SE</x:t>
        </x:is>
      </x:c>
      <x:c r="F216" s="2" t="inlineStr">
        <x:is>
          <x:t xml:space="preserve">Aisha Nkosi</x:t>
        </x:is>
      </x:c>
      <x:c r="G216" s="2" t="inlineStr">
        <x:is>
          <x:t xml:space="preserve">Safety &amp; Temp Works</x:t>
        </x:is>
      </x:c>
      <x:c r="H216" s="2" t="inlineStr">
        <x:is>
          <x:t xml:space="preserve">Site Hoarding &amp; Fencing</x:t>
        </x:is>
      </x:c>
      <x:c r="I216" s="2" t="inlineStr">
        <x:is>
          <x:t xml:space="preserve">BrandSafway Canada</x:t>
        </x:is>
      </x:c>
      <x:c r="J216" s="2" t="inlineStr">
        <x:is>
          <x:t xml:space="preserve">LPO – Direct Award</x:t>
        </x:is>
      </x:c>
      <x:c r="K216" s="3" t="n">
        <x:v>14</x:v>
      </x:c>
      <x:c r="L216" s="2" t="inlineStr">
        <x:is>
          <x:t xml:space="preserve">lot</x:t>
        </x:is>
      </x:c>
      <x:c r="M216" s="4" t="n">
        <x:v>9160.139999999999</x:v>
      </x:c>
      <x:c r="N216" s="4" t="n">
        <x:v>11191.05</x:v>
      </x:c>
      <x:c r="O216" s="4" t="n">
        <x:v>128241.96</x:v>
      </x:c>
      <x:c r="P216" s="4" t="n">
        <x:v>156674.7</x:v>
      </x:c>
      <x:c r="Q216" s="4" t="n">
        <x:v>-28432.74</x:v>
      </x:c>
      <x:c r="R216" s="5" t="n">
        <x:v>-18.1</x:v>
      </x:c>
      <x:c r="S216" s="3" t="n">
        <x:v>28</x:v>
      </x:c>
      <x:c r="T216" s="2" t="inlineStr">
        <x:is>
          <x:t xml:space="preserve">Yes</x:t>
        </x:is>
      </x:c>
      <x:c r="U216" s="2" t="inlineStr">
        <x:is>
          <x:t xml:space="preserve">Delivered</x:t>
        </x:is>
      </x:c>
    </x:row>
    <x:row r="217">
      <x:c r="A217" s="6" t="inlineStr">
        <x:is>
          <x:t xml:space="preserve">PO-2025-0216</x:t>
        </x:is>
      </x:c>
      <x:c r="B217" s="6" t="inlineStr">
        <x:is>
          <x:t xml:space="preserve">09/10/2025</x:t>
        </x:is>
      </x:c>
      <x:c r="C217" s="6" t="inlineStr">
        <x:is>
          <x:t xml:space="preserve">October</x:t>
        </x:is>
      </x:c>
      <x:c r="D217" s="6" t="inlineStr">
        <x:is>
          <x:t xml:space="preserve">Calgary SE Ring Road Extension</x:t>
        </x:is>
      </x:c>
      <x:c r="E217" s="6" t="inlineStr">
        <x:is>
          <x:t xml:space="preserve">Calgary NE</x:t>
        </x:is>
      </x:c>
      <x:c r="F217" s="6" t="inlineStr">
        <x:is>
          <x:t xml:space="preserve">James Okafor</x:t>
        </x:is>
      </x:c>
      <x:c r="G217" s="6" t="inlineStr">
        <x:is>
          <x:t xml:space="preserve">MEP - Electrical</x:t>
        </x:is>
      </x:c>
      <x:c r="H217" s="6" t="inlineStr">
        <x:is>
          <x:t xml:space="preserve">Grounding System</x:t>
        </x:is>
      </x:c>
      <x:c r="I217" s="6" t="inlineStr">
        <x:is>
          <x:t xml:space="preserve">Flint Energy Services</x:t>
        </x:is>
      </x:c>
      <x:c r="J217" s="6" t="inlineStr">
        <x:is>
          <x:t xml:space="preserve">Standing Offer Agreement</x:t>
        </x:is>
      </x:c>
      <x:c r="K217" s="7" t="n">
        <x:v>101</x:v>
      </x:c>
      <x:c r="L217" s="6" t="inlineStr">
        <x:is>
          <x:t xml:space="preserve">lot</x:t>
        </x:is>
      </x:c>
      <x:c r="M217" s="8" t="n">
        <x:v>46244.92</x:v>
      </x:c>
      <x:c r="N217" s="8" t="n">
        <x:v>52849.33</x:v>
      </x:c>
      <x:c r="O217" s="8" t="n">
        <x:v>4670736.92</x:v>
      </x:c>
      <x:c r="P217" s="8" t="n">
        <x:v>5337782.33</x:v>
      </x:c>
      <x:c r="Q217" s="8" t="n">
        <x:v>-667045.41</x:v>
      </x:c>
      <x:c r="R217" s="9" t="n">
        <x:v>-12.5</x:v>
      </x:c>
      <x:c r="S217" s="7" t="n">
        <x:v>55</x:v>
      </x:c>
      <x:c r="T217" s="6" t="inlineStr">
        <x:is>
          <x:t xml:space="preserve">Yes</x:t>
        </x:is>
      </x:c>
      <x:c r="U217" s="6" t="inlineStr">
        <x:is>
          <x:t xml:space="preserve">Delivered</x:t>
        </x:is>
      </x:c>
    </x:row>
    <x:row r="218">
      <x:c r="A218" s="2" t="inlineStr">
        <x:is>
          <x:t xml:space="preserve">PO-2025-0217</x:t>
        </x:is>
      </x:c>
      <x:c r="B218" s="2" t="inlineStr">
        <x:is>
          <x:t xml:space="preserve">12/11/2025</x:t>
        </x:is>
      </x:c>
      <x:c r="C218" s="2" t="inlineStr">
        <x:is>
          <x:t xml:space="preserve">November</x:t>
        </x:is>
      </x:c>
      <x:c r="D218" s="2" t="inlineStr">
        <x:is>
          <x:t xml:space="preserve">University District Residential Phase 3</x:t>
        </x:is>
      </x:c>
      <x:c r="E218" s="2" t="inlineStr">
        <x:is>
          <x:t xml:space="preserve">Calgary NE</x:t>
        </x:is>
      </x:c>
      <x:c r="F218" s="2" t="inlineStr">
        <x:is>
          <x:t xml:space="preserve">Sarah Bouchard</x:t>
        </x:is>
      </x:c>
      <x:c r="G218" s="2" t="inlineStr">
        <x:is>
          <x:t xml:space="preserve">Concrete &amp; Structural</x:t>
        </x:is>
      </x:c>
      <x:c r="H218" s="2" t="inlineStr">
        <x:is>
          <x:t xml:space="preserve">Post-Tension Cables</x:t>
        </x:is>
      </x:c>
      <x:c r="I218" s="2" t="inlineStr">
        <x:is>
          <x:t xml:space="preserve">Inland Concrete</x:t>
        </x:is>
      </x:c>
      <x:c r="J218" s="2" t="inlineStr">
        <x:is>
          <x:t xml:space="preserve">LPO – Direct Award</x:t>
        </x:is>
      </x:c>
      <x:c r="K218" s="3" t="n">
        <x:v>52</x:v>
      </x:c>
      <x:c r="L218" s="2" t="inlineStr">
        <x:is>
          <x:t xml:space="preserve">m³</x:t>
        </x:is>
      </x:c>
      <x:c r="M218" s="4" t="n">
        <x:v>478.05</x:v>
      </x:c>
      <x:c r="N218" s="4" t="n">
        <x:v>414.18</x:v>
      </x:c>
      <x:c r="O218" s="4" t="n">
        <x:v>24858.6</x:v>
      </x:c>
      <x:c r="P218" s="4" t="n">
        <x:v>21537.36</x:v>
      </x:c>
      <x:c r="Q218" s="4" t="n">
        <x:v>3321.24</x:v>
      </x:c>
      <x:c r="R218" s="5" t="n">
        <x:v>15.4</x:v>
      </x:c>
      <x:c r="S218" s="3" t="n">
        <x:v>13</x:v>
      </x:c>
      <x:c r="T218" s="2" t="inlineStr">
        <x:is>
          <x:t xml:space="preserve">Yes</x:t>
        </x:is>
      </x:c>
      <x:c r="U218" s="2" t="inlineStr">
        <x:is>
          <x:t xml:space="preserve">Cancelled</x:t>
        </x:is>
      </x:c>
    </x:row>
    <x:row r="219">
      <x:c r="A219" s="6" t="inlineStr">
        <x:is>
          <x:t xml:space="preserve">PO-2025-0218</x:t>
        </x:is>
      </x:c>
      <x:c r="B219" s="6" t="inlineStr">
        <x:is>
          <x:t xml:space="preserve">28/08/2025</x:t>
        </x:is>
      </x:c>
      <x:c r="C219" s="6" t="inlineStr">
        <x:is>
          <x:t xml:space="preserve">August</x:t>
        </x:is>
      </x:c>
      <x:c r="D219" s="6" t="inlineStr">
        <x:is>
          <x:t xml:space="preserve">Springbank Off-Stream Reservoir</x:t>
        </x:is>
      </x:c>
      <x:c r="E219" s="6" t="inlineStr">
        <x:is>
          <x:t xml:space="preserve">Calgary NE</x:t>
        </x:is>
      </x:c>
      <x:c r="F219" s="6" t="inlineStr">
        <x:is>
          <x:t xml:space="preserve">Linda Tran</x:t>
        </x:is>
      </x:c>
      <x:c r="G219" s="6" t="inlineStr">
        <x:is>
          <x:t xml:space="preserve">MEP - Mechanical</x:t>
        </x:is>
      </x:c>
      <x:c r="H219" s="6" t="inlineStr">
        <x:is>
          <x:t xml:space="preserve">Boiler System</x:t>
        </x:is>
      </x:c>
      <x:c r="I219" s="6" t="inlineStr">
        <x:is>
          <x:t xml:space="preserve">Stantec MEP</x:t>
        </x:is>
      </x:c>
      <x:c r="J219" s="6" t="inlineStr">
        <x:is>
          <x:t xml:space="preserve">LPO – Direct Award</x:t>
        </x:is>
      </x:c>
      <x:c r="K219" s="7" t="n">
        <x:v>3</x:v>
      </x:c>
      <x:c r="L219" s="6" t="inlineStr">
        <x:is>
          <x:t xml:space="preserve">lot</x:t>
        </x:is>
      </x:c>
      <x:c r="M219" s="8" t="n">
        <x:v>36550</x:v>
      </x:c>
      <x:c r="N219" s="8" t="n">
        <x:v>34501.71</x:v>
      </x:c>
      <x:c r="O219" s="8" t="n">
        <x:v>109650</x:v>
      </x:c>
      <x:c r="P219" s="8" t="n">
        <x:v>103505.13</x:v>
      </x:c>
      <x:c r="Q219" s="8" t="n">
        <x:v>6144.87</x:v>
      </x:c>
      <x:c r="R219" s="9" t="n">
        <x:v>5.9</x:v>
      </x:c>
      <x:c r="S219" s="7" t="n">
        <x:v>69</x:v>
      </x:c>
      <x:c r="T219" s="6" t="inlineStr">
        <x:is>
          <x:t xml:space="preserve">Yes</x:t>
        </x:is>
      </x:c>
      <x:c r="U219" s="6" t="inlineStr">
        <x:is>
          <x:t xml:space="preserve">Cancelled</x:t>
        </x:is>
      </x:c>
    </x:row>
    <x:row r="220">
      <x:c r="A220" s="2" t="inlineStr">
        <x:is>
          <x:t xml:space="preserve">PO-2025-0219</x:t>
        </x:is>
      </x:c>
      <x:c r="B220" s="2" t="inlineStr">
        <x:is>
          <x:t xml:space="preserve">24/07/2025</x:t>
        </x:is>
      </x:c>
      <x:c r="C220" s="2" t="inlineStr">
        <x:is>
          <x:t xml:space="preserve">July</x:t>
        </x:is>
      </x:c>
      <x:c r="D220" s="2" t="inlineStr">
        <x:is>
          <x:t xml:space="preserve">Foothills Medical Centre Expansion</x:t>
        </x:is>
      </x:c>
      <x:c r="E220" s="2" t="inlineStr">
        <x:is>
          <x:t xml:space="preserve">Calgary SE</x:t>
        </x:is>
      </x:c>
      <x:c r="F220" s="2" t="inlineStr">
        <x:is>
          <x:t xml:space="preserve">Aisha Nkosi</x:t>
        </x:is>
      </x:c>
      <x:c r="G220" s="2" t="inlineStr">
        <x:is>
          <x:t xml:space="preserve">Concrete &amp; Structural</x:t>
        </x:is>
      </x:c>
      <x:c r="H220" s="2" t="inlineStr">
        <x:is>
          <x:t xml:space="preserve">Ready-Mix Concrete</x:t>
        </x:is>
      </x:c>
      <x:c r="I220" s="2" t="inlineStr">
        <x:is>
          <x:t xml:space="preserve">Alberta Precast</x:t>
        </x:is>
      </x:c>
      <x:c r="J220" s="2" t="inlineStr">
        <x:is>
          <x:t xml:space="preserve">3-Quote Comparison</x:t>
        </x:is>
      </x:c>
      <x:c r="K220" s="3" t="n">
        <x:v>56</x:v>
      </x:c>
      <x:c r="L220" s="2" t="inlineStr">
        <x:is>
          <x:t xml:space="preserve">m³</x:t>
        </x:is>
      </x:c>
      <x:c r="M220" s="4" t="n">
        <x:v>381.92</x:v>
      </x:c>
      <x:c r="N220" s="4" t="n">
        <x:v>358.16</x:v>
      </x:c>
      <x:c r="O220" s="4" t="n">
        <x:v>21387.52</x:v>
      </x:c>
      <x:c r="P220" s="4" t="n">
        <x:v>20056.96</x:v>
      </x:c>
      <x:c r="Q220" s="4" t="n">
        <x:v>1330.56</x:v>
      </x:c>
      <x:c r="R220" s="5" t="n">
        <x:v>6.6</x:v>
      </x:c>
      <x:c r="S220" s="3" t="n">
        <x:v>59</x:v>
      </x:c>
      <x:c r="T220" s="2" t="inlineStr">
        <x:is>
          <x:t xml:space="preserve">Yes</x:t>
        </x:is>
      </x:c>
      <x:c r="U220" s="2" t="inlineStr">
        <x:is>
          <x:t xml:space="preserve">Pending</x:t>
        </x:is>
      </x:c>
    </x:row>
    <x:row r="221">
      <x:c r="A221" s="6" t="inlineStr">
        <x:is>
          <x:t xml:space="preserve">PO-2025-0220</x:t>
        </x:is>
      </x:c>
      <x:c r="B221" s="6" t="inlineStr">
        <x:is>
          <x:t xml:space="preserve">12/01/2025</x:t>
        </x:is>
      </x:c>
      <x:c r="C221" s="6" t="inlineStr">
        <x:is>
          <x:t xml:space="preserve">January</x:t>
        </x:is>
      </x:c>
      <x:c r="D221" s="6" t="inlineStr">
        <x:is>
          <x:t xml:space="preserve">University District Residential Phase 3</x:t>
        </x:is>
      </x:c>
      <x:c r="E221" s="6" t="inlineStr">
        <x:is>
          <x:t xml:space="preserve">Calgary SE</x:t>
        </x:is>
      </x:c>
      <x:c r="F221" s="6" t="inlineStr">
        <x:is>
          <x:t xml:space="preserve">Aisha Nkosi</x:t>
        </x:is>
      </x:c>
      <x:c r="G221" s="6" t="inlineStr">
        <x:is>
          <x:t xml:space="preserve">Finishing</x:t>
        </x:is>
      </x:c>
      <x:c r="H221" s="6" t="inlineStr">
        <x:is>
          <x:t xml:space="preserve">Ceramic Floor Tile</x:t>
        </x:is>
      </x:c>
      <x:c r="I221" s="6" t="inlineStr">
        <x:is>
          <x:t xml:space="preserve">Dryvit Systems Canada</x:t>
        </x:is>
      </x:c>
      <x:c r="J221" s="6" t="inlineStr">
        <x:is>
          <x:t xml:space="preserve">Emergency Procurement</x:t>
        </x:is>
      </x:c>
      <x:c r="K221" s="7" t="n">
        <x:v>49</x:v>
      </x:c>
      <x:c r="L221" s="6" t="inlineStr">
        <x:is>
          <x:t xml:space="preserve">m²</x:t>
        </x:is>
      </x:c>
      <x:c r="M221" s="8" t="n">
        <x:v>241.87</x:v>
      </x:c>
      <x:c r="N221" s="8" t="n">
        <x:v>270.31</x:v>
      </x:c>
      <x:c r="O221" s="8" t="n">
        <x:v>11851.63</x:v>
      </x:c>
      <x:c r="P221" s="8" t="n">
        <x:v>13245.19</x:v>
      </x:c>
      <x:c r="Q221" s="8" t="n">
        <x:v>-1393.56</x:v>
      </x:c>
      <x:c r="R221" s="9" t="n">
        <x:v>-10.5</x:v>
      </x:c>
      <x:c r="S221" s="7" t="n">
        <x:v>68</x:v>
      </x:c>
      <x:c r="T221" s="6" t="inlineStr">
        <x:is>
          <x:t xml:space="preserve">Yes</x:t>
        </x:is>
      </x:c>
      <x:c r="U221" s="6" t="inlineStr">
        <x:is>
          <x:t xml:space="preserve">Partially Delivered</x:t>
        </x:is>
      </x:c>
    </x:row>
    <x:row r="222">
      <x:c r="A222" s="2" t="inlineStr">
        <x:is>
          <x:t xml:space="preserve">PO-2025-0221</x:t>
        </x:is>
      </x:c>
      <x:c r="B222" s="2" t="inlineStr">
        <x:is>
          <x:t xml:space="preserve">08/02/2025</x:t>
        </x:is>
      </x:c>
      <x:c r="C222" s="2" t="inlineStr">
        <x:is>
          <x:t xml:space="preserve">February</x:t>
        </x:is>
      </x:c>
      <x:c r="D222" s="2" t="inlineStr">
        <x:is>
          <x:t xml:space="preserve">Foothills Medical Centre Expansion</x:t>
        </x:is>
      </x:c>
      <x:c r="E222" s="2" t="inlineStr">
        <x:is>
          <x:t xml:space="preserve">Calgary SE</x:t>
        </x:is>
      </x:c>
      <x:c r="F222" s="2" t="inlineStr">
        <x:is>
          <x:t xml:space="preserve">Derek McLean</x:t>
        </x:is>
      </x:c>
      <x:c r="G222" s="2" t="inlineStr">
        <x:is>
          <x:t xml:space="preserve">MEP - Mechanical</x:t>
        </x:is>
      </x:c>
      <x:c r="H222" s="2" t="inlineStr">
        <x:is>
          <x:t xml:space="preserve">Insulated Pipework</x:t>
        </x:is>
      </x:c>
      <x:c r="I222" s="2" t="inlineStr">
        <x:is>
          <x:t xml:space="preserve">Stantec MEP</x:t>
        </x:is>
      </x:c>
      <x:c r="J222" s="2" t="inlineStr">
        <x:is>
          <x:t xml:space="preserve">3-Quote Comparison</x:t>
        </x:is>
      </x:c>
      <x:c r="K222" s="3" t="n">
        <x:v>29</x:v>
      </x:c>
      <x:c r="L222" s="2" t="inlineStr">
        <x:is>
          <x:t xml:space="preserve">lot</x:t>
        </x:is>
      </x:c>
      <x:c r="M222" s="4" t="n">
        <x:v>65940.23</x:v>
      </x:c>
      <x:c r="N222" s="4" t="n">
        <x:v>71761.09</x:v>
      </x:c>
      <x:c r="O222" s="4" t="n">
        <x:v>1912266.67</x:v>
      </x:c>
      <x:c r="P222" s="4" t="n">
        <x:v>2081071.61</x:v>
      </x:c>
      <x:c r="Q222" s="4" t="n">
        <x:v>-168804.94</x:v>
      </x:c>
      <x:c r="R222" s="5" t="n">
        <x:v>-8.1</x:v>
      </x:c>
      <x:c r="S222" s="3" t="n">
        <x:v>14</x:v>
      </x:c>
      <x:c r="T222" s="2" t="inlineStr">
        <x:is>
          <x:t xml:space="preserve">Yes</x:t>
        </x:is>
      </x:c>
      <x:c r="U222" s="2" t="inlineStr">
        <x:is>
          <x:t xml:space="preserve">Cancelled</x:t>
        </x:is>
      </x:c>
    </x:row>
    <x:row r="223">
      <x:c r="A223" s="6" t="inlineStr">
        <x:is>
          <x:t xml:space="preserve">PO-2025-0222</x:t>
        </x:is>
      </x:c>
      <x:c r="B223" s="6" t="inlineStr">
        <x:is>
          <x:t xml:space="preserve">24/06/2025</x:t>
        </x:is>
      </x:c>
      <x:c r="C223" s="6" t="inlineStr">
        <x:is>
          <x:t xml:space="preserve">June</x:t>
        </x:is>
      </x:c>
      <x:c r="D223" s="6" t="inlineStr">
        <x:is>
          <x:t xml:space="preserve">Springbank Off-Stream Reservoir</x:t>
        </x:is>
      </x:c>
      <x:c r="E223" s="6" t="inlineStr">
        <x:is>
          <x:t xml:space="preserve">Rocky View County</x:t>
        </x:is>
      </x:c>
      <x:c r="F223" s="6" t="inlineStr">
        <x:is>
          <x:t xml:space="preserve">Derek McLean</x:t>
        </x:is>
      </x:c>
      <x:c r="G223" s="6" t="inlineStr">
        <x:is>
          <x:t xml:space="preserve">Concrete &amp; Structural</x:t>
        </x:is>
      </x:c>
      <x:c r="H223" s="6" t="inlineStr">
        <x:is>
          <x:t xml:space="preserve">Structural Formwork</x:t>
        </x:is>
      </x:c>
      <x:c r="I223" s="6" t="inlineStr">
        <x:is>
          <x:t xml:space="preserve">Alberta Precast</x:t>
        </x:is>
      </x:c>
      <x:c r="J223" s="6" t="inlineStr">
        <x:is>
          <x:t xml:space="preserve">Tender – Open</x:t>
        </x:is>
      </x:c>
      <x:c r="K223" s="7" t="n">
        <x:v>49</x:v>
      </x:c>
      <x:c r="L223" s="6" t="inlineStr">
        <x:is>
          <x:t xml:space="preserve">m³</x:t>
        </x:is>
      </x:c>
      <x:c r="M223" s="8" t="n">
        <x:v>252.45</x:v>
      </x:c>
      <x:c r="N223" s="8" t="n">
        <x:v>238.3</x:v>
      </x:c>
      <x:c r="O223" s="8" t="n">
        <x:v>12370.05</x:v>
      </x:c>
      <x:c r="P223" s="8" t="n">
        <x:v>11676.7</x:v>
      </x:c>
      <x:c r="Q223" s="8" t="n">
        <x:v>693.35</x:v>
      </x:c>
      <x:c r="R223" s="9" t="n">
        <x:v>5.9</x:v>
      </x:c>
      <x:c r="S223" s="7" t="n">
        <x:v>54</x:v>
      </x:c>
      <x:c r="T223" s="6" t="inlineStr">
        <x:is>
          <x:t xml:space="preserve">Yes</x:t>
        </x:is>
      </x:c>
      <x:c r="U223" s="6" t="inlineStr">
        <x:is>
          <x:t xml:space="preserve">Delivered</x:t>
        </x:is>
      </x:c>
    </x:row>
    <x:row r="224">
      <x:c r="A224" s="2" t="inlineStr">
        <x:is>
          <x:t xml:space="preserve">PO-2025-0223</x:t>
        </x:is>
      </x:c>
      <x:c r="B224" s="2" t="inlineStr">
        <x:is>
          <x:t xml:space="preserve">11/08/2025</x:t>
        </x:is>
      </x:c>
      <x:c r="C224" s="2" t="inlineStr">
        <x:is>
          <x:t xml:space="preserve">August</x:t>
        </x:is>
      </x:c>
      <x:c r="D224" s="2" t="inlineStr">
        <x:is>
          <x:t xml:space="preserve">Bow River Crossing Overpass</x:t>
        </x:is>
      </x:c>
      <x:c r="E224" s="2" t="inlineStr">
        <x:is>
          <x:t xml:space="preserve">Rocky View County</x:t>
        </x:is>
      </x:c>
      <x:c r="F224" s="2" t="inlineStr">
        <x:is>
          <x:t xml:space="preserve">Derek McLean</x:t>
        </x:is>
      </x:c>
      <x:c r="G224" s="2" t="inlineStr">
        <x:is>
          <x:t xml:space="preserve">Finishing</x:t>
        </x:is>
      </x:c>
      <x:c r="H224" s="2" t="inlineStr">
        <x:is>
          <x:t xml:space="preserve">Ceramic Floor Tile</x:t>
        </x:is>
      </x:c>
      <x:c r="I224" s="2" t="inlineStr">
        <x:is>
          <x:t xml:space="preserve">Armstrong World Industries</x:t>
        </x:is>
      </x:c>
      <x:c r="J224" s="2" t="inlineStr">
        <x:is>
          <x:t xml:space="preserve">LPO – Direct Award</x:t>
        </x:is>
      </x:c>
      <x:c r="K224" s="3" t="n">
        <x:v>92</x:v>
      </x:c>
      <x:c r="L224" s="2" t="inlineStr">
        <x:is>
          <x:t xml:space="preserve">m²</x:t>
        </x:is>
      </x:c>
      <x:c r="M224" s="4" t="n">
        <x:v>85000</x:v>
      </x:c>
      <x:c r="N224" s="4" t="n">
        <x:v>334.84</x:v>
      </x:c>
      <x:c r="O224" s="4" t="n">
        <x:v>7820000</x:v>
      </x:c>
      <x:c r="P224" s="4" t="n">
        <x:v>30805.28</x:v>
      </x:c>
      <x:c r="Q224" s="4" t="n">
        <x:v>-3560.4</x:v>
      </x:c>
      <x:c r="R224" s="5" t="n">
        <x:v>-11.6</x:v>
      </x:c>
      <x:c r="S224" s="3" t="n">
        <x:v>47</x:v>
      </x:c>
      <x:c r="T224" s="2" t="inlineStr">
        <x:is>
          <x:t xml:space="preserve">Yes</x:t>
        </x:is>
      </x:c>
      <x:c r="U224" s="2" t="inlineStr">
        <x:is>
          <x:t xml:space="preserve">Pending</x:t>
        </x:is>
      </x:c>
    </x:row>
    <x:row r="225">
      <x:c r="A225" s="6" t="inlineStr">
        <x:is>
          <x:t xml:space="preserve">PO-2025-0224</x:t>
        </x:is>
      </x:c>
      <x:c r="B225" s="6" t="inlineStr">
        <x:is>
          <x:t xml:space="preserve">02/09/2025</x:t>
        </x:is>
      </x:c>
      <x:c r="C225" s="6" t="inlineStr">
        <x:is>
          <x:t xml:space="preserve">September</x:t>
        </x:is>
      </x:c>
      <x:c r="D225" s="6" t="inlineStr">
        <x:is>
          <x:t xml:space="preserve">Quarry Park Mixed-Use Development</x:t>
        </x:is>
      </x:c>
      <x:c r="E225" s="6" t="inlineStr">
        <x:is>
          <x:t xml:space="preserve">Calgary SE</x:t>
        </x:is>
      </x:c>
      <x:c r="F225" s="6" t="inlineStr">
        <x:is>
          <x:t xml:space="preserve">James Okafor</x:t>
        </x:is>
      </x:c>
      <x:c r="G225" s="6" t="inlineStr">
        <x:is>
          <x:t xml:space="preserve">Safety &amp; Temp Works</x:t>
        </x:is>
      </x:c>
      <x:c r="H225" s="6" t="inlineStr">
        <x:is>
          <x:t xml:space="preserve">Site Office Trailer</x:t>
        </x:is>
      </x:c>
      <x:c r="I225" s="6" t="inlineStr">
        <x:is>
          <x:t xml:space="preserve">Sunbelt Rentals Canada</x:t>
        </x:is>
      </x:c>
      <x:c r="J225" s="6" t="inlineStr">
        <x:is>
          <x:t xml:space="preserve">LPO – Direct Award</x:t>
        </x:is>
      </x:c>
      <x:c r="K225" s="7" t="n">
        <x:v>100</x:v>
      </x:c>
      <x:c r="L225" s="6" t="inlineStr">
        <x:is>
          <x:t xml:space="preserve">lot</x:t>
        </x:is>
      </x:c>
      <x:c r="M225" s="8" t="n">
        <x:v>3506.87</x:v>
      </x:c>
      <x:c r="N225" s="8" t="n">
        <x:v>3794.96</x:v>
      </x:c>
      <x:c r="O225" s="8" t="n">
        <x:v>350687</x:v>
      </x:c>
      <x:c r="P225" s="8" t="n">
        <x:v>379496</x:v>
      </x:c>
      <x:c r="Q225" s="8" t="n">
        <x:v>-28809</x:v>
      </x:c>
      <x:c r="R225" s="9" t="n">
        <x:v>-7.6</x:v>
      </x:c>
      <x:c r="S225" s="7" t="n">
        <x:v>69</x:v>
      </x:c>
      <x:c r="T225" s="6" t="inlineStr">
        <x:is>
          <x:t xml:space="preserve">Yes</x:t>
        </x:is>
      </x:c>
      <x:c r="U225" s="6" t="inlineStr">
        <x:is>
          <x:t xml:space="preserve">Delivered</x:t>
        </x:is>
      </x:c>
    </x:row>
    <x:row r="226">
      <x:c r="A226" s="2" t="inlineStr">
        <x:is>
          <x:t xml:space="preserve">PO-2025-0225</x:t>
        </x:is>
      </x:c>
      <x:c r="B226" s="2" t="inlineStr">
        <x:is>
          <x:t xml:space="preserve">18/10/2025</x:t>
        </x:is>
      </x:c>
      <x:c r="C226" s="2" t="inlineStr">
        <x:is>
          <x:t xml:space="preserve">October</x:t>
        </x:is>
      </x:c>
      <x:c r="D226" s="2" t="inlineStr">
        <x:is>
          <x:t xml:space="preserve">Rocky View Industrial Logistics Hub</x:t>
        </x:is>
      </x:c>
      <x:c r="E226" s="2" t="inlineStr">
        <x:is>
          <x:t xml:space="preserve">Rocky View County</x:t>
        </x:is>
      </x:c>
      <x:c r="F226" s="2" t="inlineStr">
        <x:is>
          <x:t xml:space="preserve">Aisha Nkosi</x:t>
        </x:is>
      </x:c>
      <x:c r="G226" s="2" t="inlineStr">
        <x:is>
          <x:t xml:space="preserve">MEP - Electrical</x:t>
        </x:is>
      </x:c>
      <x:c r="H226" s="2" t="inlineStr">
        <x:is>
          <x:t xml:space="preserve">LV Switchgear Panel</x:t>
        </x:is>
      </x:c>
      <x:c r="I226" s="2" t="inlineStr">
        <x:is>
          <x:t xml:space="preserve">Flint Energy Services</x:t>
        </x:is>
      </x:c>
      <x:c r="J226" s="2" t="inlineStr">
        <x:is>
          <x:t xml:space="preserve">Tender – Open</x:t>
        </x:is>
      </x:c>
      <x:c r="K226" s="3" t="n">
        <x:v>54</x:v>
      </x:c>
      <x:c r="L226" s="2" t="inlineStr">
        <x:is>
          <x:t xml:space="preserve">lot</x:t>
        </x:is>
      </x:c>
      <x:c r="M226" s="4" t="n">
        <x:v>81817.59</x:v>
      </x:c>
      <x:c r="N226" s="4" t="n">
        <x:v>91380.69</x:v>
      </x:c>
      <x:c r="O226" s="4" t="n">
        <x:v>4418149.86</x:v>
      </x:c>
      <x:c r="P226" s="4" t="n">
        <x:v>4934557.26</x:v>
      </x:c>
      <x:c r="Q226" s="4" t="n">
        <x:v>-516407.4</x:v>
      </x:c>
      <x:c r="R226" s="5" t="n">
        <x:v>-10.5</x:v>
      </x:c>
      <x:c r="S226" s="3" t="n">
        <x:v>16</x:v>
      </x:c>
      <x:c r="T226" s="2" t="inlineStr">
        <x:is>
          <x:t xml:space="preserve">Yes</x:t>
        </x:is>
      </x:c>
      <x:c r="U226" s="2" t="inlineStr">
        <x:is>
          <x:t xml:space="preserve">Partially Delivered</x:t>
        </x:is>
      </x:c>
    </x:row>
    <x:row r="227">
      <x:c r="A227" s="6" t="inlineStr">
        <x:is>
          <x:t xml:space="preserve">PO-2025-0226</x:t>
        </x:is>
      </x:c>
      <x:c r="B227" s="6" t="inlineStr">
        <x:is>
          <x:t xml:space="preserve">25/08/2025</x:t>
        </x:is>
      </x:c>
      <x:c r="C227" s="6" t="inlineStr">
        <x:is>
          <x:t xml:space="preserve">August</x:t>
        </x:is>
      </x:c>
      <x:c r="D227" s="6" t="inlineStr">
        <x:is>
          <x:t xml:space="preserve">Deerfoot Trail Widening - North</x:t>
        </x:is>
      </x:c>
      <x:c r="E227" s="6" t="inlineStr">
        <x:is>
          <x:t xml:space="preserve">Rocky View County</x:t>
        </x:is>
      </x:c>
      <x:c r="F227" s="6" t="inlineStr">
        <x:is>
          <x:t xml:space="preserve">Linda Tran</x:t>
        </x:is>
      </x:c>
      <x:c r="G227" s="6" t="inlineStr">
        <x:is>
          <x:t xml:space="preserve">Finishing</x:t>
        </x:is>
      </x:c>
      <x:c r="H227" s="6" t="inlineStr">
        <x:is>
          <x:t xml:space="preserve">Ceramic Floor Tile</x:t>
        </x:is>
      </x:c>
      <x:c r="I227" s="6" t="inlineStr">
        <x:is>
          <x:t xml:space="preserve">Tremco Roofing</x:t>
        </x:is>
      </x:c>
      <x:c r="J227" s="6" t="inlineStr">
        <x:is>
          <x:t xml:space="preserve">Standing Offer Agreement</x:t>
        </x:is>
      </x:c>
      <x:c r="K227" s="7" t="n">
        <x:v>10</x:v>
      </x:c>
      <x:c r="L227" s="6" t="inlineStr">
        <x:is>
          <x:t xml:space="preserve">m²</x:t>
        </x:is>
      </x:c>
      <x:c r="M227" s="8" t="n">
        <x:v>363.57</x:v>
      </x:c>
      <x:c r="N227" s="8" t="n">
        <x:v>313.92</x:v>
      </x:c>
      <x:c r="O227" s="8" t="n">
        <x:v>3635.7</x:v>
      </x:c>
      <x:c r="P227" s="8" t="n">
        <x:v>3139.2</x:v>
      </x:c>
      <x:c r="Q227" s="8" t="n">
        <x:v>496.5</x:v>
      </x:c>
      <x:c r="R227" s="9" t="n">
        <x:v>15.8</x:v>
      </x:c>
      <x:c r="S227" s="7" t="n">
        <x:v>73</x:v>
      </x:c>
      <x:c r="T227" s="6" t="inlineStr">
        <x:is>
          <x:t xml:space="preserve">Yes</x:t>
        </x:is>
      </x:c>
      <x:c r="U227" s="6" t="inlineStr">
        <x:is>
          <x:t xml:space="preserve">Cancelled</x:t>
        </x:is>
      </x:c>
    </x:row>
    <x:row r="228">
      <x:c r="A228" s="2" t="inlineStr">
        <x:is>
          <x:t xml:space="preserve">PO-2025-0227</x:t>
        </x:is>
      </x:c>
      <x:c r="B228" s="2" t="inlineStr">
        <x:is>
          <x:t xml:space="preserve">06/07/2025</x:t>
        </x:is>
      </x:c>
      <x:c r="C228" s="2" t="inlineStr">
        <x:is>
          <x:t xml:space="preserve">July</x:t>
        </x:is>
      </x:c>
      <x:c r="D228" s="2" t="inlineStr">
        <x:is>
          <x:t xml:space="preserve">Foothills Medical Centre Expansion</x:t>
        </x:is>
      </x:c>
      <x:c r="E228" s="2" t="inlineStr">
        <x:is>
          <x:t xml:space="preserve">Rocky View County</x:t>
        </x:is>
      </x:c>
      <x:c r="F228" s="2" t="inlineStr">
        <x:is>
          <x:t xml:space="preserve">Linda Tran</x:t>
        </x:is>
      </x:c>
      <x:c r="G228" s="2" t="inlineStr">
        <x:is>
          <x:t xml:space="preserve">Safety &amp; Temp Works</x:t>
        </x:is>
      </x:c>
      <x:c r="H228" s="2" t="inlineStr">
        <x:is>
          <x:t xml:space="preserve">Fall Protection Netting</x:t>
        </x:is>
      </x:c>
      <x:c r="I228" s="2" t="inlineStr">
        <x:is>
          <x:t xml:space="preserve">Safway Alberta</x:t>
        </x:is>
      </x:c>
      <x:c r="J228" s="2" t="inlineStr">
        <x:is>
          <x:t xml:space="preserve">Emergency Procurement</x:t>
        </x:is>
      </x:c>
      <x:c r="K228" s="3" t="n">
        <x:v>4</x:v>
      </x:c>
      <x:c r="L228" s="2" t="inlineStr">
        <x:is>
          <x:t xml:space="preserve">lot</x:t>
        </x:is>
      </x:c>
      <x:c r="M228" s="4" t="n">
        <x:v>11162.95</x:v>
      </x:c>
      <x:c r="N228" s="4" t="n">
        <x:v>11888.65</x:v>
      </x:c>
      <x:c r="O228" s="4" t="n">
        <x:v>44651.8</x:v>
      </x:c>
      <x:c r="P228" s="4" t="n">
        <x:v>47554.6</x:v>
      </x:c>
      <x:c r="Q228" s="4" t="n">
        <x:v>-2902.8</x:v>
      </x:c>
      <x:c r="R228" s="5" t="n">
        <x:v>-6.1</x:v>
      </x:c>
      <x:c r="S228" s="3" t="n">
        <x:v>54</x:v>
      </x:c>
      <x:c r="T228" s="2" t="inlineStr">
        <x:is>
          <x:t xml:space="preserve">Yes</x:t>
        </x:is>
      </x:c>
      <x:c r="U228" s="2" t="inlineStr">
        <x:is>
          <x:t xml:space="preserve">Delivered</x:t>
        </x:is>
      </x:c>
    </x:row>
    <x:row r="229">
      <x:c r="A229" s="6" t="inlineStr">
        <x:is>
          <x:t xml:space="preserve">PO-2025-0228</x:t>
        </x:is>
      </x:c>
      <x:c r="B229" s="6" t="inlineStr">
        <x:is>
          <x:t xml:space="preserve">09/06/2025</x:t>
        </x:is>
      </x:c>
      <x:c r="C229" s="6" t="inlineStr">
        <x:is>
          <x:t xml:space="preserve">June</x:t>
        </x:is>
      </x:c>
      <x:c r="D229" s="6" t="inlineStr">
        <x:is>
          <x:t xml:space="preserve">Springbank Off-Stream Reservoir</x:t>
        </x:is>
      </x:c>
      <x:c r="E229" s="6" t="inlineStr">
        <x:is>
          <x:t xml:space="preserve">Calgary SW</x:t>
        </x:is>
      </x:c>
      <x:c r="F229" s="6" t="inlineStr">
        <x:is>
          <x:t xml:space="preserve">Priya Sharma</x:t>
        </x:is>
      </x:c>
      <x:c r="G229" s="6" t="inlineStr">
        <x:is>
          <x:t xml:space="preserve">MEP - Mechanical</x:t>
        </x:is>
      </x:c>
      <x:c r="H229" s="6" t="inlineStr">
        <x:is>
          <x:t xml:space="preserve">Boiler System</x:t>
        </x:is>
      </x:c>
      <x:c r="I229" s="6" t="inlineStr">
        <x:is>
          <x:t xml:space="preserve">Johnson Controls Alberta</x:t>
        </x:is>
      </x:c>
      <x:c r="J229" s="6" t="inlineStr">
        <x:is>
          <x:t xml:space="preserve">LPO – Direct Award</x:t>
        </x:is>
      </x:c>
      <x:c r="K229" s="7" t="n">
        <x:v>4</x:v>
      </x:c>
      <x:c r="L229" s="6" t="inlineStr">
        <x:is>
          <x:t xml:space="preserve">lot</x:t>
        </x:is>
      </x:c>
      <x:c r="M229" s="8" t="n">
        <x:v>64423.07</x:v>
      </x:c>
      <x:c r="N229" s="8" t="n">
        <x:v>73495.03999999999</x:v>
      </x:c>
      <x:c r="O229" s="8" t="n">
        <x:v>257692.28</x:v>
      </x:c>
      <x:c r="P229" s="8" t="n">
        <x:v>293980.16</x:v>
      </x:c>
      <x:c r="Q229" s="8" t="n">
        <x:v>-36287.88</x:v>
      </x:c>
      <x:c r="R229" s="9" t="n">
        <x:v>-12.3</x:v>
      </x:c>
      <x:c r="S229" s="7" t="n">
        <x:v>37</x:v>
      </x:c>
      <x:c r="T229" s="6" t="inlineStr">
        <x:is>
          <x:t xml:space="preserve">No</x:t>
        </x:is>
      </x:c>
      <x:c r="U229" s="6" t="inlineStr">
        <x:is>
          <x:t xml:space="preserve">Delivered</x:t>
        </x:is>
      </x:c>
    </x:row>
    <x:row r="230">
      <x:c r="A230" s="2" t="inlineStr">
        <x:is>
          <x:t xml:space="preserve">PO-2025-0229</x:t>
        </x:is>
      </x:c>
      <x:c r="B230" s="2" t="inlineStr">
        <x:is>
          <x:t xml:space="preserve">26/10/2025</x:t>
        </x:is>
      </x:c>
      <x:c r="C230" s="2" t="inlineStr">
        <x:is>
          <x:t xml:space="preserve">October</x:t>
        </x:is>
      </x:c>
      <x:c r="D230" s="2" t="inlineStr">
        <x:is>
          <x:t xml:space="preserve">Bow River Crossing Overpass</x:t>
        </x:is>
      </x:c>
      <x:c r="E230" s="2" t="inlineStr">
        <x:is>
          <x:t xml:space="preserve">Calgary SE</x:t>
        </x:is>
      </x:c>
      <x:c r="F230" s="2" t="inlineStr">
        <x:is>
          <x:t xml:space="preserve">Linda Tran</x:t>
        </x:is>
      </x:c>
      <x:c r="G230" s="2" t="inlineStr">
        <x:is>
          <x:t xml:space="preserve">MEP - Electrical</x:t>
        </x:is>
      </x:c>
      <x:c r="H230" s="2" t="inlineStr">
        <x:is>
          <x:t xml:space="preserve">LV Switchgear Panel</x:t>
        </x:is>
      </x:c>
      <x:c r="I230" s="2" t="inlineStr">
        <x:is>
          <x:t xml:space="preserve">Stuart Olson Electrical</x:t>
        </x:is>
      </x:c>
      <x:c r="J230" s="2" t="inlineStr">
        <x:is>
          <x:t xml:space="preserve">Tender – Open</x:t>
        </x:is>
      </x:c>
      <x:c r="K230" s="3" t="n">
        <x:v>116</x:v>
      </x:c>
      <x:c r="L230" s="2" t="inlineStr">
        <x:is>
          <x:t xml:space="preserve">lot</x:t>
        </x:is>
      </x:c>
      <x:c r="M230" s="4" t="n">
        <x:v>73566.00999999999</x:v>
      </x:c>
      <x:c r="N230" s="4" t="n">
        <x:v>69372.09</x:v>
      </x:c>
      <x:c r="O230" s="4" t="n">
        <x:v>8533657.16</x:v>
      </x:c>
      <x:c r="P230" s="4" t="n">
        <x:v>8047162.44</x:v>
      </x:c>
      <x:c r="Q230" s="4" t="n">
        <x:v>486494.72</x:v>
      </x:c>
      <x:c r="R230" s="5" t="n">
        <x:v>6</x:v>
      </x:c>
      <x:c r="S230" s="3" t="n">
        <x:v>64</x:v>
      </x:c>
      <x:c r="T230" s="2" t="inlineStr">
        <x:is>
          <x:t xml:space="preserve">Yes</x:t>
        </x:is>
      </x:c>
      <x:c r="U230" s="2" t="inlineStr">
        <x:is>
          <x:t xml:space="preserve">Delivered</x:t>
        </x:is>
      </x:c>
    </x:row>
    <x:row r="231">
      <x:c r="A231" s="6" t="inlineStr">
        <x:is>
          <x:t xml:space="preserve">PO-2025-0230</x:t>
        </x:is>
      </x:c>
      <x:c r="B231" s="6" t="inlineStr">
        <x:is>
          <x:t xml:space="preserve">15/08/2025</x:t>
        </x:is>
      </x:c>
      <x:c r="C231" s="6" t="inlineStr">
        <x:is>
          <x:t xml:space="preserve">August</x:t>
        </x:is>
      </x:c>
      <x:c r="D231" s="6" t="inlineStr">
        <x:is>
          <x:t xml:space="preserve">Springbank Off-Stream Reservoir</x:t>
        </x:is>
      </x:c>
      <x:c r="E231" s="6" t="inlineStr">
        <x:is>
          <x:t xml:space="preserve">Calgary SE</x:t>
        </x:is>
      </x:c>
      <x:c r="F231" s="6" t="inlineStr">
        <x:is>
          <x:t xml:space="preserve">Sarah Bouchard</x:t>
        </x:is>
      </x:c>
      <x:c r="G231" s="6" t="inlineStr">
        <x:is>
          <x:t xml:space="preserve">Finishing</x:t>
        </x:is>
      </x:c>
      <x:c r="H231" s="6" t="inlineStr">
        <x:is>
          <x:t xml:space="preserve">Waterproofing Membrane</x:t>
        </x:is>
      </x:c>
      <x:c r="I231" s="6" t="inlineStr">
        <x:is>
          <x:t xml:space="preserve">Tremco Roofing</x:t>
        </x:is>
      </x:c>
      <x:c r="J231" s="6" t="inlineStr">
        <x:is>
          <x:t xml:space="preserve">Emergency Procurement</x:t>
        </x:is>
      </x:c>
      <x:c r="K231" s="7" t="n">
        <x:v>80</x:v>
      </x:c>
      <x:c r="L231" s="6" t="inlineStr">
        <x:is>
          <x:t xml:space="preserve">m²</x:t>
        </x:is>
      </x:c>
      <x:c r="M231" s="8" t="n">
        <x:v>149.09</x:v>
      </x:c>
      <x:c r="N231" s="8" t="n">
        <x:v>146.32</x:v>
      </x:c>
      <x:c r="O231" s="8" t="n">
        <x:v>11927.2</x:v>
      </x:c>
      <x:c r="P231" s="8" t="n">
        <x:v>11705.6</x:v>
      </x:c>
      <x:c r="Q231" s="8" t="n">
        <x:v>221.6</x:v>
      </x:c>
      <x:c r="R231" s="9" t="n">
        <x:v>1.9</x:v>
      </x:c>
      <x:c r="S231" s="7" t="n">
        <x:v>47</x:v>
      </x:c>
      <x:c r="T231" s="6" t="inlineStr">
        <x:is>
          <x:t xml:space="preserve">Yes</x:t>
        </x:is>
      </x:c>
      <x:c r="U231" s="6" t="inlineStr">
        <x:is>
          <x:t xml:space="preserve">Partially Delivered</x:t>
        </x:is>
      </x:c>
    </x:row>
    <x:row r="232">
      <x:c r="A232" s="2" t="inlineStr">
        <x:is>
          <x:t xml:space="preserve">PO-2025-0231</x:t>
        </x:is>
      </x:c>
      <x:c r="B232" s="2" t="inlineStr">
        <x:is>
          <x:t xml:space="preserve">31/03/2025</x:t>
        </x:is>
      </x:c>
      <x:c r="C232" s="2" t="inlineStr">
        <x:is>
          <x:t xml:space="preserve">March</x:t>
        </x:is>
      </x:c>
      <x:c r="D232" s="2" t="inlineStr">
        <x:is>
          <x:t xml:space="preserve">Saddledome Arena Retrofit</x:t>
        </x:is>
      </x:c>
      <x:c r="E232" s="2" t="inlineStr">
        <x:is>
          <x:t xml:space="preserve">Calgary SW</x:t>
        </x:is>
      </x:c>
      <x:c r="F232" s="2" t="inlineStr">
        <x:is>
          <x:t xml:space="preserve">Sarah Bouchard</x:t>
        </x:is>
      </x:c>
      <x:c r="G232" s="2" t="inlineStr">
        <x:is>
          <x:t xml:space="preserve">Civil Works</x:t>
        </x:is>
      </x:c>
      <x:c r="H232" s="2" t="inlineStr">
        <x:is>
          <x:t xml:space="preserve">Road Base Aggregate</x:t>
        </x:is>
      </x:c>
      <x:c r="I232" s="2" t="inlineStr">
        <x:is>
          <x:t xml:space="preserve">Kiewit Infrastructure</x:t>
        </x:is>
      </x:c>
      <x:c r="J232" s="2" t="inlineStr">
        <x:is>
          <x:t xml:space="preserve">Tender – Open</x:t>
        </x:is>
      </x:c>
      <x:c r="K232" s="3" t="n">
        <x:v>29</x:v>
      </x:c>
      <x:c r="L232" s="2" t="inlineStr">
        <x:is>
          <x:t xml:space="preserve">m³</x:t>
        </x:is>
      </x:c>
      <x:c r="M232" s="4" t="n">
        <x:v>277.43</x:v>
      </x:c>
      <x:c r="N232" s="4" t="n">
        <x:v>289.1</x:v>
      </x:c>
      <x:c r="O232" s="4" t="n">
        <x:v>8045.47</x:v>
      </x:c>
      <x:c r="P232" s="4" t="n">
        <x:v>8383.9</x:v>
      </x:c>
      <x:c r="Q232" s="4" t="n">
        <x:v>-338.43</x:v>
      </x:c>
      <x:c r="R232" s="5" t="n">
        <x:v>-4</x:v>
      </x:c>
      <x:c r="S232" s="3" t="n">
        <x:v>11</x:v>
      </x:c>
      <x:c r="T232" s="2" t="inlineStr">
        <x:is>
          <x:t xml:space="preserve">No</x:t>
        </x:is>
      </x:c>
      <x:c r="U232" s="2" t="inlineStr">
        <x:is>
          <x:t xml:space="preserve">Cancelled</x:t>
        </x:is>
      </x:c>
    </x:row>
    <x:row r="233">
      <x:c r="A233" s="6" t="inlineStr">
        <x:is>
          <x:t xml:space="preserve">PO-2025-0232</x:t>
        </x:is>
      </x:c>
      <x:c r="B233" s="6" t="inlineStr">
        <x:is>
          <x:t xml:space="preserve">25/01/2025</x:t>
        </x:is>
      </x:c>
      <x:c r="C233" s="6" t="inlineStr">
        <x:is>
          <x:t xml:space="preserve">January</x:t>
        </x:is>
      </x:c>
      <x:c r="D233" s="6" t="inlineStr">
        <x:is>
          <x:t xml:space="preserve">Calgary SE Ring Road Extension</x:t>
        </x:is>
      </x:c>
      <x:c r="E233" s="6" t="inlineStr">
        <x:is>
          <x:t xml:space="preserve">Calgary NE</x:t>
        </x:is>
      </x:c>
      <x:c r="F233" s="6" t="inlineStr">
        <x:is>
          <x:t xml:space="preserve">Linda Tran</x:t>
        </x:is>
      </x:c>
      <x:c r="G233" s="6" t="inlineStr">
        <x:is>
          <x:t xml:space="preserve">Concrete &amp; Structural</x:t>
        </x:is>
      </x:c>
      <x:c r="H233" s="6" t="inlineStr">
        <x:is>
          <x:t xml:space="preserve">Rebar Steel</x:t>
        </x:is>
      </x:c>
      <x:c r="I233" s="6" t="inlineStr">
        <x:is>
          <x:t xml:space="preserve">Lafarge Canada - Calgary</x:t>
        </x:is>
      </x:c>
      <x:c r="J233" s="6" t="inlineStr">
        <x:is>
          <x:t xml:space="preserve">Standing Offer Agreement</x:t>
        </x:is>
      </x:c>
      <x:c r="K233" s="7" t="n">
        <x:v>111</x:v>
      </x:c>
      <x:c r="L233" s="6" t="inlineStr">
        <x:is>
          <x:t xml:space="preserve">m³</x:t>
        </x:is>
      </x:c>
      <x:c r="M233" s="8" t="n">
        <x:v>492.05</x:v>
      </x:c>
      <x:c r="N233" s="8" t="n">
        <x:v>495.44</x:v>
      </x:c>
      <x:c r="O233" s="8" t="n">
        <x:v>54617.55</x:v>
      </x:c>
      <x:c r="P233" s="8" t="n">
        <x:v>54993.84</x:v>
      </x:c>
      <x:c r="Q233" s="8" t="n">
        <x:v>-376.29</x:v>
      </x:c>
      <x:c r="R233" s="9" t="n">
        <x:v>-0.7</x:v>
      </x:c>
      <x:c r="S233" s="7" t="n">
        <x:v>17</x:v>
      </x:c>
      <x:c r="T233" s="6" t="inlineStr">
        <x:is>
          <x:t xml:space="preserve">Yes</x:t>
        </x:is>
      </x:c>
      <x:c r="U233" s="6" t="inlineStr">
        <x:is>
          <x:t xml:space="preserve">Cancelled</x:t>
        </x:is>
      </x:c>
    </x:row>
    <x:row r="234">
      <x:c r="A234" s="2" t="inlineStr">
        <x:is>
          <x:t xml:space="preserve">PO-2025-0233</x:t>
        </x:is>
      </x:c>
      <x:c r="B234" s="2" t="inlineStr">
        <x:is>
          <x:t xml:space="preserve">11/11/2025</x:t>
        </x:is>
      </x:c>
      <x:c r="C234" s="2" t="inlineStr">
        <x:is>
          <x:t xml:space="preserve">November</x:t>
        </x:is>
      </x:c>
      <x:c r="D234" s="2" t="inlineStr">
        <x:is>
          <x:t xml:space="preserve">Saddledome Arena Retrofit</x:t>
        </x:is>
      </x:c>
      <x:c r="E234" s="2" t="inlineStr">
        <x:is>
          <x:t xml:space="preserve">Calgary SE</x:t>
        </x:is>
      </x:c>
      <x:c r="F234" s="2" t="inlineStr">
        <x:is>
          <x:t xml:space="preserve">Liam Kowalski</x:t>
        </x:is>
      </x:c>
      <x:c r="G234" s="2" t="inlineStr">
        <x:is>
          <x:t xml:space="preserve">Concrete &amp; Structural</x:t>
        </x:is>
      </x:c>
      <x:c r="H234" s="2" t="inlineStr">
        <x:is>
          <x:t xml:space="preserve">Precast Deck Panels</x:t>
        </x:is>
      </x:c>
      <x:c r="I234" s="2" t="inlineStr">
        <x:is>
          <x:t xml:space="preserve">Alberta Precast</x:t>
        </x:is>
      </x:c>
      <x:c r="J234" s="2" t="inlineStr">
        <x:is>
          <x:t xml:space="preserve">Standing Offer Agreement</x:t>
        </x:is>
      </x:c>
      <x:c r="K234" s="3" t="n">
        <x:v>29</x:v>
      </x:c>
      <x:c r="L234" s="2" t="inlineStr">
        <x:is>
          <x:t xml:space="preserve">m³</x:t>
        </x:is>
      </x:c>
      <x:c r="M234" s="4" t="n">
        <x:v>576.37</x:v>
      </x:c>
      <x:c r="N234" s="4" t="n">
        <x:v>618.62</x:v>
      </x:c>
      <x:c r="O234" s="4" t="n">
        <x:v>16714.73</x:v>
      </x:c>
      <x:c r="P234" s="4" t="n">
        <x:v>17939.98</x:v>
      </x:c>
      <x:c r="Q234" s="4" t="n">
        <x:v>-1225.25</x:v>
      </x:c>
      <x:c r="R234" s="5" t="n">
        <x:v>-6.8</x:v>
      </x:c>
      <x:c r="S234" s="3" t="n">
        <x:v>49</x:v>
      </x:c>
      <x:c r="T234" s="2" t="inlineStr">
        <x:is>
          <x:t xml:space="preserve">No</x:t>
        </x:is>
      </x:c>
      <x:c r="U234" s="2" t="inlineStr">
        <x:is>
          <x:t xml:space="preserve">Delivered</x:t>
        </x:is>
      </x:c>
    </x:row>
    <x:row r="235">
      <x:c r="A235" s="6" t="inlineStr">
        <x:is>
          <x:t xml:space="preserve">PO-2025-0234</x:t>
        </x:is>
      </x:c>
      <x:c r="B235" s="6" t="inlineStr">
        <x:is>
          <x:t xml:space="preserve">08/05/2025</x:t>
        </x:is>
      </x:c>
      <x:c r="C235" s="6" t="inlineStr">
        <x:is>
          <x:t xml:space="preserve">May</x:t>
        </x:is>
      </x:c>
      <x:c r="D235" s="6" t="inlineStr">
        <x:is>
          <x:t xml:space="preserve">Quarry Park Mixed-Use Development</x:t>
        </x:is>
      </x:c>
      <x:c r="E235" s="6" t="inlineStr">
        <x:is>
          <x:t xml:space="preserve">Calgary SE</x:t>
        </x:is>
      </x:c>
      <x:c r="F235" s="6" t="inlineStr">
        <x:is>
          <x:t xml:space="preserve">Linda Tran</x:t>
        </x:is>
      </x:c>
      <x:c r="G235" s="6" t="inlineStr">
        <x:is>
          <x:t xml:space="preserve">MEP - Electrical</x:t>
        </x:is>
      </x:c>
      <x:c r="H235" s="6" t="inlineStr">
        <x:is>
          <x:t xml:space="preserve">MV Distribution Cable</x:t>
        </x:is>
      </x:c>
      <x:c r="I235" s="6" t="inlineStr">
        <x:is>
          <x:t xml:space="preserve">Schneider Electric Canada</x:t>
        </x:is>
      </x:c>
      <x:c r="J235" s="6" t="inlineStr">
        <x:is>
          <x:t xml:space="preserve">Tender – Open</x:t>
        </x:is>
      </x:c>
      <x:c r="K235" s="7" t="n">
        <x:v>23</x:v>
      </x:c>
      <x:c r="L235" s="6" t="inlineStr">
        <x:is>
          <x:t xml:space="preserve">lot</x:t>
        </x:is>
      </x:c>
      <x:c r="M235" s="8" t="n">
        <x:v>39116.64</x:v>
      </x:c>
      <x:c r="N235" s="8" t="n">
        <x:v>37633.9</x:v>
      </x:c>
      <x:c r="O235" s="8" t="n">
        <x:v>899682.72</x:v>
      </x:c>
      <x:c r="P235" s="8" t="n">
        <x:v>865579.7</x:v>
      </x:c>
      <x:c r="Q235" s="8" t="n">
        <x:v>34103.02</x:v>
      </x:c>
      <x:c r="R235" s="9" t="n">
        <x:v>3.9</x:v>
      </x:c>
      <x:c r="S235" s="7" t="n">
        <x:v>18</x:v>
      </x:c>
      <x:c r="T235" s="6" t="inlineStr">
        <x:is>
          <x:t xml:space="preserve">No</x:t>
        </x:is>
      </x:c>
      <x:c r="U235" s="6" t="inlineStr">
        <x:is>
          <x:t xml:space="preserve">Delivered</x:t>
        </x:is>
      </x:c>
    </x:row>
    <x:row r="236">
      <x:c r="A236" s="2" t="inlineStr">
        <x:is>
          <x:t xml:space="preserve">PO-2025-0235</x:t>
        </x:is>
      </x:c>
      <x:c r="B236" s="2" t="inlineStr">
        <x:is>
          <x:t xml:space="preserve">29/08/2025</x:t>
        </x:is>
      </x:c>
      <x:c r="C236" s="2" t="inlineStr">
        <x:is>
          <x:t xml:space="preserve">August</x:t>
        </x:is>
      </x:c>
      <x:c r="D236" s="2" t="inlineStr">
        <x:is>
          <x:t xml:space="preserve">Deerfoot Trail Widening - North</x:t>
        </x:is>
      </x:c>
      <x:c r="E236" s="2" t="inlineStr">
        <x:is>
          <x:t xml:space="preserve">Calgary SW</x:t>
        </x:is>
      </x:c>
      <x:c r="F236" s="2" t="inlineStr">
        <x:is>
          <x:t xml:space="preserve">Sarah Bouchard</x:t>
        </x:is>
      </x:c>
      <x:c r="G236" s="2" t="inlineStr">
        <x:is>
          <x:t xml:space="preserve">MEP - Electrical</x:t>
        </x:is>
      </x:c>
      <x:c r="H236" s="2" t="inlineStr">
        <x:is>
          <x:t xml:space="preserve">Standby Generator</x:t>
        </x:is>
      </x:c>
      <x:c r="I236" s="2" t="inlineStr">
        <x:is>
          <x:t xml:space="preserve">Flint Energy Services</x:t>
        </x:is>
      </x:c>
      <x:c r="J236" s="2" t="inlineStr">
        <x:is>
          <x:t xml:space="preserve">Standing Offer Agreement</x:t>
        </x:is>
      </x:c>
      <x:c r="K236" s="3" t="n">
        <x:v>47</x:v>
      </x:c>
      <x:c r="L236" s="2" t="inlineStr">
        <x:is>
          <x:t xml:space="preserve">lot</x:t>
        </x:is>
      </x:c>
      <x:c r="M236" s="4" t="n">
        <x:v>74020.53999999999</x:v>
      </x:c>
      <x:c r="N236" s="4" t="n">
        <x:v>77837.85000000001</x:v>
      </x:c>
      <x:c r="O236" s="4" t="n">
        <x:v>3478965.38</x:v>
      </x:c>
      <x:c r="P236" s="4" t="n">
        <x:v>3658378.95</x:v>
      </x:c>
      <x:c r="Q236" s="4" t="n">
        <x:v>-179413.57</x:v>
      </x:c>
      <x:c r="R236" s="5" t="n">
        <x:v>-4.9</x:v>
      </x:c>
      <x:c r="S236" s="3" t="n">
        <x:v>63</x:v>
      </x:c>
      <x:c r="T236" s="2" t="inlineStr">
        <x:is>
          <x:t xml:space="preserve">Yes</x:t>
        </x:is>
      </x:c>
      <x:c r="U236" s="2" t="inlineStr">
        <x:is>
          <x:t xml:space="preserve">Pending</x:t>
        </x:is>
      </x:c>
    </x:row>
    <x:row r="237">
      <x:c r="A237" s="6" t="inlineStr">
        <x:is>
          <x:t xml:space="preserve">PO-2025-0236</x:t>
        </x:is>
      </x:c>
      <x:c r="B237" s="6" t="inlineStr">
        <x:is>
          <x:t xml:space="preserve">30/09/2025</x:t>
        </x:is>
      </x:c>
      <x:c r="C237" s="6" t="inlineStr">
        <x:is>
          <x:t xml:space="preserve">September</x:t>
        </x:is>
      </x:c>
      <x:c r="D237" s="6" t="inlineStr">
        <x:is>
          <x:t xml:space="preserve">Foothills Medical Centre Expansion</x:t>
        </x:is>
      </x:c>
      <x:c r="E237" s="6" t="inlineStr">
        <x:is>
          <x:t xml:space="preserve">Calgary SE</x:t>
        </x:is>
      </x:c>
      <x:c r="F237" s="6" t="inlineStr">
        <x:is>
          <x:t xml:space="preserve">Derek McLean</x:t>
        </x:is>
      </x:c>
      <x:c r="G237" s="6" t="inlineStr">
        <x:is>
          <x:t xml:space="preserve">Concrete &amp; Structural</x:t>
        </x:is>
      </x:c>
      <x:c r="H237" s="6" t="inlineStr">
        <x:is>
          <x:t xml:space="preserve">Rebar Steel</x:t>
        </x:is>
      </x:c>
      <x:c r="I237" s="6" t="inlineStr">
        <x:is>
          <x:t xml:space="preserve">Alberta Precast</x:t>
        </x:is>
      </x:c>
      <x:c r="J237" s="6" t="inlineStr">
        <x:is>
          <x:t xml:space="preserve">LPO – Direct Award</x:t>
        </x:is>
      </x:c>
      <x:c r="K237" s="7" t="n">
        <x:v>6</x:v>
      </x:c>
      <x:c r="L237" s="6" t="inlineStr">
        <x:is>
          <x:t xml:space="preserve">m³</x:t>
        </x:is>
      </x:c>
      <x:c r="M237" s="8" t="n">
        <x:v>514.52</x:v>
      </x:c>
      <x:c r="N237" s="8" t="n">
        <x:v>563.78</x:v>
      </x:c>
      <x:c r="O237" s="8" t="n">
        <x:v>3087.12</x:v>
      </x:c>
      <x:c r="P237" s="8" t="n">
        <x:v>3382.68</x:v>
      </x:c>
      <x:c r="Q237" s="8" t="n">
        <x:v>-295.56</x:v>
      </x:c>
      <x:c r="R237" s="9" t="n">
        <x:v>-8.699999999999999</x:v>
      </x:c>
      <x:c r="S237" s="7" t="n">
        <x:v>40</x:v>
      </x:c>
      <x:c r="T237" s="6" t="inlineStr">
        <x:is>
          <x:t xml:space="preserve">Yes</x:t>
        </x:is>
      </x:c>
      <x:c r="U237" s="6" t="inlineStr">
        <x:is>
          <x:t xml:space="preserve">Delivered</x:t>
        </x:is>
      </x:c>
    </x:row>
    <x:row r="238">
      <x:c r="A238" s="2" t="inlineStr">
        <x:is>
          <x:t xml:space="preserve">PO-2025-0237</x:t>
        </x:is>
      </x:c>
      <x:c r="B238" s="2" t="inlineStr">
        <x:is>
          <x:t xml:space="preserve">13/10/2025</x:t>
        </x:is>
      </x:c>
      <x:c r="C238" s="2" t="inlineStr">
        <x:is>
          <x:t xml:space="preserve">October</x:t>
        </x:is>
      </x:c>
      <x:c r="D238" s="2" t="inlineStr">
        <x:is>
          <x:t xml:space="preserve">Stampede Park Infrastructure Upgrade</x:t>
        </x:is>
      </x:c>
      <x:c r="E238" s="2" t="inlineStr">
        <x:is>
          <x:t xml:space="preserve">Calgary SE</x:t>
        </x:is>
      </x:c>
      <x:c r="F238" s="2" t="inlineStr">
        <x:is>
          <x:t xml:space="preserve">Derek McLean</x:t>
        </x:is>
      </x:c>
      <x:c r="G238" s="2" t="inlineStr">
        <x:is>
          <x:t xml:space="preserve">Safety &amp; Temp Works</x:t>
        </x:is>
      </x:c>
      <x:c r="H238" s="2" t="inlineStr">
        <x:is>
          <x:t xml:space="preserve">PPE Bulk Supply</x:t>
        </x:is>
      </x:c>
      <x:c r="I238" s="2" t="inlineStr">
        <x:is>
          <x:t xml:space="preserve">BrandSafway Canada</x:t>
        </x:is>
      </x:c>
      <x:c r="J238" s="2" t="inlineStr">
        <x:is>
          <x:t xml:space="preserve">Emergency Procurement</x:t>
        </x:is>
      </x:c>
      <x:c r="K238" s="3" t="n">
        <x:v>113</x:v>
      </x:c>
      <x:c r="L238" s="2" t="inlineStr">
        <x:is>
          <x:t xml:space="preserve">lot</x:t>
        </x:is>
      </x:c>
      <x:c r="M238" s="4" t="n">
        <x:v>11459.81</x:v>
      </x:c>
      <x:c r="N238" s="4" t="n">
        <x:v>12382.17</x:v>
      </x:c>
      <x:c r="O238" s="4" t="n">
        <x:v>1294958.53</x:v>
      </x:c>
      <x:c r="P238" s="4" t="n">
        <x:v>1399185.21</x:v>
      </x:c>
      <x:c r="Q238" s="4" t="n">
        <x:v>-104226.68</x:v>
      </x:c>
      <x:c r="R238" s="5" t="n">
        <x:v>-7.4</x:v>
      </x:c>
      <x:c r="S238" s="3" t="n">
        <x:v>28</x:v>
      </x:c>
      <x:c r="T238" s="2" t="inlineStr">
        <x:is>
          <x:t xml:space="preserve">No</x:t>
        </x:is>
      </x:c>
      <x:c r="U238" s="2" t="inlineStr">
        <x:is>
          <x:t xml:space="preserve">Delivered</x:t>
        </x:is>
      </x:c>
    </x:row>
    <x:row r="239">
      <x:c r="A239" s="6" t="inlineStr">
        <x:is>
          <x:t xml:space="preserve">PO-2025-0238</x:t>
        </x:is>
      </x:c>
      <x:c r="B239" s="6" t="inlineStr">
        <x:is>
          <x:t xml:space="preserve">01/10/2025</x:t>
        </x:is>
      </x:c>
      <x:c r="C239" s="6" t="inlineStr">
        <x:is>
          <x:t xml:space="preserve">October</x:t>
        </x:is>
      </x:c>
      <x:c r="D239" s="6" t="inlineStr">
        <x:is>
          <x:t xml:space="preserve">Rocky View Industrial Logistics Hub</x:t>
        </x:is>
      </x:c>
      <x:c r="E239" s="6" t="inlineStr">
        <x:is>
          <x:t xml:space="preserve">Rocky View County</x:t>
        </x:is>
      </x:c>
      <x:c r="F239" s="6" t="inlineStr">
        <x:is>
          <x:t xml:space="preserve">Liam Kowalski</x:t>
        </x:is>
      </x:c>
      <x:c r="G239" s="6" t="inlineStr">
        <x:is>
          <x:t xml:space="preserve">Finishing</x:t>
        </x:is>
      </x:c>
      <x:c r="H239" s="6" t="inlineStr">
        <x:is>
          <x:t xml:space="preserve">Waterproofing Membrane</x:t>
        </x:is>
      </x:c>
      <x:c r="I239" s="6" t="inlineStr">
        <x:is>
          <x:t xml:space="preserve">Tremco Roofing</x:t>
        </x:is>
      </x:c>
      <x:c r="J239" s="6" t="inlineStr">
        <x:is>
          <x:t xml:space="preserve">Tender – Open</x:t>
        </x:is>
      </x:c>
      <x:c r="K239" s="7" t="n">
        <x:v>10</x:v>
      </x:c>
      <x:c r="L239" s="6" t="inlineStr">
        <x:is>
          <x:t xml:space="preserve">m²</x:t>
        </x:is>
      </x:c>
      <x:c r="M239" s="8" t="n">
        <x:v>266.72</x:v>
      </x:c>
      <x:c r="N239" s="8" t="n">
        <x:v>283.28</x:v>
      </x:c>
      <x:c r="O239" s="8" t="n">
        <x:v>2667.2</x:v>
      </x:c>
      <x:c r="P239" s="8" t="n">
        <x:v>2832.8</x:v>
      </x:c>
      <x:c r="Q239" s="8" t="n">
        <x:v>-165.6</x:v>
      </x:c>
      <x:c r="R239" s="9" t="n">
        <x:v>-5.8</x:v>
      </x:c>
      <x:c r="S239" s="7" t="n">
        <x:v>18</x:v>
      </x:c>
      <x:c r="T239" s="6" t="inlineStr">
        <x:is>
          <x:t xml:space="preserve">No</x:t>
        </x:is>
      </x:c>
      <x:c r="U239" s="6" t="inlineStr">
        <x:is>
          <x:t xml:space="preserve">Delivered</x:t>
        </x:is>
      </x:c>
    </x:row>
    <x:row r="240">
      <x:c r="A240" s="2" t="inlineStr">
        <x:is>
          <x:t xml:space="preserve">PO-2025-0239</x:t>
        </x:is>
      </x:c>
      <x:c r="B240" s="2" t="inlineStr">
        <x:is>
          <x:t xml:space="preserve">19/07/2025</x:t>
        </x:is>
      </x:c>
      <x:c r="C240" s="2" t="inlineStr">
        <x:is>
          <x:t xml:space="preserve">July</x:t>
        </x:is>
      </x:c>
      <x:c r="D240" s="2" t="inlineStr">
        <x:is>
          <x:t xml:space="preserve">Calgary SE Ring Road Extension</x:t>
        </x:is>
      </x:c>
      <x:c r="E240" s="2" t="inlineStr">
        <x:is>
          <x:t xml:space="preserve">Rocky View County</x:t>
        </x:is>
      </x:c>
      <x:c r="F240" s="2" t="inlineStr">
        <x:is>
          <x:t xml:space="preserve">James Okafor</x:t>
        </x:is>
      </x:c>
      <x:c r="G240" s="2" t="inlineStr">
        <x:is>
          <x:t xml:space="preserve">Finishing</x:t>
        </x:is>
      </x:c>
      <x:c r="H240" s="2" t="inlineStr">
        <x:is>
          <x:t xml:space="preserve">Exterior Cladding Panel</x:t>
        </x:is>
      </x:c>
      <x:c r="I240" s="2" t="inlineStr">
        <x:is>
          <x:t xml:space="preserve">Centura Tile Calgary</x:t>
        </x:is>
      </x:c>
      <x:c r="J240" s="2" t="inlineStr">
        <x:is>
          <x:t xml:space="preserve">LPO – Direct Award</x:t>
        </x:is>
      </x:c>
      <x:c r="K240" s="3" t="n">
        <x:v>116</x:v>
      </x:c>
      <x:c r="L240" s="2" t="inlineStr">
        <x:is>
          <x:t xml:space="preserve">m²</x:t>
        </x:is>
      </x:c>
      <x:c r="M240" s="4" t="n">
        <x:v>245.59</x:v>
      </x:c>
      <x:c r="N240" s="4" t="n">
        <x:v>233.82</x:v>
      </x:c>
      <x:c r="O240" s="4" t="n">
        <x:v>28488.44</x:v>
      </x:c>
      <x:c r="P240" s="4" t="n">
        <x:v>27123.12</x:v>
      </x:c>
      <x:c r="Q240" s="4" t="n">
        <x:v>1365.32</x:v>
      </x:c>
      <x:c r="R240" s="5" t="n">
        <x:v>5</x:v>
      </x:c>
      <x:c r="S240" s="3" t="n">
        <x:v>67</x:v>
      </x:c>
      <x:c r="T240" s="2" t="inlineStr">
        <x:is>
          <x:t xml:space="preserve">No</x:t>
        </x:is>
      </x:c>
      <x:c r="U240" s="2" t="inlineStr">
        <x:is>
          <x:t xml:space="preserve">Partially Delivered</x:t>
        </x:is>
      </x:c>
    </x:row>
    <x:row r="241">
      <x:c r="A241" s="6" t="inlineStr">
        <x:is>
          <x:t xml:space="preserve">PO-2025-0240</x:t>
        </x:is>
      </x:c>
      <x:c r="B241" s="6" t="inlineStr">
        <x:is>
          <x:t xml:space="preserve">30/11/2025</x:t>
        </x:is>
      </x:c>
      <x:c r="C241" s="6" t="inlineStr">
        <x:is>
          <x:t xml:space="preserve">November</x:t>
        </x:is>
      </x:c>
      <x:c r="D241" s="6" t="inlineStr">
        <x:is>
          <x:t xml:space="preserve">Deerfoot Trail Widening - North</x:t>
        </x:is>
      </x:c>
      <x:c r="E241" s="6" t="inlineStr">
        <x:is>
          <x:t xml:space="preserve">Calgary SE</x:t>
        </x:is>
      </x:c>
      <x:c r="F241" s="6" t="inlineStr">
        <x:is>
          <x:t xml:space="preserve">Liam Kowalski</x:t>
        </x:is>
      </x:c>
      <x:c r="G241" s="6" t="inlineStr">
        <x:is>
          <x:t xml:space="preserve">Finishing</x:t>
        </x:is>
      </x:c>
      <x:c r="H241" s="6" t="inlineStr">
        <x:is>
          <x:t xml:space="preserve">Waterproofing Membrane</x:t>
        </x:is>
      </x:c>
      <x:c r="I241" s="6" t="inlineStr">
        <x:is>
          <x:t xml:space="preserve">Centura Tile Calgary</x:t>
        </x:is>
      </x:c>
      <x:c r="J241" s="6" t="inlineStr">
        <x:is>
          <x:t xml:space="preserve">3-Quote Comparison</x:t>
        </x:is>
      </x:c>
      <x:c r="K241" s="7" t="n">
        <x:v>119</x:v>
      </x:c>
      <x:c r="L241" s="6" t="inlineStr">
        <x:is>
          <x:t xml:space="preserve">m²</x:t>
        </x:is>
      </x:c>
      <x:c r="M241" s="8" t="n">
        <x:v>348.61</x:v>
      </x:c>
      <x:c r="N241" s="8" t="n">
        <x:v>328.2</x:v>
      </x:c>
      <x:c r="O241" s="8" t="n">
        <x:v>41484.59</x:v>
      </x:c>
      <x:c r="P241" s="8" t="n">
        <x:v>39055.8</x:v>
      </x:c>
      <x:c r="Q241" s="8" t="n">
        <x:v>2428.79</x:v>
      </x:c>
      <x:c r="R241" s="9" t="n">
        <x:v>6.2</x:v>
      </x:c>
      <x:c r="S241" s="7" t="n">
        <x:v>13</x:v>
      </x:c>
      <x:c r="T241" s="6" t="inlineStr">
        <x:is>
          <x:t xml:space="preserve">No</x:t>
        </x:is>
      </x:c>
      <x:c r="U241" s="6" t="inlineStr">
        <x:is>
          <x:t xml:space="preserve">Delivered</x:t>
        </x:is>
      </x:c>
    </x:row>
    <x:row r="242">
      <x:c r="A242" s="2" t="inlineStr">
        <x:is>
          <x:t xml:space="preserve">PO-2025-0241</x:t>
        </x:is>
      </x:c>
      <x:c r="B242" s="2" t="inlineStr">
        <x:is>
          <x:t xml:space="preserve">20/06/2025</x:t>
        </x:is>
      </x:c>
      <x:c r="C242" s="2" t="inlineStr">
        <x:is>
          <x:t xml:space="preserve">June</x:t>
        </x:is>
      </x:c>
      <x:c r="D242" s="2" t="inlineStr">
        <x:is>
          <x:t xml:space="preserve">Saddledome Arena Retrofit</x:t>
        </x:is>
      </x:c>
      <x:c r="E242" s="2" t="inlineStr">
        <x:is>
          <x:t xml:space="preserve">Calgary NE</x:t>
        </x:is>
      </x:c>
      <x:c r="F242" s="2" t="inlineStr">
        <x:is>
          <x:t xml:space="preserve">Sarah Bouchard</x:t>
        </x:is>
      </x:c>
      <x:c r="G242" s="2" t="inlineStr">
        <x:is>
          <x:t xml:space="preserve">Safety &amp; Temp Works</x:t>
        </x:is>
      </x:c>
      <x:c r="H242" s="2" t="inlineStr">
        <x:is>
          <x:t xml:space="preserve">Scaffolding System</x:t>
        </x:is>
      </x:c>
      <x:c r="I242" s="2" t="inlineStr">
        <x:is>
          <x:t xml:space="preserve">Levitt-Safety Calgary</x:t>
        </x:is>
      </x:c>
      <x:c r="J242" s="2" t="inlineStr">
        <x:is>
          <x:t xml:space="preserve">3-Quote Comparison</x:t>
        </x:is>
      </x:c>
      <x:c r="K242" s="3" t="n">
        <x:v>8</x:v>
      </x:c>
      <x:c r="L242" s="2" t="inlineStr">
        <x:is>
          <x:t xml:space="preserve">lot</x:t>
        </x:is>
      </x:c>
      <x:c r="M242" s="4" t="n">
        <x:v>15384.38</x:v>
      </x:c>
      <x:c r="N242" s="4" t="n">
        <x:v>15240.58</x:v>
      </x:c>
      <x:c r="O242" s="4" t="n">
        <x:v>123075.04</x:v>
      </x:c>
      <x:c r="P242" s="4" t="n">
        <x:v>121924.64</x:v>
      </x:c>
      <x:c r="Q242" s="4" t="n">
        <x:v>1150.4</x:v>
      </x:c>
      <x:c r="R242" s="5" t="n">
        <x:v>0.9</x:v>
      </x:c>
      <x:c r="S242" s="3" t="n">
        <x:v>21</x:v>
      </x:c>
      <x:c r="T242" s="2" t="inlineStr">
        <x:is>
          <x:t xml:space="preserve">Yes</x:t>
        </x:is>
      </x:c>
      <x:c r="U242" s="2" t="inlineStr">
        <x:is>
          <x:t xml:space="preserve">Cancelled</x:t>
        </x:is>
      </x:c>
    </x:row>
    <x:row r="243">
      <x:c r="A243" s="6" t="inlineStr">
        <x:is>
          <x:t xml:space="preserve">PO-2025-0242</x:t>
        </x:is>
      </x:c>
      <x:c r="B243" s="6" t="inlineStr">
        <x:is>
          <x:t xml:space="preserve">16/01/2025</x:t>
        </x:is>
      </x:c>
      <x:c r="C243" s="6" t="inlineStr">
        <x:is>
          <x:t xml:space="preserve">January</x:t>
        </x:is>
      </x:c>
      <x:c r="D243" s="6" t="inlineStr">
        <x:is>
          <x:t xml:space="preserve">Saddledome Arena Retrofit</x:t>
        </x:is>
      </x:c>
      <x:c r="E243" s="6" t="inlineStr">
        <x:is>
          <x:t xml:space="preserve">Rocky View County</x:t>
        </x:is>
      </x:c>
      <x:c r="F243" s="6" t="inlineStr">
        <x:is>
          <x:t xml:space="preserve">James Okafor</x:t>
        </x:is>
      </x:c>
      <x:c r="G243" s="6" t="inlineStr">
        <x:is>
          <x:t xml:space="preserve">Safety &amp; Temp Works</x:t>
        </x:is>
      </x:c>
      <x:c r="H243" s="6" t="inlineStr">
        <x:is>
          <x:t xml:space="preserve">Fall Protection Netting</x:t>
        </x:is>
      </x:c>
      <x:c r="I243" s="6" t="inlineStr">
        <x:is>
          <x:t xml:space="preserve">Levitt-Safety Calgary</x:t>
        </x:is>
      </x:c>
      <x:c r="J243" s="6" t="inlineStr">
        <x:is>
          <x:t xml:space="preserve">Tender – Open</x:t>
        </x:is>
      </x:c>
      <x:c r="K243" s="7" t="n">
        <x:v>79</x:v>
      </x:c>
      <x:c r="L243" s="6" t="inlineStr">
        <x:is>
          <x:t xml:space="preserve">lot</x:t>
        </x:is>
      </x:c>
      <x:c r="M243" s="8" t="n">
        <x:v>13030.85</x:v>
      </x:c>
      <x:c r="N243" s="8" t="n">
        <x:v>11239.73</x:v>
      </x:c>
      <x:c r="O243" s="8" t="n">
        <x:v>1029437.15</x:v>
      </x:c>
      <x:c r="P243" s="8" t="n">
        <x:v>887938.67</x:v>
      </x:c>
      <x:c r="Q243" s="8" t="n">
        <x:v>141498.48</x:v>
      </x:c>
      <x:c r="R243" s="9" t="n">
        <x:v>15.9</x:v>
      </x:c>
      <x:c r="S243" s="7" t="n">
        <x:v>9</x:v>
      </x:c>
      <x:c r="T243" s="6" t="inlineStr">
        <x:is>
          <x:t xml:space="preserve">Yes</x:t>
        </x:is>
      </x:c>
      <x:c r="U243" s="6" t="inlineStr">
        <x:is>
          <x:t xml:space="preserve">Delivered</x:t>
        </x:is>
      </x:c>
    </x:row>
    <x:row r="244">
      <x:c r="A244" s="2" t="inlineStr">
        <x:is>
          <x:t xml:space="preserve">PO-2025-0243</x:t>
        </x:is>
      </x:c>
      <x:c r="B244" s="2" t="inlineStr">
        <x:is>
          <x:t xml:space="preserve">16/07/2025</x:t>
        </x:is>
      </x:c>
      <x:c r="C244" s="2" t="inlineStr">
        <x:is>
          <x:t xml:space="preserve">July</x:t>
        </x:is>
      </x:c>
      <x:c r="D244" s="2" t="inlineStr">
        <x:is>
          <x:t xml:space="preserve">Quarry Park Mixed-Use Development</x:t>
        </x:is>
      </x:c>
      <x:c r="E244" s="2" t="inlineStr">
        <x:is>
          <x:t xml:space="preserve">Rocky View County</x:t>
        </x:is>
      </x:c>
      <x:c r="F244" s="2" t="inlineStr">
        <x:is>
          <x:t xml:space="preserve">Aisha Nkosi</x:t>
        </x:is>
      </x:c>
      <x:c r="G244" s="2" t="inlineStr">
        <x:is>
          <x:t xml:space="preserve">Safety &amp; Temp Works</x:t>
        </x:is>
      </x:c>
      <x:c r="H244" s="2" t="inlineStr">
        <x:is>
          <x:t xml:space="preserve">Scaffolding System</x:t>
        </x:is>
      </x:c>
      <x:c r="I244" s="2" t="inlineStr">
        <x:is>
          <x:t xml:space="preserve">Sunbelt Rentals Canada</x:t>
        </x:is>
      </x:c>
      <x:c r="J244" s="2" t="inlineStr">
        <x:is>
          <x:t xml:space="preserve">LPO – Direct Award</x:t>
        </x:is>
      </x:c>
      <x:c r="K244" s="3" t="n">
        <x:v>36</x:v>
      </x:c>
      <x:c r="L244" s="2" t="inlineStr">
        <x:is>
          <x:t xml:space="preserve">lot</x:t>
        </x:is>
      </x:c>
      <x:c r="M244" s="4" t="n">
        <x:v>5482.66</x:v>
      </x:c>
      <x:c r="N244" s="4" t="n">
        <x:v>5278.55</x:v>
      </x:c>
      <x:c r="O244" s="4" t="n">
        <x:v>197375.76</x:v>
      </x:c>
      <x:c r="P244" s="4" t="n">
        <x:v>190027.8</x:v>
      </x:c>
      <x:c r="Q244" s="4" t="n">
        <x:v>7347.96</x:v>
      </x:c>
      <x:c r="R244" s="5" t="n">
        <x:v>3.9</x:v>
      </x:c>
      <x:c r="S244" s="3" t="n">
        <x:v>29</x:v>
      </x:c>
      <x:c r="T244" s="2" t="inlineStr">
        <x:is>
          <x:t xml:space="preserve">Yes</x:t>
        </x:is>
      </x:c>
      <x:c r="U244" s="2" t="inlineStr">
        <x:is>
          <x:t xml:space="preserve">Delivered</x:t>
        </x:is>
      </x:c>
    </x:row>
    <x:row r="245">
      <x:c r="A245" s="6" t="inlineStr">
        <x:is>
          <x:t xml:space="preserve">PO-2025-0244</x:t>
        </x:is>
      </x:c>
      <x:c r="B245" s="6" t="inlineStr">
        <x:is>
          <x:t xml:space="preserve">09/05/2025</x:t>
        </x:is>
      </x:c>
      <x:c r="C245" s="6" t="inlineStr">
        <x:is>
          <x:t xml:space="preserve">May</x:t>
        </x:is>
      </x:c>
      <x:c r="D245" s="6" t="inlineStr">
        <x:is>
          <x:t xml:space="preserve">Saddledome Arena Retrofit</x:t>
        </x:is>
      </x:c>
      <x:c r="E245" s="6" t="inlineStr">
        <x:is>
          <x:t xml:space="preserve">Calgary SW</x:t>
        </x:is>
      </x:c>
      <x:c r="F245" s="6" t="inlineStr">
        <x:is>
          <x:t xml:space="preserve">Derek McLean</x:t>
        </x:is>
      </x:c>
      <x:c r="G245" s="6" t="inlineStr">
        <x:is>
          <x:t xml:space="preserve">Civil Works</x:t>
        </x:is>
      </x:c>
      <x:c r="H245" s="6" t="inlineStr">
        <x:is>
          <x:t xml:space="preserve">Road Base Aggregate</x:t>
        </x:is>
      </x:c>
      <x:c r="I245" s="6" t="inlineStr">
        <x:is>
          <x:t xml:space="preserve">Ledcor Civil Alberta</x:t>
        </x:is>
      </x:c>
      <x:c r="J245" s="6" t="inlineStr">
        <x:is>
          <x:t xml:space="preserve">Tender – Open</x:t>
        </x:is>
      </x:c>
      <x:c r="K245" s="7" t="n">
        <x:v>8</x:v>
      </x:c>
      <x:c r="L245" s="6" t="inlineStr">
        <x:is>
          <x:t xml:space="preserve">m³</x:t>
        </x:is>
      </x:c>
      <x:c r="M245" s="8" t="n">
        <x:v>180.83</x:v>
      </x:c>
      <x:c r="N245" s="8" t="n">
        <x:v>183.71</x:v>
      </x:c>
      <x:c r="O245" s="8" t="n">
        <x:v>1446.64</x:v>
      </x:c>
      <x:c r="P245" s="8" t="n">
        <x:v>1469.68</x:v>
      </x:c>
      <x:c r="Q245" s="8" t="n">
        <x:v>-23.04</x:v>
      </x:c>
      <x:c r="R245" s="9" t="n">
        <x:v>-1.6</x:v>
      </x:c>
      <x:c r="S245" s="7" t="n">
        <x:v>79</x:v>
      </x:c>
      <x:c r="T245" s="6" t="inlineStr">
        <x:is>
          <x:t xml:space="preserve">Yes</x:t>
        </x:is>
      </x:c>
      <x:c r="U245" s="6" t="inlineStr">
        <x:is>
          <x:t xml:space="preserve">Pending</x:t>
        </x:is>
      </x:c>
    </x:row>
    <x:row r="246">
      <x:c r="A246" s="2" t="inlineStr">
        <x:is>
          <x:t xml:space="preserve">PO-2025-0245</x:t>
        </x:is>
      </x:c>
      <x:c r="B246" s="2" t="inlineStr">
        <x:is>
          <x:t xml:space="preserve">10/05/2025</x:t>
        </x:is>
      </x:c>
      <x:c r="C246" s="2" t="inlineStr">
        <x:is>
          <x:t xml:space="preserve">May</x:t>
        </x:is>
      </x:c>
      <x:c r="D246" s="2" t="inlineStr">
        <x:is>
          <x:t xml:space="preserve">Bow River Crossing Overpass</x:t>
        </x:is>
      </x:c>
      <x:c r="E246" s="2" t="inlineStr">
        <x:is>
          <x:t xml:space="preserve">Calgary NE</x:t>
        </x:is>
      </x:c>
      <x:c r="F246" s="2" t="inlineStr">
        <x:is>
          <x:t xml:space="preserve">Linda Tran</x:t>
        </x:is>
      </x:c>
      <x:c r="G246" s="2" t="inlineStr">
        <x:is>
          <x:t xml:space="preserve">Concrete &amp; Structural</x:t>
        </x:is>
      </x:c>
      <x:c r="H246" s="2" t="inlineStr">
        <x:is>
          <x:t xml:space="preserve">Rebar Steel</x:t>
        </x:is>
      </x:c>
      <x:c r="I246" s="2" t="inlineStr">
        <x:is>
          <x:t xml:space="preserve">Alberta Precast</x:t>
        </x:is>
      </x:c>
      <x:c r="J246" s="2" t="inlineStr">
        <x:is>
          <x:t xml:space="preserve">Standing Offer Agreement</x:t>
        </x:is>
      </x:c>
      <x:c r="K246" s="3" t="n">
        <x:v>76</x:v>
      </x:c>
      <x:c r="L246" s="2" t="inlineStr">
        <x:is>
          <x:t xml:space="preserve">m³</x:t>
        </x:is>
      </x:c>
      <x:c r="M246" s="4" t="n">
        <x:v>279.72</x:v>
      </x:c>
      <x:c r="N246" s="4" t="n">
        <x:v>308.94</x:v>
      </x:c>
      <x:c r="O246" s="4" t="n">
        <x:v>21258.72</x:v>
      </x:c>
      <x:c r="P246" s="4" t="n">
        <x:v>23479.44</x:v>
      </x:c>
      <x:c r="Q246" s="4" t="n">
        <x:v>-2220.72</x:v>
      </x:c>
      <x:c r="R246" s="5" t="n">
        <x:v>-9.5</x:v>
      </x:c>
      <x:c r="S246" s="3" t="n">
        <x:v>81</x:v>
      </x:c>
      <x:c r="T246" s="2" t="inlineStr">
        <x:is>
          <x:t xml:space="preserve">No</x:t>
        </x:is>
      </x:c>
      <x:c r="U246" s="2" t="inlineStr">
        <x:is>
          <x:t xml:space="preserve">Pending</x:t>
        </x:is>
      </x:c>
    </x:row>
    <x:row r="247">
      <x:c r="A247" s="6" t="inlineStr">
        <x:is>
          <x:t xml:space="preserve">PO-2025-0246</x:t>
        </x:is>
      </x:c>
      <x:c r="B247" s="6" t="inlineStr">
        <x:is>
          <x:t xml:space="preserve">06/01/2025</x:t>
        </x:is>
      </x:c>
      <x:c r="C247" s="6" t="inlineStr">
        <x:is>
          <x:t xml:space="preserve">January</x:t>
        </x:is>
      </x:c>
      <x:c r="D247" s="6" t="inlineStr">
        <x:is>
          <x:t xml:space="preserve">Stampede Park Infrastructure Upgrade</x:t>
        </x:is>
      </x:c>
      <x:c r="E247" s="6" t="inlineStr">
        <x:is>
          <x:t xml:space="preserve">Calgary SW</x:t>
        </x:is>
      </x:c>
      <x:c r="F247" s="6" t="inlineStr">
        <x:is>
          <x:t xml:space="preserve">Liam Kowalski</x:t>
        </x:is>
      </x:c>
      <x:c r="G247" s="6" t="inlineStr">
        <x:is>
          <x:t xml:space="preserve">Civil Works</x:t>
        </x:is>
      </x:c>
      <x:c r="H247" s="6" t="inlineStr">
        <x:is>
          <x:t xml:space="preserve">Granular Backfill</x:t>
        </x:is>
      </x:c>
      <x:c r="I247" s="6" t="inlineStr">
        <x:is>
          <x:t xml:space="preserve">EllisDon Civil</x:t>
        </x:is>
      </x:c>
      <x:c r="J247" s="6" t="inlineStr">
        <x:is>
          <x:t xml:space="preserve">LPO – Direct Award</x:t>
        </x:is>
      </x:c>
      <x:c r="K247" s="7" t="n">
        <x:v>5</x:v>
      </x:c>
      <x:c r="L247" s="6" t="inlineStr">
        <x:is>
          <x:t xml:space="preserve">m³</x:t>
        </x:is>
      </x:c>
      <x:c r="M247" s="8" t="n">
        <x:v>193.37</x:v>
      </x:c>
      <x:c r="N247" s="8" t="n">
        <x:v>175.85</x:v>
      </x:c>
      <x:c r="O247" s="8" t="n">
        <x:v>966.85</x:v>
      </x:c>
      <x:c r="P247" s="8" t="n">
        <x:v>879.25</x:v>
      </x:c>
      <x:c r="Q247" s="8" t="n">
        <x:v>87.59999999999999</x:v>
      </x:c>
      <x:c r="R247" s="9" t="n">
        <x:v>10</x:v>
      </x:c>
      <x:c r="S247" s="7" t="n">
        <x:v>53</x:v>
      </x:c>
      <x:c r="T247" s="6" t="inlineStr">
        <x:is>
          <x:t xml:space="preserve">Yes</x:t>
        </x:is>
      </x:c>
      <x:c r="U247" s="6" t="inlineStr">
        <x:is>
          <x:t xml:space="preserve">Partially Delivered</x:t>
        </x:is>
      </x:c>
    </x:row>
    <x:row r="248">
      <x:c r="A248" s="2" t="inlineStr">
        <x:is>
          <x:t xml:space="preserve">PO-2025-0247</x:t>
        </x:is>
      </x:c>
      <x:c r="B248" s="2" t="inlineStr">
        <x:is>
          <x:t xml:space="preserve">14/11/2025</x:t>
        </x:is>
      </x:c>
      <x:c r="C248" s="2" t="inlineStr">
        <x:is>
          <x:t xml:space="preserve">November</x:t>
        </x:is>
      </x:c>
      <x:c r="D248" s="2" t="inlineStr">
        <x:is>
          <x:t xml:space="preserve">University District Residential Phase 3</x:t>
        </x:is>
      </x:c>
      <x:c r="E248" s="2" t="inlineStr">
        <x:is>
          <x:t xml:space="preserve">Calgary SW</x:t>
        </x:is>
      </x:c>
      <x:c r="F248" s="2" t="inlineStr">
        <x:is>
          <x:t xml:space="preserve">Priya Sharma</x:t>
        </x:is>
      </x:c>
      <x:c r="G248" s="2" t="inlineStr">
        <x:is>
          <x:t xml:space="preserve">MEP - Electrical</x:t>
        </x:is>
      </x:c>
      <x:c r="H248" s="2" t="inlineStr">
        <x:is>
          <x:t xml:space="preserve">MV Distribution Cable</x:t>
        </x:is>
      </x:c>
      <x:c r="I248" s="2" t="inlineStr">
        <x:is>
          <x:t xml:space="preserve">Stuart Olson Electrical</x:t>
        </x:is>
      </x:c>
      <x:c r="J248" s="2" t="inlineStr">
        <x:is>
          <x:t xml:space="preserve">3-Quote Comparison</x:t>
        </x:is>
      </x:c>
      <x:c r="K248" s="3" t="n">
        <x:v>79</x:v>
      </x:c>
      <x:c r="L248" s="2" t="inlineStr">
        <x:is>
          <x:t xml:space="preserve">lot</x:t>
        </x:is>
      </x:c>
      <x:c r="M248" s="4" t="n">
        <x:v>26934.47</x:v>
      </x:c>
      <x:c r="N248" s="4" t="n">
        <x:v>23547.88</x:v>
      </x:c>
      <x:c r="O248" s="4" t="n">
        <x:v>2127823.13</x:v>
      </x:c>
      <x:c r="P248" s="4" t="n">
        <x:v>1860282.52</x:v>
      </x:c>
      <x:c r="Q248" s="4" t="n">
        <x:v>267540.61</x:v>
      </x:c>
      <x:c r="R248" s="5" t="n">
        <x:v>14.4</x:v>
      </x:c>
      <x:c r="S248" s="3" t="n">
        <x:v>7</x:v>
      </x:c>
      <x:c r="T248" s="2" t="inlineStr">
        <x:is>
          <x:t xml:space="preserve">No</x:t>
        </x:is>
      </x:c>
      <x:c r="U248" s="2" t="inlineStr">
        <x:is>
          <x:t xml:space="preserve">Cancelled</x:t>
        </x:is>
      </x:c>
    </x:row>
    <x:row r="249">
      <x:c r="A249" s="6" t="inlineStr">
        <x:is>
          <x:t xml:space="preserve">PO-2025-0248</x:t>
        </x:is>
      </x:c>
      <x:c r="B249" s="6" t="inlineStr">
        <x:is>
          <x:t xml:space="preserve">15/07/2025</x:t>
        </x:is>
      </x:c>
      <x:c r="C249" s="6" t="inlineStr">
        <x:is>
          <x:t xml:space="preserve">July</x:t>
        </x:is>
      </x:c>
      <x:c r="D249" s="6" t="inlineStr">
        <x:is>
          <x:t xml:space="preserve">Saddledome Arena Retrofit</x:t>
        </x:is>
      </x:c>
      <x:c r="E249" s="6" t="inlineStr">
        <x:is>
          <x:t xml:space="preserve">Calgary NE</x:t>
        </x:is>
      </x:c>
      <x:c r="F249" s="6" t="inlineStr">
        <x:is>
          <x:t xml:space="preserve">Linda Tran</x:t>
        </x:is>
      </x:c>
      <x:c r="G249" s="6" t="inlineStr">
        <x:is>
          <x:t xml:space="preserve">Safety &amp; Temp Works</x:t>
        </x:is>
      </x:c>
      <x:c r="H249" s="6" t="inlineStr">
        <x:is>
          <x:t xml:space="preserve">Site Hoarding &amp; Fencing</x:t>
        </x:is>
      </x:c>
      <x:c r="I249" s="6" t="inlineStr">
        <x:is>
          <x:t xml:space="preserve">Safway Alberta</x:t>
        </x:is>
      </x:c>
      <x:c r="J249" s="6" t="inlineStr">
        <x:is>
          <x:t xml:space="preserve">Emergency Procurement</x:t>
        </x:is>
      </x:c>
      <x:c r="K249" s="7" t="n">
        <x:v>103</x:v>
      </x:c>
      <x:c r="L249" s="6" t="inlineStr">
        <x:is>
          <x:t xml:space="preserve">lot</x:t>
        </x:is>
      </x:c>
      <x:c r="M249" s="8" t="n">
        <x:v>19781.32</x:v>
      </x:c>
      <x:c r="N249" s="8" t="n">
        <x:v>17292.89</x:v>
      </x:c>
      <x:c r="O249" s="8" t="n">
        <x:v>2037475.96</x:v>
      </x:c>
      <x:c r="P249" s="8" t="n">
        <x:v>1781167.67</x:v>
      </x:c>
      <x:c r="Q249" s="8" t="n">
        <x:v>256308.29</x:v>
      </x:c>
      <x:c r="R249" s="9" t="n">
        <x:v>14.4</x:v>
      </x:c>
      <x:c r="S249" s="7" t="n">
        <x:v>18</x:v>
      </x:c>
      <x:c r="T249" s="6" t="inlineStr">
        <x:is>
          <x:t xml:space="preserve">No</x:t>
        </x:is>
      </x:c>
      <x:c r="U249" s="6" t="inlineStr">
        <x:is>
          <x:t xml:space="preserve">Delivered</x:t>
        </x:is>
      </x:c>
    </x:row>
    <x:row r="250">
      <x:c r="A250" s="2" t="inlineStr">
        <x:is>
          <x:t xml:space="preserve">PO-2025-0249</x:t>
        </x:is>
      </x:c>
      <x:c r="B250" s="2" t="inlineStr">
        <x:is>
          <x:t xml:space="preserve">08/04/2025</x:t>
        </x:is>
      </x:c>
      <x:c r="C250" s="2" t="inlineStr">
        <x:is>
          <x:t xml:space="preserve">April</x:t>
        </x:is>
      </x:c>
      <x:c r="D250" s="2" t="inlineStr">
        <x:is>
          <x:t xml:space="preserve">Stampede Park Infrastructure Upgrade</x:t>
        </x:is>
      </x:c>
      <x:c r="E250" s="2" t="inlineStr">
        <x:is>
          <x:t xml:space="preserve">Calgary NE</x:t>
        </x:is>
      </x:c>
      <x:c r="F250" s="2" t="inlineStr">
        <x:is>
          <x:t xml:space="preserve">James Okafor</x:t>
        </x:is>
      </x:c>
      <x:c r="G250" s="2" t="inlineStr">
        <x:is>
          <x:t xml:space="preserve">Civil Works</x:t>
        </x:is>
      </x:c>
      <x:c r="H250" s="2" t="inlineStr">
        <x:is>
          <x:t xml:space="preserve">Granular Backfill</x:t>
        </x:is>
      </x:c>
      <x:c r="I250" s="2" t="inlineStr">
        <x:is>
          <x:t xml:space="preserve">Ledcor Civil Alberta</x:t>
        </x:is>
      </x:c>
      <x:c r="J250" s="2" t="inlineStr">
        <x:is>
          <x:t xml:space="preserve">LPO – Direct Award</x:t>
        </x:is>
      </x:c>
      <x:c r="K250" s="3" t="n">
        <x:v>69</x:v>
      </x:c>
      <x:c r="L250" s="2" t="inlineStr">
        <x:is>
          <x:t xml:space="preserve">m³</x:t>
        </x:is>
      </x:c>
      <x:c r="M250" s="4" t="n">
        <x:v>98</x:v>
      </x:c>
      <x:c r="N250" s="4" t="n">
        <x:v>113.76</x:v>
      </x:c>
      <x:c r="O250" s="4" t="n">
        <x:v>6762</x:v>
      </x:c>
      <x:c r="P250" s="4" t="n">
        <x:v>7849.44</x:v>
      </x:c>
      <x:c r="Q250" s="4" t="n">
        <x:v>-1087.44</x:v>
      </x:c>
      <x:c r="R250" s="5" t="n">
        <x:v>-13.9</x:v>
      </x:c>
      <x:c r="S250" s="3" t="n">
        <x:v>56</x:v>
      </x:c>
      <x:c r="T250" s="2" t="inlineStr">
        <x:is>
          <x:t xml:space="preserve">No</x:t>
        </x:is>
      </x:c>
      <x:c r="U250" s="2" t="inlineStr">
        <x:is>
          <x:t xml:space="preserve">Pending</x:t>
        </x:is>
      </x:c>
    </x:row>
    <x:row r="251">
      <x:c r="A251" s="6" t="inlineStr">
        <x:is>
          <x:t xml:space="preserve">PO-2025-0250</x:t>
        </x:is>
      </x:c>
      <x:c r="B251" s="6" t="inlineStr">
        <x:is>
          <x:t xml:space="preserve">18/09/2025</x:t>
        </x:is>
      </x:c>
      <x:c r="C251" s="6" t="inlineStr">
        <x:is>
          <x:t xml:space="preserve">September</x:t>
        </x:is>
      </x:c>
      <x:c r="D251" s="6" t="inlineStr">
        <x:is>
          <x:t xml:space="preserve">Calgary SE Ring Road Extension</x:t>
        </x:is>
      </x:c>
      <x:c r="E251" s="6" t="inlineStr">
        <x:is>
          <x:t xml:space="preserve">Rocky View County</x:t>
        </x:is>
      </x:c>
      <x:c r="F251" s="6" t="inlineStr">
        <x:is>
          <x:t xml:space="preserve">Liam Kowalski</x:t>
        </x:is>
      </x:c>
      <x:c r="G251" s="6" t="inlineStr">
        <x:is>
          <x:t xml:space="preserve">Concrete &amp; Structural</x:t>
        </x:is>
      </x:c>
      <x:c r="H251" s="6" t="inlineStr">
        <x:is>
          <x:t xml:space="preserve">Structural Formwork</x:t>
        </x:is>
      </x:c>
      <x:c r="I251" s="6" t="inlineStr">
        <x:is>
          <x:t xml:space="preserve">Alberta Precast</x:t>
        </x:is>
      </x:c>
      <x:c r="J251" s="6" t="inlineStr">
        <x:is>
          <x:t xml:space="preserve">Emergency Procurement</x:t>
        </x:is>
      </x:c>
      <x:c r="K251" s="7" t="n">
        <x:v>104</x:v>
      </x:c>
      <x:c r="L251" s="6" t="inlineStr">
        <x:is>
          <x:t xml:space="preserve">m³</x:t>
        </x:is>
      </x:c>
      <x:c r="M251" s="8" t="n">
        <x:v>223.21</x:v>
      </x:c>
      <x:c r="N251" s="8" t="n">
        <x:v>220.44</x:v>
      </x:c>
      <x:c r="O251" s="8" t="n">
        <x:v>23213.84</x:v>
      </x:c>
      <x:c r="P251" s="8" t="n">
        <x:v>22925.76</x:v>
      </x:c>
      <x:c r="Q251" s="8" t="n">
        <x:v>288.08</x:v>
      </x:c>
      <x:c r="R251" s="9" t="n">
        <x:v>1.3</x:v>
      </x:c>
      <x:c r="S251" s="7" t="n">
        <x:v>5</x:v>
      </x:c>
      <x:c r="T251" s="6" t="inlineStr">
        <x:is>
          <x:t xml:space="preserve">Yes</x:t>
        </x:is>
      </x:c>
      <x:c r="U251" s="6" t="inlineStr">
        <x:is>
          <x:t xml:space="preserve">Pending</x:t>
        </x:is>
      </x:c>
    </x:row>
    <x:row r="252">
      <x:c r="A252" s="2" t="inlineStr">
        <x:is>
          <x:t xml:space="preserve">PO-2025-0251</x:t>
        </x:is>
      </x:c>
      <x:c r="B252" s="2" t="inlineStr">
        <x:is>
          <x:t xml:space="preserve">20/07/2025</x:t>
        </x:is>
      </x:c>
      <x:c r="C252" s="2" t="inlineStr">
        <x:is>
          <x:t xml:space="preserve">July</x:t>
        </x:is>
      </x:c>
      <x:c r="D252" s="2" t="inlineStr">
        <x:is>
          <x:t xml:space="preserve">Quarry Park Mixed-Use Development</x:t>
        </x:is>
      </x:c>
      <x:c r="E252" s="2" t="inlineStr">
        <x:is>
          <x:t xml:space="preserve">Calgary SE</x:t>
        </x:is>
      </x:c>
      <x:c r="F252" s="2" t="inlineStr">
        <x:is>
          <x:t xml:space="preserve">Derek McLean</x:t>
        </x:is>
      </x:c>
      <x:c r="G252" s="2" t="inlineStr">
        <x:is>
          <x:t xml:space="preserve">Safety &amp; Temp Works</x:t>
        </x:is>
      </x:c>
      <x:c r="H252" s="2" t="inlineStr">
        <x:is>
          <x:t xml:space="preserve">Scaffolding System</x:t>
        </x:is>
      </x:c>
      <x:c r="I252" s="2" t="inlineStr">
        <x:is>
          <x:t xml:space="preserve">Safway Alberta</x:t>
        </x:is>
      </x:c>
      <x:c r="J252" s="2" t="inlineStr">
        <x:is>
          <x:t xml:space="preserve">Tender – Open</x:t>
        </x:is>
      </x:c>
      <x:c r="K252" s="3" t="n">
        <x:v>14</x:v>
      </x:c>
      <x:c r="L252" s="2" t="inlineStr">
        <x:is>
          <x:t xml:space="preserve">lot</x:t>
        </x:is>
      </x:c>
      <x:c r="M252" s="4" t="n">
        <x:v>18559.22</x:v>
      </x:c>
      <x:c r="N252" s="4" t="n">
        <x:v>22366.18</x:v>
      </x:c>
      <x:c r="O252" s="4" t="n">
        <x:v>259829.08</x:v>
      </x:c>
      <x:c r="P252" s="4" t="n">
        <x:v>313126.52</x:v>
      </x:c>
      <x:c r="Q252" s="4" t="n">
        <x:v>-53297.44</x:v>
      </x:c>
      <x:c r="R252" s="5" t="n">
        <x:v>-17</x:v>
      </x:c>
      <x:c r="S252" s="3" t="n">
        <x:v>9</x:v>
      </x:c>
      <x:c r="T252" s="2" t="inlineStr">
        <x:is>
          <x:t xml:space="preserve">No</x:t>
        </x:is>
      </x:c>
      <x:c r="U252" s="2" t="inlineStr">
        <x:is>
          <x:t xml:space="preserve">Delivered</x:t>
        </x:is>
      </x:c>
    </x:row>
    <x:row r="253">
      <x:c r="A253" s="6" t="inlineStr">
        <x:is>
          <x:t xml:space="preserve">PO-2025-0252</x:t>
        </x:is>
      </x:c>
      <x:c r="B253" s="6" t="inlineStr">
        <x:is>
          <x:t xml:space="preserve">30/05/2025</x:t>
        </x:is>
      </x:c>
      <x:c r="C253" s="6" t="inlineStr">
        <x:is>
          <x:t xml:space="preserve">May</x:t>
        </x:is>
      </x:c>
      <x:c r="D253" s="6" t="inlineStr">
        <x:is>
          <x:t xml:space="preserve">Foothills Medical Centre Expansion</x:t>
        </x:is>
      </x:c>
      <x:c r="E253" s="6" t="inlineStr">
        <x:is>
          <x:t xml:space="preserve">Calgary NE</x:t>
        </x:is>
      </x:c>
      <x:c r="F253" s="6" t="inlineStr">
        <x:is>
          <x:t xml:space="preserve">Linda Tran</x:t>
        </x:is>
      </x:c>
      <x:c r="G253" s="6" t="inlineStr">
        <x:is>
          <x:t xml:space="preserve">Safety &amp; Temp Works</x:t>
        </x:is>
      </x:c>
      <x:c r="H253" s="6" t="inlineStr">
        <x:is>
          <x:t xml:space="preserve">Scaffolding System</x:t>
        </x:is>
      </x:c>
      <x:c r="I253" s="6" t="inlineStr">
        <x:is>
          <x:t xml:space="preserve">Sunbelt Rentals Canada</x:t>
        </x:is>
      </x:c>
      <x:c r="J253" s="6" t="inlineStr">
        <x:is>
          <x:t xml:space="preserve">Tender – Open</x:t>
        </x:is>
      </x:c>
      <x:c r="K253" s="7" t="n">
        <x:v>16</x:v>
      </x:c>
      <x:c r="L253" s="6" t="inlineStr">
        <x:is>
          <x:t xml:space="preserve">lot</x:t>
        </x:is>
      </x:c>
      <x:c r="M253" s="8" t="n">
        <x:v>3052.24</x:v>
      </x:c>
      <x:c r="N253" s="8" t="n">
        <x:v>3483.78</x:v>
      </x:c>
      <x:c r="O253" s="8" t="n">
        <x:v>48835.84</x:v>
      </x:c>
      <x:c r="P253" s="8" t="n">
        <x:v>55740.48</x:v>
      </x:c>
      <x:c r="Q253" s="8" t="n">
        <x:v>-6904.64</x:v>
      </x:c>
      <x:c r="R253" s="9" t="n">
        <x:v>-12.4</x:v>
      </x:c>
      <x:c r="S253" s="7" t="n">
        <x:v>50</x:v>
      </x:c>
      <x:c r="T253" s="6" t="inlineStr">
        <x:is>
          <x:t xml:space="preserve">Yes</x:t>
        </x:is>
      </x:c>
      <x:c r="U253" s="6" t="inlineStr">
        <x:is>
          <x:t xml:space="preserve">Cancelled</x:t>
        </x:is>
      </x:c>
    </x:row>
    <x:row r="254">
      <x:c r="A254" s="2" t="inlineStr">
        <x:is>
          <x:t xml:space="preserve">PO-2025-0253</x:t>
        </x:is>
      </x:c>
      <x:c r="B254" s="2" t="inlineStr">
        <x:is>
          <x:t xml:space="preserve">23/10/2025</x:t>
        </x:is>
      </x:c>
      <x:c r="C254" s="2" t="inlineStr">
        <x:is>
          <x:t xml:space="preserve">October</x:t>
        </x:is>
      </x:c>
      <x:c r="D254" s="2" t="inlineStr">
        <x:is>
          <x:t xml:space="preserve">Springbank Off-Stream Reservoir</x:t>
        </x:is>
      </x:c>
      <x:c r="E254" s="2" t="inlineStr">
        <x:is>
          <x:t xml:space="preserve">Calgary SE</x:t>
        </x:is>
      </x:c>
      <x:c r="F254" s="2" t="inlineStr">
        <x:is>
          <x:t xml:space="preserve">James Okafor</x:t>
        </x:is>
      </x:c>
      <x:c r="G254" s="2" t="inlineStr">
        <x:is>
          <x:t xml:space="preserve">MEP - Mechanical</x:t>
        </x:is>
      </x:c>
      <x:c r="H254" s="2" t="inlineStr">
        <x:is>
          <x:t xml:space="preserve">Heat Pump Assembly</x:t>
        </x:is>
      </x:c>
      <x:c r="I254" s="2" t="inlineStr">
        <x:is>
          <x:t xml:space="preserve">PCL Mechanical</x:t>
        </x:is>
      </x:c>
      <x:c r="J254" s="2" t="inlineStr">
        <x:is>
          <x:t xml:space="preserve">Tender – Open</x:t>
        </x:is>
      </x:c>
      <x:c r="K254" s="3" t="n">
        <x:v>73</x:v>
      </x:c>
      <x:c r="L254" s="2" t="inlineStr">
        <x:is>
          <x:t xml:space="preserve">lot</x:t>
        </x:is>
      </x:c>
      <x:c r="M254" s="4" t="n">
        <x:v>42841.95</x:v>
      </x:c>
      <x:c r="N254" s="4" t="n">
        <x:v>38307.28</x:v>
      </x:c>
      <x:c r="O254" s="4" t="n">
        <x:v>3127462.35</x:v>
      </x:c>
      <x:c r="P254" s="4" t="n">
        <x:v>2796431.44</x:v>
      </x:c>
      <x:c r="Q254" s="4" t="n">
        <x:v>331030.91</x:v>
      </x:c>
      <x:c r="R254" s="5" t="n">
        <x:v>11.8</x:v>
      </x:c>
      <x:c r="S254" s="3" t="n">
        <x:v>11</x:v>
      </x:c>
      <x:c r="T254" s="2" t="inlineStr">
        <x:is>
          <x:t xml:space="preserve">Yes</x:t>
        </x:is>
      </x:c>
      <x:c r="U254" s="2" t="inlineStr">
        <x:is>
          <x:t xml:space="preserve">Pending</x:t>
        </x:is>
      </x:c>
    </x:row>
    <x:row r="255">
      <x:c r="A255" s="6" t="inlineStr">
        <x:is>
          <x:t xml:space="preserve">PO-2025-0254</x:t>
        </x:is>
      </x:c>
      <x:c r="B255" s="6" t="inlineStr">
        <x:is>
          <x:t xml:space="preserve">24/05/2025</x:t>
        </x:is>
      </x:c>
      <x:c r="C255" s="6" t="inlineStr">
        <x:is>
          <x:t xml:space="preserve">May</x:t>
        </x:is>
      </x:c>
      <x:c r="D255" s="6" t="inlineStr">
        <x:is>
          <x:t xml:space="preserve">Foothills Medical Centre Expansion</x:t>
        </x:is>
      </x:c>
      <x:c r="E255" s="6" t="inlineStr">
        <x:is>
          <x:t xml:space="preserve">Calgary SE</x:t>
        </x:is>
      </x:c>
      <x:c r="F255" s="6" t="inlineStr">
        <x:is>
          <x:t xml:space="preserve">Mohammed Siddiqui</x:t>
        </x:is>
      </x:c>
      <x:c r="G255" s="6" t="inlineStr">
        <x:is>
          <x:t xml:space="preserve">Finishing</x:t>
        </x:is>
      </x:c>
      <x:c r="H255" s="6" t="inlineStr">
        <x:is>
          <x:t xml:space="preserve">Exterior Cladding Panel</x:t>
        </x:is>
      </x:c>
      <x:c r="I255" s="6" t="inlineStr">
        <x:is>
          <x:t xml:space="preserve">Armstrong World Industries</x:t>
        </x:is>
      </x:c>
      <x:c r="J255" s="6" t="inlineStr">
        <x:is>
          <x:t xml:space="preserve">Standing Offer Agreement</x:t>
        </x:is>
      </x:c>
      <x:c r="K255" s="7" t="n">
        <x:v>111</x:v>
      </x:c>
      <x:c r="L255" s="6" t="inlineStr">
        <x:is>
          <x:t xml:space="preserve">m²</x:t>
        </x:is>
      </x:c>
      <x:c r="M255" s="8" t="n">
        <x:v>327.16</x:v>
      </x:c>
      <x:c r="N255" s="8" t="n">
        <x:v>404.04</x:v>
      </x:c>
      <x:c r="O255" s="8" t="n">
        <x:v>36314.76</x:v>
      </x:c>
      <x:c r="P255" s="8" t="n">
        <x:v>44848.44</x:v>
      </x:c>
      <x:c r="Q255" s="8" t="n">
        <x:v>-8533.68</x:v>
      </x:c>
      <x:c r="R255" s="9" t="n">
        <x:v>-19</x:v>
      </x:c>
      <x:c r="S255" s="7" t="n">
        <x:v>37</x:v>
      </x:c>
      <x:c r="T255" s="6" t="inlineStr">
        <x:is>
          <x:t xml:space="preserve">No</x:t>
        </x:is>
      </x:c>
      <x:c r="U255" s="6" t="inlineStr">
        <x:is>
          <x:t xml:space="preserve">Pending</x:t>
        </x:is>
      </x:c>
    </x:row>
    <x:row r="256">
      <x:c r="A256" s="2" t="inlineStr">
        <x:is>
          <x:t xml:space="preserve">PO-2025-0255</x:t>
        </x:is>
      </x:c>
      <x:c r="B256" s="2" t="inlineStr">
        <x:is>
          <x:t xml:space="preserve">07/11/2025</x:t>
        </x:is>
      </x:c>
      <x:c r="C256" s="2" t="inlineStr">
        <x:is>
          <x:t xml:space="preserve">November</x:t>
        </x:is>
      </x:c>
      <x:c r="D256" s="2" t="inlineStr">
        <x:is>
          <x:t xml:space="preserve">Foothills Medical Centre Expansion</x:t>
        </x:is>
      </x:c>
      <x:c r="E256" s="2" t="inlineStr">
        <x:is>
          <x:t xml:space="preserve">Calgary SE</x:t>
        </x:is>
      </x:c>
      <x:c r="F256" s="2" t="inlineStr">
        <x:is>
          <x:t xml:space="preserve">Liam Kowalski</x:t>
        </x:is>
      </x:c>
      <x:c r="G256" s="2" t="inlineStr">
        <x:is>
          <x:t xml:space="preserve">MEP - Mechanical</x:t>
        </x:is>
      </x:c>
      <x:c r="H256" s="2" t="inlineStr">
        <x:is>
          <x:t xml:space="preserve">Heat Pump Assembly</x:t>
        </x:is>
      </x:c>
      <x:c r="I256" s="2" t="inlineStr">
        <x:is>
          <x:t xml:space="preserve">PCL Mechanical</x:t>
        </x:is>
      </x:c>
      <x:c r="J256" s="2" t="inlineStr">
        <x:is>
          <x:t xml:space="preserve">LPO – Direct Award</x:t>
        </x:is>
      </x:c>
      <x:c r="K256" s="3" t="n">
        <x:v>1</x:v>
      </x:c>
      <x:c r="L256" s="2" t="inlineStr">
        <x:is>
          <x:t xml:space="preserve">lot</x:t>
        </x:is>
      </x:c>
      <x:c r="M256" s="4" t="n">
        <x:v>5594.02</x:v>
      </x:c>
      <x:c r="N256" s="4" t="n">
        <x:v>6144.2</x:v>
      </x:c>
      <x:c r="O256" s="4" t="n">
        <x:v>5594.02</x:v>
      </x:c>
      <x:c r="P256" s="4" t="n">
        <x:v>6144.2</x:v>
      </x:c>
      <x:c r="Q256" s="4" t="n">
        <x:v>-550.1799999999999</x:v>
      </x:c>
      <x:c r="R256" s="5" t="n">
        <x:v>-9</x:v>
      </x:c>
      <x:c r="S256" s="3" t="n">
        <x:v>39</x:v>
      </x:c>
      <x:c r="T256" s="2" t="inlineStr">
        <x:is>
          <x:t xml:space="preserve">Yes</x:t>
        </x:is>
      </x:c>
      <x:c r="U256" s="2" t="inlineStr">
        <x:is>
          <x:t xml:space="preserve">Pending</x:t>
        </x:is>
      </x:c>
    </x:row>
    <x:row r="257">
      <x:c r="A257" s="6" t="inlineStr">
        <x:is>
          <x:t xml:space="preserve">PO-2025-0256</x:t>
        </x:is>
      </x:c>
      <x:c r="B257" s="6" t="inlineStr">
        <x:is>
          <x:t xml:space="preserve">23/11/2025</x:t>
        </x:is>
      </x:c>
      <x:c r="C257" s="6" t="inlineStr">
        <x:is>
          <x:t xml:space="preserve">November</x:t>
        </x:is>
      </x:c>
      <x:c r="D257" s="6" t="inlineStr">
        <x:is>
          <x:t xml:space="preserve">Bow River Crossing Overpass</x:t>
        </x:is>
      </x:c>
      <x:c r="E257" s="6" t="inlineStr">
        <x:is>
          <x:t xml:space="preserve">Calgary NE</x:t>
        </x:is>
      </x:c>
      <x:c r="F257" s="6" t="inlineStr">
        <x:is>
          <x:t xml:space="preserve">James Okafor</x:t>
        </x:is>
      </x:c>
      <x:c r="G257" s="6" t="inlineStr">
        <x:is>
          <x:t xml:space="preserve">Civil Works</x:t>
        </x:is>
      </x:c>
      <x:c r="H257" s="6" t="inlineStr">
        <x:is>
          <x:t xml:space="preserve">Granular Backfill</x:t>
        </x:is>
      </x:c>
      <x:c r="I257" s="6" t="inlineStr">
        <x:is>
          <x:t xml:space="preserve">EllisDon Civil</x:t>
        </x:is>
      </x:c>
      <x:c r="J257" s="6" t="inlineStr">
        <x:is>
          <x:t xml:space="preserve">Standing Offer Agreement</x:t>
        </x:is>
      </x:c>
      <x:c r="K257" s="7" t="n">
        <x:v>120</x:v>
      </x:c>
      <x:c r="L257" s="6" t="inlineStr">
        <x:is>
          <x:t xml:space="preserve">m³</x:t>
        </x:is>
      </x:c>
      <x:c r="M257" s="8" t="n">
        <x:v>273.45</x:v>
      </x:c>
      <x:c r="N257" s="8" t="n">
        <x:v>305.02</x:v>
      </x:c>
      <x:c r="O257" s="8" t="n">
        <x:v>32814</x:v>
      </x:c>
      <x:c r="P257" s="8" t="n">
        <x:v>36602.4</x:v>
      </x:c>
      <x:c r="Q257" s="8" t="n">
        <x:v>-3788.4</x:v>
      </x:c>
      <x:c r="R257" s="9" t="n">
        <x:v>-10.4</x:v>
      </x:c>
      <x:c r="S257" s="7" t="n">
        <x:v>38</x:v>
      </x:c>
      <x:c r="T257" s="6" t="inlineStr">
        <x:is>
          <x:t xml:space="preserve">Yes</x:t>
        </x:is>
      </x:c>
      <x:c r="U257" s="6" t="inlineStr">
        <x:is>
          <x:t xml:space="preserve">Partially Delivered</x:t>
        </x:is>
      </x:c>
    </x:row>
    <x:row r="258">
      <x:c r="A258" s="2" t="inlineStr">
        <x:is>
          <x:t xml:space="preserve">PO-2025-0257</x:t>
        </x:is>
      </x:c>
      <x:c r="B258" s="2" t="inlineStr">
        <x:is>
          <x:t xml:space="preserve">04/05/2025</x:t>
        </x:is>
      </x:c>
      <x:c r="C258" s="2" t="inlineStr">
        <x:is>
          <x:t xml:space="preserve">May</x:t>
        </x:is>
      </x:c>
      <x:c r="D258" s="2" t="inlineStr">
        <x:is>
          <x:t xml:space="preserve">Rocky View Industrial Logistics Hub</x:t>
        </x:is>
      </x:c>
      <x:c r="E258" s="2" t="inlineStr">
        <x:is>
          <x:t xml:space="preserve">Rocky View County</x:t>
        </x:is>
      </x:c>
      <x:c r="F258" s="2" t="inlineStr">
        <x:is>
          <x:t xml:space="preserve">Sarah Bouchard</x:t>
        </x:is>
      </x:c>
      <x:c r="G258" s="2" t="inlineStr">
        <x:is>
          <x:t xml:space="preserve">Finishing</x:t>
        </x:is>
      </x:c>
      <x:c r="H258" s="2" t="inlineStr">
        <x:is>
          <x:t xml:space="preserve">Waterproofing Membrane</x:t>
        </x:is>
      </x:c>
      <x:c r="I258" s="2" t="inlineStr">
        <x:is>
          <x:t xml:space="preserve">Armstrong World Industries</x:t>
        </x:is>
      </x:c>
      <x:c r="J258" s="2" t="inlineStr">
        <x:is>
          <x:t xml:space="preserve">3-Quote Comparison</x:t>
        </x:is>
      </x:c>
      <x:c r="K258" s="3" t="n">
        <x:v>21</x:v>
      </x:c>
      <x:c r="L258" s="2" t="inlineStr">
        <x:is>
          <x:t xml:space="preserve">m²</x:t>
        </x:is>
      </x:c>
      <x:c r="M258" s="4" t="n">
        <x:v>306.63</x:v>
      </x:c>
      <x:c r="N258" s="4" t="n">
        <x:v>343.56</x:v>
      </x:c>
      <x:c r="O258" s="4" t="n">
        <x:v>6439.23</x:v>
      </x:c>
      <x:c r="P258" s="4" t="n">
        <x:v>7214.76</x:v>
      </x:c>
      <x:c r="Q258" s="4" t="n">
        <x:v>-775.53</x:v>
      </x:c>
      <x:c r="R258" s="5" t="n">
        <x:v>-10.7</x:v>
      </x:c>
      <x:c r="S258" s="3" t="n">
        <x:v>57</x:v>
      </x:c>
      <x:c r="T258" s="2" t="inlineStr">
        <x:is>
          <x:t xml:space="preserve">Yes</x:t>
        </x:is>
      </x:c>
      <x:c r="U258" s="2" t="inlineStr">
        <x:is>
          <x:t xml:space="preserve">Delivered</x:t>
        </x:is>
      </x:c>
    </x:row>
    <x:row r="259">
      <x:c r="A259" s="6" t="inlineStr">
        <x:is>
          <x:t xml:space="preserve">PO-2025-0258</x:t>
        </x:is>
      </x:c>
      <x:c r="B259" s="6" t="inlineStr">
        <x:is>
          <x:t xml:space="preserve">07/10/2025</x:t>
        </x:is>
      </x:c>
      <x:c r="C259" s="6" t="inlineStr">
        <x:is>
          <x:t xml:space="preserve">October</x:t>
        </x:is>
      </x:c>
      <x:c r="D259" s="6" t="inlineStr">
        <x:is>
          <x:t xml:space="preserve">Foothills Medical Centre Expansion</x:t>
        </x:is>
      </x:c>
      <x:c r="E259" s="6" t="inlineStr">
        <x:is>
          <x:t xml:space="preserve">Calgary SE</x:t>
        </x:is>
      </x:c>
      <x:c r="F259" s="6" t="inlineStr">
        <x:is>
          <x:t xml:space="preserve">Priya Sharma</x:t>
        </x:is>
      </x:c>
      <x:c r="G259" s="6" t="inlineStr">
        <x:is>
          <x:t xml:space="preserve">Safety &amp; Temp Works</x:t>
        </x:is>
      </x:c>
      <x:c r="H259" s="6" t="inlineStr">
        <x:is>
          <x:t xml:space="preserve">Site Hoarding &amp; Fencing</x:t>
        </x:is>
      </x:c>
      <x:c r="I259" s="6" t="inlineStr">
        <x:is>
          <x:t xml:space="preserve">Levitt-Safety Calgary</x:t>
        </x:is>
      </x:c>
      <x:c r="J259" s="6" t="inlineStr">
        <x:is>
          <x:t xml:space="preserve">LPO – Direct Award</x:t>
        </x:is>
      </x:c>
      <x:c r="K259" s="7" t="n">
        <x:v>87</x:v>
      </x:c>
      <x:c r="L259" s="6" t="inlineStr">
        <x:is>
          <x:t xml:space="preserve">lot</x:t>
        </x:is>
      </x:c>
      <x:c r="M259" s="8" t="n">
        <x:v>3556.43</x:v>
      </x:c>
      <x:c r="N259" s="8" t="n">
        <x:v>4172.76</x:v>
      </x:c>
      <x:c r="O259" s="8" t="n">
        <x:v>309409.41</x:v>
      </x:c>
      <x:c r="P259" s="8" t="n">
        <x:v>363030.12</x:v>
      </x:c>
      <x:c r="Q259" s="8" t="n">
        <x:v>-53620.71</x:v>
      </x:c>
      <x:c r="R259" s="9" t="n">
        <x:v>-14.8</x:v>
      </x:c>
      <x:c r="S259" s="7" t="n">
        <x:v>36</x:v>
      </x:c>
      <x:c r="T259" s="6" t="inlineStr">
        <x:is>
          <x:t xml:space="preserve">Yes</x:t>
        </x:is>
      </x:c>
      <x:c r="U259" s="6" t="inlineStr">
        <x:is>
          <x:t xml:space="preserve">Delivered</x:t>
        </x:is>
      </x:c>
    </x:row>
    <x:row r="260">
      <x:c r="A260" s="2" t="inlineStr">
        <x:is>
          <x:t xml:space="preserve">PO-2025-0259</x:t>
        </x:is>
      </x:c>
      <x:c r="B260" s="2" t="inlineStr">
        <x:is>
          <x:t xml:space="preserve">27/02/2025</x:t>
        </x:is>
      </x:c>
      <x:c r="C260" s="2" t="inlineStr">
        <x:is>
          <x:t xml:space="preserve">February</x:t>
        </x:is>
      </x:c>
      <x:c r="D260" s="2" t="inlineStr">
        <x:is>
          <x:t xml:space="preserve">Bow River Crossing Overpass</x:t>
        </x:is>
      </x:c>
      <x:c r="E260" s="2" t="inlineStr">
        <x:is>
          <x:t xml:space="preserve">Calgary NE</x:t>
        </x:is>
      </x:c>
      <x:c r="F260" s="2" t="inlineStr">
        <x:is>
          <x:t xml:space="preserve">Liam Kowalski</x:t>
        </x:is>
      </x:c>
      <x:c r="G260" s="2" t="inlineStr">
        <x:is>
          <x:t xml:space="preserve">Civil Works</x:t>
        </x:is>
      </x:c>
      <x:c r="H260" s="2" t="inlineStr">
        <x:is>
          <x:t xml:space="preserve">Granular Backfill</x:t>
        </x:is>
      </x:c>
      <x:c r="I260" s="2" t="inlineStr">
        <x:is>
          <x:t xml:space="preserve">Ledcor Civil Alberta</x:t>
        </x:is>
      </x:c>
      <x:c r="J260" s="2" t="inlineStr">
        <x:is>
          <x:t xml:space="preserve">Emergency Procurement</x:t>
        </x:is>
      </x:c>
      <x:c r="K260" s="3" t="n">
        <x:v>9</x:v>
      </x:c>
      <x:c r="L260" s="2" t="inlineStr">
        <x:is>
          <x:t xml:space="preserve">m³</x:t>
        </x:is>
      </x:c>
      <x:c r="M260" s="4" t="n">
        <x:v>96.20999999999999</x:v>
      </x:c>
      <x:c r="N260" s="4" t="n">
        <x:v>88.59999999999999</x:v>
      </x:c>
      <x:c r="O260" s="4" t="n">
        <x:v>865.89</x:v>
      </x:c>
      <x:c r="P260" s="4" t="n">
        <x:v>797.4</x:v>
      </x:c>
      <x:c r="Q260" s="4" t="n">
        <x:v>68.48999999999999</x:v>
      </x:c>
      <x:c r="R260" s="5" t="n">
        <x:v>8.6</x:v>
      </x:c>
      <x:c r="S260" s="3" t="n">
        <x:v>48</x:v>
      </x:c>
      <x:c r="T260" s="2" t="inlineStr">
        <x:is>
          <x:t xml:space="preserve">No</x:t>
        </x:is>
      </x:c>
      <x:c r="U260" s="2" t="inlineStr">
        <x:is>
          <x:t xml:space="preserve">Pending</x:t>
        </x:is>
      </x:c>
    </x:row>
    <x:row r="261">
      <x:c r="A261" s="6" t="inlineStr">
        <x:is>
          <x:t xml:space="preserve">PO-2025-0260</x:t>
        </x:is>
      </x:c>
      <x:c r="B261" s="6" t="inlineStr">
        <x:is>
          <x:t xml:space="preserve">26/06/2025</x:t>
        </x:is>
      </x:c>
      <x:c r="C261" s="6" t="inlineStr">
        <x:is>
          <x:t xml:space="preserve">June</x:t>
        </x:is>
      </x:c>
      <x:c r="D261" s="6" t="inlineStr">
        <x:is>
          <x:t xml:space="preserve">Calgary SE Ring Road Extension</x:t>
        </x:is>
      </x:c>
      <x:c r="E261" s="6" t="inlineStr">
        <x:is>
          <x:t xml:space="preserve">Calgary SE</x:t>
        </x:is>
      </x:c>
      <x:c r="F261" s="6" t="inlineStr">
        <x:is>
          <x:t xml:space="preserve">Sarah Bouchard</x:t>
        </x:is>
      </x:c>
      <x:c r="G261" s="6" t="inlineStr">
        <x:is>
          <x:t xml:space="preserve">Safety &amp; Temp Works</x:t>
        </x:is>
      </x:c>
      <x:c r="H261" s="6" t="inlineStr">
        <x:is>
          <x:t xml:space="preserve">Fall Protection Netting</x:t>
        </x:is>
      </x:c>
      <x:c r="I261" s="6" t="inlineStr">
        <x:is>
          <x:t xml:space="preserve">Sunbelt Rentals Canada</x:t>
        </x:is>
      </x:c>
      <x:c r="J261" s="6" t="inlineStr">
        <x:is>
          <x:t xml:space="preserve">LPO – Direct Award</x:t>
        </x:is>
      </x:c>
      <x:c r="K261" s="7" t="n">
        <x:v>42</x:v>
      </x:c>
      <x:c r="L261" s="6" t="inlineStr">
        <x:is>
          <x:t xml:space="preserve">lot</x:t>
        </x:is>
      </x:c>
      <x:c r="M261" s="8" t="n">
        <x:v>13834.55</x:v>
      </x:c>
      <x:c r="N261" s="8" t="n">
        <x:v>13406.48</x:v>
      </x:c>
      <x:c r="O261" s="8" t="n">
        <x:v>581051.1</x:v>
      </x:c>
      <x:c r="P261" s="8" t="n">
        <x:v>563072.16</x:v>
      </x:c>
      <x:c r="Q261" s="8" t="n">
        <x:v>17978.94</x:v>
      </x:c>
      <x:c r="R261" s="9" t="n">
        <x:v>3.2</x:v>
      </x:c>
      <x:c r="S261" s="7" t="n">
        <x:v>40</x:v>
      </x:c>
      <x:c r="T261" s="6" t="inlineStr">
        <x:is>
          <x:t xml:space="preserve">Yes</x:t>
        </x:is>
      </x:c>
      <x:c r="U261" s="6" t="inlineStr">
        <x:is>
          <x:t xml:space="preserve">Partially Delivered</x:t>
        </x:is>
      </x:c>
    </x:row>
    <x:row r="262">
      <x:c r="A262" s="2" t="inlineStr">
        <x:is>
          <x:t xml:space="preserve">PO-2025-0261</x:t>
        </x:is>
      </x:c>
      <x:c r="B262" s="2" t="inlineStr">
        <x:is>
          <x:t xml:space="preserve">19/04/2025</x:t>
        </x:is>
      </x:c>
      <x:c r="C262" s="2" t="inlineStr">
        <x:is>
          <x:t xml:space="preserve">April</x:t>
        </x:is>
      </x:c>
      <x:c r="D262" s="2" t="inlineStr">
        <x:is>
          <x:t xml:space="preserve">Bow River Crossing Overpass</x:t>
        </x:is>
      </x:c>
      <x:c r="E262" s="2" t="inlineStr">
        <x:is>
          <x:t xml:space="preserve">Rocky View County</x:t>
        </x:is>
      </x:c>
      <x:c r="F262" s="2" t="inlineStr">
        <x:is>
          <x:t xml:space="preserve">James Okafor</x:t>
        </x:is>
      </x:c>
      <x:c r="G262" s="2" t="inlineStr">
        <x:is>
          <x:t xml:space="preserve">Civil Works</x:t>
        </x:is>
      </x:c>
      <x:c r="H262" s="2" t="inlineStr">
        <x:is>
          <x:t xml:space="preserve">Road Base Aggregate</x:t>
        </x:is>
      </x:c>
      <x:c r="I262" s="2" t="inlineStr">
        <x:is>
          <x:t xml:space="preserve">EllisDon Civil</x:t>
        </x:is>
      </x:c>
      <x:c r="J262" s="2" t="inlineStr">
        <x:is>
          <x:t xml:space="preserve">Emergency Procurement</x:t>
        </x:is>
      </x:c>
      <x:c r="K262" s="3" t="n">
        <x:v>69</x:v>
      </x:c>
      <x:c r="L262" s="2" t="inlineStr">
        <x:is>
          <x:t xml:space="preserve">m³</x:t>
        </x:is>
      </x:c>
      <x:c r="M262" s="4" t="n">
        <x:v>122.87</x:v>
      </x:c>
      <x:c r="N262" s="4" t="n">
        <x:v>111.81</x:v>
      </x:c>
      <x:c r="O262" s="4" t="n">
        <x:v>8478.030000000001</x:v>
      </x:c>
      <x:c r="P262" s="4" t="n">
        <x:v>7714.89</x:v>
      </x:c>
      <x:c r="Q262" s="4" t="n">
        <x:v>763.14</x:v>
      </x:c>
      <x:c r="R262" s="5" t="n">
        <x:v>9.9</x:v>
      </x:c>
      <x:c r="S262" s="3" t="n">
        <x:v>81</x:v>
      </x:c>
      <x:c r="T262" s="2" t="inlineStr">
        <x:is>
          <x:t xml:space="preserve">Yes</x:t>
        </x:is>
      </x:c>
      <x:c r="U262" s="2" t="inlineStr">
        <x:is>
          <x:t xml:space="preserve">Delivered</x:t>
        </x:is>
      </x:c>
    </x:row>
    <x:row r="263">
      <x:c r="A263" s="6" t="inlineStr">
        <x:is>
          <x:t xml:space="preserve">PO-2025-0262</x:t>
        </x:is>
      </x:c>
      <x:c r="B263" s="6" t="inlineStr">
        <x:is>
          <x:t xml:space="preserve">29/05/2025</x:t>
        </x:is>
      </x:c>
      <x:c r="C263" s="6" t="inlineStr">
        <x:is>
          <x:t xml:space="preserve">May</x:t>
        </x:is>
      </x:c>
      <x:c r="D263" s="6" t="inlineStr">
        <x:is>
          <x:t xml:space="preserve">Calgary SE Ring Road Extension</x:t>
        </x:is>
      </x:c>
      <x:c r="E263" s="6" t="inlineStr">
        <x:is>
          <x:t xml:space="preserve">Rocky View County</x:t>
        </x:is>
      </x:c>
      <x:c r="F263" s="6" t="inlineStr">
        <x:is>
          <x:t xml:space="preserve">Mohammed Siddiqui</x:t>
        </x:is>
      </x:c>
      <x:c r="G263" s="6" t="inlineStr">
        <x:is>
          <x:t xml:space="preserve">Finishing</x:t>
        </x:is>
      </x:c>
      <x:c r="H263" s="6" t="inlineStr">
        <x:is>
          <x:t xml:space="preserve">Waterproofing Membrane</x:t>
        </x:is>
      </x:c>
      <x:c r="I263" s="6" t="inlineStr">
        <x:is>
          <x:t xml:space="preserve">Dryvit Systems Canada</x:t>
        </x:is>
      </x:c>
      <x:c r="J263" s="6" t="inlineStr">
        <x:is>
          <x:t xml:space="preserve">Standing Offer Agreement</x:t>
        </x:is>
      </x:c>
      <x:c r="K263" s="7" t="n">
        <x:v>88</x:v>
      </x:c>
      <x:c r="L263" s="6" t="inlineStr">
        <x:is>
          <x:t xml:space="preserve">m²</x:t>
        </x:is>
      </x:c>
      <x:c r="M263" s="8" t="n">
        <x:v>444.33</x:v>
      </x:c>
      <x:c r="N263" s="8" t="n">
        <x:v>463.84</x:v>
      </x:c>
      <x:c r="O263" s="8" t="n">
        <x:v>39101.04</x:v>
      </x:c>
      <x:c r="P263" s="8" t="n">
        <x:v>40817.92</x:v>
      </x:c>
      <x:c r="Q263" s="8" t="n">
        <x:v>-1716.88</x:v>
      </x:c>
      <x:c r="R263" s="9" t="n">
        <x:v>-4.2</x:v>
      </x:c>
      <x:c r="S263" s="7" t="n">
        <x:v>54</x:v>
      </x:c>
      <x:c r="T263" s="6" t="inlineStr">
        <x:is>
          <x:t xml:space="preserve">Yes</x:t>
        </x:is>
      </x:c>
      <x:c r="U263" s="6" t="inlineStr">
        <x:is>
          <x:t xml:space="preserve">Delivered</x:t>
        </x:is>
      </x:c>
    </x:row>
    <x:row r="264">
      <x:c r="A264" s="2" t="inlineStr">
        <x:is>
          <x:t xml:space="preserve">PO-2025-0263</x:t>
        </x:is>
      </x:c>
      <x:c r="B264" s="2" t="inlineStr">
        <x:is>
          <x:t xml:space="preserve">11/02/2025</x:t>
        </x:is>
      </x:c>
      <x:c r="C264" s="2" t="inlineStr">
        <x:is>
          <x:t xml:space="preserve">February</x:t>
        </x:is>
      </x:c>
      <x:c r="D264" s="2" t="inlineStr">
        <x:is>
          <x:t xml:space="preserve">Calgary SE Ring Road Extension</x:t>
        </x:is>
      </x:c>
      <x:c r="E264" s="2" t="inlineStr">
        <x:is>
          <x:t xml:space="preserve">Calgary NE</x:t>
        </x:is>
      </x:c>
      <x:c r="F264" s="2" t="inlineStr">
        <x:is>
          <x:t xml:space="preserve">James Okafor</x:t>
        </x:is>
      </x:c>
      <x:c r="G264" s="2" t="inlineStr">
        <x:is>
          <x:t xml:space="preserve">Safety &amp; Temp Works</x:t>
        </x:is>
      </x:c>
      <x:c r="H264" s="2" t="inlineStr">
        <x:is>
          <x:t xml:space="preserve">PPE Bulk Supply</x:t>
        </x:is>
      </x:c>
      <x:c r="I264" s="2" t="inlineStr">
        <x:is>
          <x:t xml:space="preserve">BrandSafway Canada</x:t>
        </x:is>
      </x:c>
      <x:c r="J264" s="2" t="inlineStr">
        <x:is>
          <x:t xml:space="preserve">Standing Offer Agreement</x:t>
        </x:is>
      </x:c>
      <x:c r="K264" s="3" t="n">
        <x:v>55</x:v>
      </x:c>
      <x:c r="L264" s="2" t="inlineStr">
        <x:is>
          <x:t xml:space="preserve">lot</x:t>
        </x:is>
      </x:c>
      <x:c r="M264" s="4" t="n">
        <x:v>3748.58</x:v>
      </x:c>
      <x:c r="N264" s="4" t="n">
        <x:v>3363.53</x:v>
      </x:c>
      <x:c r="O264" s="4" t="n">
        <x:v>206171.9</x:v>
      </x:c>
      <x:c r="P264" s="4" t="n">
        <x:v>184994.15</x:v>
      </x:c>
      <x:c r="Q264" s="4" t="n">
        <x:v>21177.75</x:v>
      </x:c>
      <x:c r="R264" s="5" t="n">
        <x:v>11.4</x:v>
      </x:c>
      <x:c r="S264" s="3" t="n">
        <x:v>33</x:v>
      </x:c>
      <x:c r="T264" s="2" t="inlineStr">
        <x:is>
          <x:t xml:space="preserve">Yes</x:t>
        </x:is>
      </x:c>
      <x:c r="U264" s="2" t="inlineStr">
        <x:is>
          <x:t xml:space="preserve">Partially Delivered</x:t>
        </x:is>
      </x:c>
    </x:row>
    <x:row r="265">
      <x:c r="A265" s="6" t="inlineStr">
        <x:is>
          <x:t xml:space="preserve">PO-2025-0264</x:t>
        </x:is>
      </x:c>
      <x:c r="B265" s="6" t="inlineStr">
        <x:is>
          <x:t xml:space="preserve">29/11/2025</x:t>
        </x:is>
      </x:c>
      <x:c r="C265" s="6" t="inlineStr">
        <x:is>
          <x:t xml:space="preserve">November</x:t>
        </x:is>
      </x:c>
      <x:c r="D265" s="6" t="inlineStr">
        <x:is>
          <x:t xml:space="preserve">Quarry Park Mixed-Use Development</x:t>
        </x:is>
      </x:c>
      <x:c r="E265" s="6" t="inlineStr">
        <x:is>
          <x:t xml:space="preserve">Calgary SE</x:t>
        </x:is>
      </x:c>
      <x:c r="F265" s="6" t="inlineStr">
        <x:is>
          <x:t xml:space="preserve">Liam Kowalski</x:t>
        </x:is>
      </x:c>
      <x:c r="G265" s="6" t="inlineStr">
        <x:is>
          <x:t xml:space="preserve">MEP - Electrical</x:t>
        </x:is>
      </x:c>
      <x:c r="H265" s="6" t="inlineStr">
        <x:is>
          <x:t xml:space="preserve">Grounding System</x:t>
        </x:is>
      </x:c>
      <x:c r="I265" s="6" t="inlineStr">
        <x:is>
          <x:t xml:space="preserve">Houle Electric</x:t>
        </x:is>
      </x:c>
      <x:c r="J265" s="6" t="inlineStr">
        <x:is>
          <x:t xml:space="preserve">LPO – Direct Award</x:t>
        </x:is>
      </x:c>
      <x:c r="K265" s="7" t="n">
        <x:v>62</x:v>
      </x:c>
      <x:c r="L265" s="6" t="inlineStr">
        <x:is>
          <x:t xml:space="preserve">lot</x:t>
        </x:is>
      </x:c>
      <x:c r="M265" s="8" t="n">
        <x:v>80041.7</x:v>
      </x:c>
      <x:c r="N265" s="8" t="n">
        <x:v>73163.19</x:v>
      </x:c>
      <x:c r="O265" s="8" t="n">
        <x:v>4962585.4</x:v>
      </x:c>
      <x:c r="P265" s="8" t="n">
        <x:v>4536117.78</x:v>
      </x:c>
      <x:c r="Q265" s="8" t="n">
        <x:v>426467.62</x:v>
      </x:c>
      <x:c r="R265" s="9" t="n">
        <x:v>9.4</x:v>
      </x:c>
      <x:c r="S265" s="7" t="n">
        <x:v>24</x:v>
      </x:c>
      <x:c r="T265" s="6" t="inlineStr">
        <x:is>
          <x:t xml:space="preserve">No</x:t>
        </x:is>
      </x:c>
      <x:c r="U265" s="6" t="inlineStr">
        <x:is>
          <x:t xml:space="preserve">Cancelled</x:t>
        </x:is>
      </x:c>
    </x:row>
    <x:row r="266">
      <x:c r="A266" s="2" t="inlineStr">
        <x:is>
          <x:t xml:space="preserve">PO-2025-0265</x:t>
        </x:is>
      </x:c>
      <x:c r="B266" s="2" t="inlineStr">
        <x:is>
          <x:t xml:space="preserve">02/02/2025</x:t>
        </x:is>
      </x:c>
      <x:c r="C266" s="2" t="inlineStr">
        <x:is>
          <x:t xml:space="preserve">February</x:t>
        </x:is>
      </x:c>
      <x:c r="D266" s="2" t="inlineStr">
        <x:is>
          <x:t xml:space="preserve">Springbank Off-Stream Reservoir</x:t>
        </x:is>
      </x:c>
      <x:c r="E266" s="2" t="inlineStr">
        <x:is>
          <x:t xml:space="preserve">Calgary SW</x:t>
        </x:is>
      </x:c>
      <x:c r="F266" s="2" t="inlineStr">
        <x:is>
          <x:t xml:space="preserve">James Okafor</x:t>
        </x:is>
      </x:c>
      <x:c r="G266" s="2" t="inlineStr">
        <x:is>
          <x:t xml:space="preserve">MEP - Mechanical</x:t>
        </x:is>
      </x:c>
      <x:c r="H266" s="2" t="inlineStr">
        <x:is>
          <x:t xml:space="preserve">Air Handling Unit</x:t>
        </x:is>
      </x:c>
      <x:c r="I266" s="2" t="inlineStr">
        <x:is>
          <x:t xml:space="preserve">Stantec MEP</x:t>
        </x:is>
      </x:c>
      <x:c r="J266" s="2" t="inlineStr">
        <x:is>
          <x:t xml:space="preserve">Emergency Procurement</x:t>
        </x:is>
      </x:c>
      <x:c r="K266" s="3" t="n">
        <x:v>37</x:v>
      </x:c>
      <x:c r="L266" s="2" t="inlineStr">
        <x:is>
          <x:t xml:space="preserve">lot</x:t>
        </x:is>
      </x:c>
      <x:c r="M266" s="4" t="n">
        <x:v>96248.3</x:v>
      </x:c>
      <x:c r="N266" s="4" t="n">
        <x:v>116988.93</x:v>
      </x:c>
      <x:c r="O266" s="4" t="n">
        <x:v>3561187.1</x:v>
      </x:c>
      <x:c r="P266" s="4" t="n">
        <x:v>4328590.41</x:v>
      </x:c>
      <x:c r="Q266" s="4" t="n">
        <x:v>-767403.3100000001</x:v>
      </x:c>
      <x:c r="R266" s="5" t="n">
        <x:v>-17.7</x:v>
      </x:c>
      <x:c r="S266" s="3" t="n">
        <x:v>46</x:v>
      </x:c>
      <x:c r="T266" s="2" t="inlineStr">
        <x:is>
          <x:t xml:space="preserve">Yes</x:t>
        </x:is>
      </x:c>
      <x:c r="U266" s="2" t="inlineStr">
        <x:is>
          <x:t xml:space="preserve">Partially Delivered</x:t>
        </x:is>
      </x:c>
    </x:row>
    <x:row r="267">
      <x:c r="A267" s="6" t="inlineStr">
        <x:is>
          <x:t xml:space="preserve">PO-2025-0266</x:t>
        </x:is>
      </x:c>
      <x:c r="B267" s="6" t="inlineStr">
        <x:is>
          <x:t xml:space="preserve">08/02/2025</x:t>
        </x:is>
      </x:c>
      <x:c r="C267" s="6" t="inlineStr">
        <x:is>
          <x:t xml:space="preserve">February</x:t>
        </x:is>
      </x:c>
      <x:c r="D267" s="6" t="inlineStr">
        <x:is>
          <x:t xml:space="preserve">Calgary SE Ring Road Extension</x:t>
        </x:is>
      </x:c>
      <x:c r="E267" s="6" t="inlineStr">
        <x:is>
          <x:t xml:space="preserve">Calgary NE</x:t>
        </x:is>
      </x:c>
      <x:c r="F267" s="6" t="inlineStr">
        <x:is>
          <x:t xml:space="preserve">Derek McLean</x:t>
        </x:is>
      </x:c>
      <x:c r="G267" s="6" t="inlineStr">
        <x:is>
          <x:t xml:space="preserve">Safety &amp; Temp Works</x:t>
        </x:is>
      </x:c>
      <x:c r="H267" s="6" t="inlineStr">
        <x:is>
          <x:t xml:space="preserve">Fall Protection Netting</x:t>
        </x:is>
      </x:c>
      <x:c r="I267" s="6" t="inlineStr">
        <x:is>
          <x:t xml:space="preserve">Sunbelt Rentals Canada</x:t>
        </x:is>
      </x:c>
      <x:c r="J267" s="6" t="inlineStr">
        <x:is>
          <x:t xml:space="preserve">3-Quote Comparison</x:t>
        </x:is>
      </x:c>
      <x:c r="K267" s="7" t="n">
        <x:v>117</x:v>
      </x:c>
      <x:c r="L267" s="6" t="inlineStr">
        <x:is>
          <x:t xml:space="preserve">lot</x:t>
        </x:is>
      </x:c>
      <x:c r="M267" s="8" t="n">
        <x:v>16724.51</x:v>
      </x:c>
      <x:c r="N267" s="8" t="n">
        <x:v>18217.84</x:v>
      </x:c>
      <x:c r="O267" s="8" t="n">
        <x:v>1956767.67</x:v>
      </x:c>
      <x:c r="P267" s="8" t="n">
        <x:v>2131487.28</x:v>
      </x:c>
      <x:c r="Q267" s="8" t="n">
        <x:v>-174719.61</x:v>
      </x:c>
      <x:c r="R267" s="9" t="n">
        <x:v>-8.199999999999999</x:v>
      </x:c>
      <x:c r="S267" s="7" t="n">
        <x:v>64</x:v>
      </x:c>
      <x:c r="T267" s="6" t="inlineStr">
        <x:is>
          <x:t xml:space="preserve">Yes</x:t>
        </x:is>
      </x:c>
      <x:c r="U267" s="6" t="inlineStr">
        <x:is>
          <x:t xml:space="preserve">Delivered</x:t>
        </x:is>
      </x:c>
    </x:row>
    <x:row r="268">
      <x:c r="A268" s="2" t="inlineStr">
        <x:is>
          <x:t xml:space="preserve">PO-2025-0267</x:t>
        </x:is>
      </x:c>
      <x:c r="B268" s="2" t="inlineStr">
        <x:is>
          <x:t xml:space="preserve">02/08/2025</x:t>
        </x:is>
      </x:c>
      <x:c r="C268" s="2" t="inlineStr">
        <x:is>
          <x:t xml:space="preserve">August</x:t>
        </x:is>
      </x:c>
      <x:c r="D268" s="2" t="inlineStr">
        <x:is>
          <x:t xml:space="preserve">Foothills Medical Centre Expansion</x:t>
        </x:is>
      </x:c>
      <x:c r="E268" s="2" t="inlineStr">
        <x:is>
          <x:t xml:space="preserve">Calgary NE</x:t>
        </x:is>
      </x:c>
      <x:c r="F268" s="2" t="inlineStr">
        <x:is>
          <x:t xml:space="preserve">James Okafor</x:t>
        </x:is>
      </x:c>
      <x:c r="G268" s="2" t="inlineStr">
        <x:is>
          <x:t xml:space="preserve">Civil Works</x:t>
        </x:is>
      </x:c>
      <x:c r="H268" s="2" t="inlineStr">
        <x:is>
          <x:t xml:space="preserve">Granular Backfill</x:t>
        </x:is>
      </x:c>
      <x:c r="I268" s="2" t="inlineStr">
        <x:is>
          <x:t xml:space="preserve">EllisDon Civil</x:t>
        </x:is>
      </x:c>
      <x:c r="J268" s="2" t="inlineStr">
        <x:is>
          <x:t xml:space="preserve">Tender – Open</x:t>
        </x:is>
      </x:c>
      <x:c r="K268" s="3" t="n">
        <x:v>54</x:v>
      </x:c>
      <x:c r="L268" s="2" t="inlineStr">
        <x:is>
          <x:t xml:space="preserve">m³</x:t>
        </x:is>
      </x:c>
      <x:c r="M268" s="4" t="n">
        <x:v>70.42</x:v>
      </x:c>
      <x:c r="N268" s="4" t="n">
        <x:v>84.73999999999999</x:v>
      </x:c>
      <x:c r="O268" s="4" t="n">
        <x:v>3802.68</x:v>
      </x:c>
      <x:c r="P268" s="4" t="n">
        <x:v>4575.96</x:v>
      </x:c>
      <x:c r="Q268" s="4" t="n">
        <x:v>-773.28</x:v>
      </x:c>
      <x:c r="R268" s="5" t="n">
        <x:v>-16.9</x:v>
      </x:c>
      <x:c r="S268" s="3" t="n">
        <x:v>9</x:v>
      </x:c>
      <x:c r="T268" s="2" t="inlineStr">
        <x:is>
          <x:t xml:space="preserve">Yes</x:t>
        </x:is>
      </x:c>
      <x:c r="U268" s="2" t="inlineStr">
        <x:is>
          <x:t xml:space="preserve">Delivered</x:t>
        </x:is>
      </x:c>
    </x:row>
    <x:row r="269">
      <x:c r="A269" s="6" t="inlineStr">
        <x:is>
          <x:t xml:space="preserve">PO-2025-0268</x:t>
        </x:is>
      </x:c>
      <x:c r="B269" s="6" t="inlineStr">
        <x:is>
          <x:t xml:space="preserve">13/03/2025</x:t>
        </x:is>
      </x:c>
      <x:c r="C269" s="6" t="inlineStr">
        <x:is>
          <x:t xml:space="preserve">March</x:t>
        </x:is>
      </x:c>
      <x:c r="D269" s="6" t="inlineStr">
        <x:is>
          <x:t xml:space="preserve">Deerfoot Trail Widening - North</x:t>
        </x:is>
      </x:c>
      <x:c r="E269" s="6" t="inlineStr">
        <x:is>
          <x:t xml:space="preserve">Calgary SE</x:t>
        </x:is>
      </x:c>
      <x:c r="F269" s="6" t="inlineStr">
        <x:is>
          <x:t xml:space="preserve">James Okafor</x:t>
        </x:is>
      </x:c>
      <x:c r="G269" s="6" t="inlineStr">
        <x:is>
          <x:t xml:space="preserve">MEP - Mechanical</x:t>
        </x:is>
      </x:c>
      <x:c r="H269" s="6" t="inlineStr">
        <x:is>
          <x:t xml:space="preserve">Boiler System</x:t>
        </x:is>
      </x:c>
      <x:c r="I269" s="6" t="inlineStr">
        <x:is>
          <x:t xml:space="preserve">PCL Mechanical</x:t>
        </x:is>
      </x:c>
      <x:c r="J269" s="6" t="inlineStr">
        <x:is>
          <x:t xml:space="preserve">Emergency Procurement</x:t>
        </x:is>
      </x:c>
      <x:c r="K269" s="7" t="n">
        <x:v>98</x:v>
      </x:c>
      <x:c r="L269" s="6" t="inlineStr">
        <x:is>
          <x:t xml:space="preserve">lot</x:t>
        </x:is>
      </x:c>
      <x:c r="M269" s="8" t="n">
        <x:v>74295.71000000001</x:v>
      </x:c>
      <x:c r="N269" s="8" t="n">
        <x:v>70739.92999999999</x:v>
      </x:c>
      <x:c r="O269" s="8" t="n">
        <x:v>7280979.58</x:v>
      </x:c>
      <x:c r="P269" s="8" t="n">
        <x:v>6932513.14</x:v>
      </x:c>
      <x:c r="Q269" s="8" t="n">
        <x:v>348466.44</x:v>
      </x:c>
      <x:c r="R269" s="9" t="n">
        <x:v>5</x:v>
      </x:c>
      <x:c r="S269" s="7" t="n">
        <x:v>57</x:v>
      </x:c>
      <x:c r="T269" s="6" t="inlineStr">
        <x:is>
          <x:t xml:space="preserve">Yes</x:t>
        </x:is>
      </x:c>
      <x:c r="U269" s="6" t="inlineStr">
        <x:is>
          <x:t xml:space="preserve">Cancelled</x:t>
        </x:is>
      </x:c>
    </x:row>
    <x:row r="270">
      <x:c r="A270" s="2" t="inlineStr">
        <x:is>
          <x:t xml:space="preserve">PO-2025-0269</x:t>
        </x:is>
      </x:c>
      <x:c r="B270" s="2" t="inlineStr">
        <x:is>
          <x:t xml:space="preserve">25/04/2025</x:t>
        </x:is>
      </x:c>
      <x:c r="C270" s="2" t="inlineStr">
        <x:is>
          <x:t xml:space="preserve">April</x:t>
        </x:is>
      </x:c>
      <x:c r="D270" s="2" t="inlineStr">
        <x:is>
          <x:t xml:space="preserve">Stampede Park Infrastructure Upgrade</x:t>
        </x:is>
      </x:c>
      <x:c r="E270" s="2" t="inlineStr">
        <x:is>
          <x:t xml:space="preserve">Calgary NE</x:t>
        </x:is>
      </x:c>
      <x:c r="F270" s="2" t="inlineStr">
        <x:is>
          <x:t xml:space="preserve">Sarah Bouchard</x:t>
        </x:is>
      </x:c>
      <x:c r="G270" s="2" t="inlineStr">
        <x:is>
          <x:t xml:space="preserve">Concrete &amp; Structural</x:t>
        </x:is>
      </x:c>
      <x:c r="H270" s="2" t="inlineStr">
        <x:is>
          <x:t xml:space="preserve">Post-Tension Cables</x:t>
        </x:is>
      </x:c>
      <x:c r="I270" s="2" t="inlineStr">
        <x:is>
          <x:t xml:space="preserve">Lafarge Canada - Calgary</x:t>
        </x:is>
      </x:c>
      <x:c r="J270" s="2" t="inlineStr">
        <x:is>
          <x:t xml:space="preserve">3-Quote Comparison</x:t>
        </x:is>
      </x:c>
      <x:c r="K270" s="3" t="n">
        <x:v>54</x:v>
      </x:c>
      <x:c r="L270" s="2" t="inlineStr">
        <x:is>
          <x:t xml:space="preserve">m³</x:t>
        </x:is>
      </x:c>
      <x:c r="M270" s="4" t="n">
        <x:v>324.42</x:v>
      </x:c>
      <x:c r="N270" s="4" t="n">
        <x:v>340.18</x:v>
      </x:c>
      <x:c r="O270" s="4" t="n">
        <x:v>17518.68</x:v>
      </x:c>
      <x:c r="P270" s="4" t="n">
        <x:v>18369.72</x:v>
      </x:c>
      <x:c r="Q270" s="4" t="n">
        <x:v>-851.04</x:v>
      </x:c>
      <x:c r="R270" s="5" t="n">
        <x:v>-4.6</x:v>
      </x:c>
      <x:c r="S270" s="3" t="n">
        <x:v>66</x:v>
      </x:c>
      <x:c r="T270" s="2" t="inlineStr">
        <x:is>
          <x:t xml:space="preserve">Yes</x:t>
        </x:is>
      </x:c>
      <x:c r="U270" s="2" t="inlineStr">
        <x:is>
          <x:t xml:space="preserve">Delivered</x:t>
        </x:is>
      </x:c>
    </x:row>
    <x:row r="271">
      <x:c r="A271" s="6" t="inlineStr">
        <x:is>
          <x:t xml:space="preserve">PO-2025-0270</x:t>
        </x:is>
      </x:c>
      <x:c r="B271" s="6" t="inlineStr">
        <x:is>
          <x:t xml:space="preserve">09/02/2025</x:t>
        </x:is>
      </x:c>
      <x:c r="C271" s="6" t="inlineStr">
        <x:is>
          <x:t xml:space="preserve">February</x:t>
        </x:is>
      </x:c>
      <x:c r="D271" s="6" t="inlineStr">
        <x:is>
          <x:t xml:space="preserve">Saddledome Arena Retrofit</x:t>
        </x:is>
      </x:c>
      <x:c r="E271" s="6" t="inlineStr">
        <x:is>
          <x:t xml:space="preserve">Calgary SW</x:t>
        </x:is>
      </x:c>
      <x:c r="F271" s="6" t="inlineStr">
        <x:is>
          <x:t xml:space="preserve">James Okafor</x:t>
        </x:is>
      </x:c>
      <x:c r="G271" s="6" t="inlineStr">
        <x:is>
          <x:t xml:space="preserve">Finishing</x:t>
        </x:is>
      </x:c>
      <x:c r="H271" s="6" t="inlineStr">
        <x:is>
          <x:t xml:space="preserve">Waterproofing Membrane</x:t>
        </x:is>
      </x:c>
      <x:c r="I271" s="6" t="inlineStr">
        <x:is>
          <x:t xml:space="preserve">Armstrong World Industries</x:t>
        </x:is>
      </x:c>
      <x:c r="J271" s="6" t="inlineStr">
        <x:is>
          <x:t xml:space="preserve">LPO – Direct Award</x:t>
        </x:is>
      </x:c>
      <x:c r="K271" s="7" t="n">
        <x:v>77</x:v>
      </x:c>
      <x:c r="L271" s="6" t="inlineStr">
        <x:is>
          <x:t xml:space="preserve">m²</x:t>
        </x:is>
      </x:c>
      <x:c r="M271" s="8" t="n">
        <x:v>341.07</x:v>
      </x:c>
      <x:c r="N271" s="8" t="n">
        <x:v>360.57</x:v>
      </x:c>
      <x:c r="O271" s="8" t="n">
        <x:v>26262.39</x:v>
      </x:c>
      <x:c r="P271" s="8" t="n">
        <x:v>27763.89</x:v>
      </x:c>
      <x:c r="Q271" s="8" t="n">
        <x:v>-1501.5</x:v>
      </x:c>
      <x:c r="R271" s="9" t="n">
        <x:v>-5.4</x:v>
      </x:c>
      <x:c r="S271" s="7" t="n">
        <x:v>81</x:v>
      </x:c>
      <x:c r="T271" s="6" t="inlineStr">
        <x:is>
          <x:t xml:space="preserve">Yes</x:t>
        </x:is>
      </x:c>
      <x:c r="U271" s="6" t="inlineStr">
        <x:is>
          <x:t xml:space="preserve">Partially Delivered</x:t>
        </x:is>
      </x:c>
    </x:row>
    <x:row r="272">
      <x:c r="A272" s="2" t="inlineStr">
        <x:is>
          <x:t xml:space="preserve">PO-2025-0271</x:t>
        </x:is>
      </x:c>
      <x:c r="B272" s="2" t="inlineStr">
        <x:is>
          <x:t xml:space="preserve">28/07/2025</x:t>
        </x:is>
      </x:c>
      <x:c r="C272" s="2" t="inlineStr">
        <x:is>
          <x:t xml:space="preserve">July</x:t>
        </x:is>
      </x:c>
      <x:c r="D272" s="2" t="inlineStr">
        <x:is>
          <x:t xml:space="preserve">Foothills Medical Centre Expansion</x:t>
        </x:is>
      </x:c>
      <x:c r="E272" s="2" t="inlineStr">
        <x:is>
          <x:t xml:space="preserve">Calgary SE</x:t>
        </x:is>
      </x:c>
      <x:c r="F272" s="2" t="inlineStr">
        <x:is>
          <x:t xml:space="preserve">Mohammed Siddiqui</x:t>
        </x:is>
      </x:c>
      <x:c r="G272" s="2" t="inlineStr">
        <x:is>
          <x:t xml:space="preserve">Civil Works</x:t>
        </x:is>
      </x:c>
      <x:c r="H272" s="2" t="inlineStr">
        <x:is>
          <x:t xml:space="preserve">Road Base Aggregate</x:t>
        </x:is>
      </x:c>
      <x:c r="I272" s="2" t="inlineStr">
        <x:is>
          <x:t xml:space="preserve">Ledcor Civil Alberta</x:t>
        </x:is>
      </x:c>
      <x:c r="J272" s="2" t="inlineStr">
        <x:is>
          <x:t xml:space="preserve">Tender – Open</x:t>
        </x:is>
      </x:c>
      <x:c r="K272" s="3" t="n">
        <x:v>72</x:v>
      </x:c>
      <x:c r="L272" s="2" t="inlineStr">
        <x:is>
          <x:t xml:space="preserve">m³</x:t>
        </x:is>
      </x:c>
      <x:c r="M272" s="4" t="n">
        <x:v>173.73</x:v>
      </x:c>
      <x:c r="N272" s="4" t="n">
        <x:v>205.31</x:v>
      </x:c>
      <x:c r="O272" s="4" t="n">
        <x:v>12508.56</x:v>
      </x:c>
      <x:c r="P272" s="4" t="n">
        <x:v>14782.32</x:v>
      </x:c>
      <x:c r="Q272" s="4" t="n">
        <x:v>-2273.76</x:v>
      </x:c>
      <x:c r="R272" s="5" t="n">
        <x:v>-15.4</x:v>
      </x:c>
      <x:c r="S272" s="3" t="n">
        <x:v>23</x:v>
      </x:c>
      <x:c r="T272" s="2" t="inlineStr">
        <x:is>
          <x:t xml:space="preserve">Yes</x:t>
        </x:is>
      </x:c>
      <x:c r="U272" s="2" t="inlineStr">
        <x:is>
          <x:t xml:space="preserve">Partially Delivered</x:t>
        </x:is>
      </x:c>
    </x:row>
    <x:row r="273">
      <x:c r="A273" s="6" t="inlineStr">
        <x:is>
          <x:t xml:space="preserve">PO-2025-0272</x:t>
        </x:is>
      </x:c>
      <x:c r="B273" s="6" t="inlineStr">
        <x:is>
          <x:t xml:space="preserve">26/11/2025</x:t>
        </x:is>
      </x:c>
      <x:c r="C273" s="6" t="inlineStr">
        <x:is>
          <x:t xml:space="preserve">November</x:t>
        </x:is>
      </x:c>
      <x:c r="D273" s="6" t="inlineStr">
        <x:is>
          <x:t xml:space="preserve">Bow River Crossing Overpass</x:t>
        </x:is>
      </x:c>
      <x:c r="E273" s="6" t="inlineStr">
        <x:is>
          <x:t xml:space="preserve">Calgary SE</x:t>
        </x:is>
      </x:c>
      <x:c r="F273" s="6" t="inlineStr">
        <x:is>
          <x:t xml:space="preserve">James Okafor</x:t>
        </x:is>
      </x:c>
      <x:c r="G273" s="6" t="inlineStr">
        <x:is>
          <x:t xml:space="preserve">Civil Works</x:t>
        </x:is>
      </x:c>
      <x:c r="H273" s="6" t="inlineStr">
        <x:is>
          <x:t xml:space="preserve">Road Base Aggregate</x:t>
        </x:is>
      </x:c>
      <x:c r="I273" s="6" t="inlineStr">
        <x:is>
          <x:t xml:space="preserve">Ledcor Civil Alberta</x:t>
        </x:is>
      </x:c>
      <x:c r="J273" s="6" t="inlineStr">
        <x:is>
          <x:t xml:space="preserve">Tender – Open</x:t>
        </x:is>
      </x:c>
      <x:c r="K273" s="7" t="n">
        <x:v>82</x:v>
      </x:c>
      <x:c r="L273" s="6" t="inlineStr">
        <x:is>
          <x:t xml:space="preserve">m³</x:t>
        </x:is>
      </x:c>
      <x:c r="M273" s="8" t="n">
        <x:v>205.87</x:v>
      </x:c>
      <x:c r="N273" s="8" t="n">
        <x:v>186.2</x:v>
      </x:c>
      <x:c r="O273" s="8" t="n">
        <x:v>16881.34</x:v>
      </x:c>
      <x:c r="P273" s="8" t="n">
        <x:v>15268.4</x:v>
      </x:c>
      <x:c r="Q273" s="8" t="n">
        <x:v>1612.94</x:v>
      </x:c>
      <x:c r="R273" s="9" t="n">
        <x:v>10.6</x:v>
      </x:c>
      <x:c r="S273" s="7" t="n">
        <x:v>22</x:v>
      </x:c>
      <x:c r="T273" s="6" t="inlineStr">
        <x:is>
          <x:t xml:space="preserve">Yes</x:t>
        </x:is>
      </x:c>
      <x:c r="U273" s="6" t="inlineStr">
        <x:is>
          <x:t xml:space="preserve">Pending</x:t>
        </x:is>
      </x:c>
    </x:row>
    <x:row r="274">
      <x:c r="A274" s="2" t="inlineStr">
        <x:is>
          <x:t xml:space="preserve">PO-2025-0273</x:t>
        </x:is>
      </x:c>
      <x:c r="B274" s="2" t="inlineStr">
        <x:is>
          <x:t xml:space="preserve">19/11/2025</x:t>
        </x:is>
      </x:c>
      <x:c r="C274" s="2" t="inlineStr">
        <x:is>
          <x:t xml:space="preserve">November</x:t>
        </x:is>
      </x:c>
      <x:c r="D274" s="2" t="inlineStr">
        <x:is>
          <x:t xml:space="preserve">Calgary SE Ring Road Extension</x:t>
        </x:is>
      </x:c>
      <x:c r="E274" s="2" t="inlineStr">
        <x:is>
          <x:t xml:space="preserve">Calgary SE</x:t>
        </x:is>
      </x:c>
      <x:c r="F274" s="2" t="inlineStr">
        <x:is>
          <x:t xml:space="preserve">Priya Sharma</x:t>
        </x:is>
      </x:c>
      <x:c r="G274" s="2" t="inlineStr">
        <x:is>
          <x:t xml:space="preserve">Civil Works</x:t>
        </x:is>
      </x:c>
      <x:c r="H274" s="2" t="inlineStr">
        <x:is>
          <x:t xml:space="preserve">Granular Backfill</x:t>
        </x:is>
      </x:c>
      <x:c r="I274" s="2" t="inlineStr">
        <x:is>
          <x:t xml:space="preserve">Ledcor Civil Alberta</x:t>
        </x:is>
      </x:c>
      <x:c r="J274" s="2" t="inlineStr">
        <x:is>
          <x:t xml:space="preserve">Tender – Open</x:t>
        </x:is>
      </x:c>
      <x:c r="K274" s="3" t="n">
        <x:v>26</x:v>
      </x:c>
      <x:c r="L274" s="2" t="inlineStr">
        <x:is>
          <x:t xml:space="preserve">m³</x:t>
        </x:is>
      </x:c>
      <x:c r="M274" s="4" t="n">
        <x:v>233.37</x:v>
      </x:c>
      <x:c r="N274" s="4" t="n">
        <x:v>271.69</x:v>
      </x:c>
      <x:c r="O274" s="4" t="n">
        <x:v>6067.62</x:v>
      </x:c>
      <x:c r="P274" s="4" t="n">
        <x:v>7063.94</x:v>
      </x:c>
      <x:c r="Q274" s="4" t="n">
        <x:v>-996.3200000000001</x:v>
      </x:c>
      <x:c r="R274" s="5" t="n">
        <x:v>-14.1</x:v>
      </x:c>
      <x:c r="S274" s="3" t="n">
        <x:v>58</x:v>
      </x:c>
      <x:c r="T274" s="2" t="inlineStr">
        <x:is>
          <x:t xml:space="preserve">Yes</x:t>
        </x:is>
      </x:c>
      <x:c r="U274" s="2" t="inlineStr">
        <x:is>
          <x:t xml:space="preserve">Delivered</x:t>
        </x:is>
      </x:c>
    </x:row>
    <x:row r="275">
      <x:c r="A275" s="6" t="inlineStr">
        <x:is>
          <x:t xml:space="preserve">PO-2025-0274</x:t>
        </x:is>
      </x:c>
      <x:c r="B275" s="6" t="inlineStr">
        <x:is>
          <x:t xml:space="preserve">03/09/2025</x:t>
        </x:is>
      </x:c>
      <x:c r="C275" s="6" t="inlineStr">
        <x:is>
          <x:t xml:space="preserve">September</x:t>
        </x:is>
      </x:c>
      <x:c r="D275" s="6" t="inlineStr">
        <x:is>
          <x:t xml:space="preserve">Bow River Crossing Overpass</x:t>
        </x:is>
      </x:c>
      <x:c r="E275" s="6" t="inlineStr">
        <x:is>
          <x:t xml:space="preserve">Calgary SW</x:t>
        </x:is>
      </x:c>
      <x:c r="F275" s="6" t="inlineStr">
        <x:is>
          <x:t xml:space="preserve">Aisha Nkosi</x:t>
        </x:is>
      </x:c>
      <x:c r="G275" s="6" t="inlineStr">
        <x:is>
          <x:t xml:space="preserve">Safety &amp; Temp Works</x:t>
        </x:is>
      </x:c>
      <x:c r="H275" s="6" t="inlineStr">
        <x:is>
          <x:t xml:space="preserve">Site Office Trailer</x:t>
        </x:is>
      </x:c>
      <x:c r="I275" s="6" t="inlineStr">
        <x:is>
          <x:t xml:space="preserve">Levitt-Safety Calgary</x:t>
        </x:is>
      </x:c>
      <x:c r="J275" s="6" t="inlineStr">
        <x:is>
          <x:t xml:space="preserve">3-Quote Comparison</x:t>
        </x:is>
      </x:c>
      <x:c r="K275" s="7" t="n">
        <x:v>54</x:v>
      </x:c>
      <x:c r="L275" s="6" t="inlineStr">
        <x:is>
          <x:t xml:space="preserve">lot</x:t>
        </x:is>
      </x:c>
      <x:c r="M275" s="8" t="n">
        <x:v>1127.28</x:v>
      </x:c>
      <x:c r="N275" s="8" t="n">
        <x:v>1002.63</x:v>
      </x:c>
      <x:c r="O275" s="8" t="n">
        <x:v>60873.12</x:v>
      </x:c>
      <x:c r="P275" s="8" t="n">
        <x:v>54142.02</x:v>
      </x:c>
      <x:c r="Q275" s="8" t="n">
        <x:v>6731.1</x:v>
      </x:c>
      <x:c r="R275" s="9" t="n">
        <x:v>12.4</x:v>
      </x:c>
      <x:c r="S275" s="7" t="n">
        <x:v>81</x:v>
      </x:c>
      <x:c r="T275" s="6" t="inlineStr">
        <x:is>
          <x:t xml:space="preserve">Yes</x:t>
        </x:is>
      </x:c>
      <x:c r="U275" s="6" t="inlineStr">
        <x:is>
          <x:t xml:space="preserve">Delivered</x:t>
        </x:is>
      </x:c>
    </x:row>
    <x:row r="276">
      <x:c r="A276" s="2" t="inlineStr">
        <x:is>
          <x:t xml:space="preserve">PO-2025-0275</x:t>
        </x:is>
      </x:c>
      <x:c r="B276" s="2" t="inlineStr">
        <x:is>
          <x:t xml:space="preserve">21/08/2025</x:t>
        </x:is>
      </x:c>
      <x:c r="C276" s="2" t="inlineStr">
        <x:is>
          <x:t xml:space="preserve">August</x:t>
        </x:is>
      </x:c>
      <x:c r="D276" s="2" t="inlineStr">
        <x:is>
          <x:t xml:space="preserve">Stampede Park Infrastructure Upgrade</x:t>
        </x:is>
      </x:c>
      <x:c r="E276" s="2" t="inlineStr">
        <x:is>
          <x:t xml:space="preserve">Rocky View County</x:t>
        </x:is>
      </x:c>
      <x:c r="F276" s="2" t="inlineStr">
        <x:is>
          <x:t xml:space="preserve">Derek McLean</x:t>
        </x:is>
      </x:c>
      <x:c r="G276" s="2" t="inlineStr">
        <x:is>
          <x:t xml:space="preserve">MEP - Electrical</x:t>
        </x:is>
      </x:c>
      <x:c r="H276" s="2" t="inlineStr">
        <x:is>
          <x:t xml:space="preserve">LED Site Lighting</x:t>
        </x:is>
      </x:c>
      <x:c r="I276" s="2" t="inlineStr">
        <x:is>
          <x:t xml:space="preserve">Schneider Electric Canada</x:t>
        </x:is>
      </x:c>
      <x:c r="J276" s="2" t="inlineStr">
        <x:is>
          <x:t xml:space="preserve">Standing Offer Agreement</x:t>
        </x:is>
      </x:c>
      <x:c r="K276" s="3" t="n">
        <x:v>18</x:v>
      </x:c>
      <x:c r="L276" s="2" t="inlineStr">
        <x:is>
          <x:t xml:space="preserve">lot</x:t>
        </x:is>
      </x:c>
      <x:c r="M276" s="4" t="n">
        <x:v>33632.69</x:v>
      </x:c>
      <x:c r="N276" s="4" t="n">
        <x:v>33521.75</x:v>
      </x:c>
      <x:c r="O276" s="4" t="n">
        <x:v>605388.42</x:v>
      </x:c>
      <x:c r="P276" s="4" t="n">
        <x:v>603391.5</x:v>
      </x:c>
      <x:c r="Q276" s="4" t="n">
        <x:v>1996.92</x:v>
      </x:c>
      <x:c r="R276" s="5" t="n">
        <x:v>0.3</x:v>
      </x:c>
      <x:c r="S276" s="3" t="n">
        <x:v>77</x:v>
      </x:c>
      <x:c r="T276" s="2" t="inlineStr">
        <x:is>
          <x:t xml:space="preserve">No</x:t>
        </x:is>
      </x:c>
      <x:c r="U276" s="2" t="inlineStr">
        <x:is>
          <x:t xml:space="preserve">Delivered</x:t>
        </x:is>
      </x:c>
    </x:row>
    <x:row r="277">
      <x:c r="A277" s="6" t="inlineStr">
        <x:is>
          <x:t xml:space="preserve">PO-2025-0276</x:t>
        </x:is>
      </x:c>
      <x:c r="B277" s="6" t="inlineStr">
        <x:is>
          <x:t xml:space="preserve">19/11/2025</x:t>
        </x:is>
      </x:c>
      <x:c r="C277" s="6" t="inlineStr">
        <x:is>
          <x:t xml:space="preserve">November</x:t>
        </x:is>
      </x:c>
      <x:c r="D277" s="6" t="inlineStr">
        <x:is>
          <x:t xml:space="preserve">Calgary SE Ring Road Extension</x:t>
        </x:is>
      </x:c>
      <x:c r="E277" s="6" t="inlineStr">
        <x:is>
          <x:t xml:space="preserve">Calgary SW</x:t>
        </x:is>
      </x:c>
      <x:c r="F277" s="6" t="inlineStr">
        <x:is>
          <x:t xml:space="preserve">James Okafor</x:t>
        </x:is>
      </x:c>
      <x:c r="G277" s="6" t="inlineStr">
        <x:is>
          <x:t xml:space="preserve">Finishing</x:t>
        </x:is>
      </x:c>
      <x:c r="H277" s="6" t="inlineStr">
        <x:is>
          <x:t xml:space="preserve">Ceramic Floor Tile</x:t>
        </x:is>
      </x:c>
      <x:c r="I277" s="6" t="inlineStr">
        <x:is>
          <x:t xml:space="preserve">Centura Tile Calgary</x:t>
        </x:is>
      </x:c>
      <x:c r="J277" s="6" t="inlineStr">
        <x:is>
          <x:t xml:space="preserve">Standing Offer Agreement</x:t>
        </x:is>
      </x:c>
      <x:c r="K277" s="7" t="n">
        <x:v>39</x:v>
      </x:c>
      <x:c r="L277" s="6" t="inlineStr">
        <x:is>
          <x:t xml:space="preserve">m²</x:t>
        </x:is>
      </x:c>
      <x:c r="M277" s="8" t="n">
        <x:v>306.76</x:v>
      </x:c>
      <x:c r="N277" s="8" t="n">
        <x:v>379.44</x:v>
      </x:c>
      <x:c r="O277" s="8" t="n">
        <x:v>11963.64</x:v>
      </x:c>
      <x:c r="P277" s="8" t="n">
        <x:v>14798.16</x:v>
      </x:c>
      <x:c r="Q277" s="8" t="n">
        <x:v>-2834.52</x:v>
      </x:c>
      <x:c r="R277" s="9" t="n">
        <x:v>-19.2</x:v>
      </x:c>
      <x:c r="S277" s="7" t="n">
        <x:v>77</x:v>
      </x:c>
      <x:c r="T277" s="6" t="inlineStr">
        <x:is>
          <x:t xml:space="preserve">Yes</x:t>
        </x:is>
      </x:c>
      <x:c r="U277" s="6" t="inlineStr">
        <x:is>
          <x:t xml:space="preserve">Delivered</x:t>
        </x:is>
      </x:c>
    </x:row>
    <x:row r="278">
      <x:c r="A278" s="2" t="inlineStr">
        <x:is>
          <x:t xml:space="preserve">PO-2025-0277</x:t>
        </x:is>
      </x:c>
      <x:c r="B278" s="2" t="inlineStr">
        <x:is>
          <x:t xml:space="preserve">10/02/2025</x:t>
        </x:is>
      </x:c>
      <x:c r="C278" s="2" t="inlineStr">
        <x:is>
          <x:t xml:space="preserve">February</x:t>
        </x:is>
      </x:c>
      <x:c r="D278" s="2" t="inlineStr">
        <x:is>
          <x:t xml:space="preserve">Stampede Park Infrastructure Upgrade</x:t>
        </x:is>
      </x:c>
      <x:c r="E278" s="2" t="inlineStr">
        <x:is>
          <x:t xml:space="preserve">Calgary NE</x:t>
        </x:is>
      </x:c>
      <x:c r="F278" s="2" t="inlineStr">
        <x:is>
          <x:t xml:space="preserve">Priya Sharma</x:t>
        </x:is>
      </x:c>
      <x:c r="G278" s="2" t="inlineStr">
        <x:is>
          <x:t xml:space="preserve">Civil Works</x:t>
        </x:is>
      </x:c>
      <x:c r="H278" s="2" t="inlineStr">
        <x:is>
          <x:t xml:space="preserve">Granular Backfill</x:t>
        </x:is>
      </x:c>
      <x:c r="I278" s="2" t="inlineStr">
        <x:is>
          <x:t xml:space="preserve">Kiewit Infrastructure</x:t>
        </x:is>
      </x:c>
      <x:c r="J278" s="2" t="inlineStr">
        <x:is>
          <x:t xml:space="preserve">3-Quote Comparison</x:t>
        </x:is>
      </x:c>
      <x:c r="K278" s="3" t="n">
        <x:v>112</x:v>
      </x:c>
      <x:c r="L278" s="2" t="inlineStr">
        <x:is>
          <x:t xml:space="preserve">m³</x:t>
        </x:is>
      </x:c>
      <x:c r="M278" s="4" t="n">
        <x:v>187.37</x:v>
      </x:c>
      <x:c r="N278" s="4" t="n">
        <x:v>190.58</x:v>
      </x:c>
      <x:c r="O278" s="4" t="n">
        <x:v>20985.44</x:v>
      </x:c>
      <x:c r="P278" s="4" t="n">
        <x:v>21344.96</x:v>
      </x:c>
      <x:c r="Q278" s="4" t="n">
        <x:v>-359.52</x:v>
      </x:c>
      <x:c r="R278" s="5" t="n">
        <x:v>-1.7</x:v>
      </x:c>
      <x:c r="S278" s="3" t="n">
        <x:v>69</x:v>
      </x:c>
      <x:c r="T278" s="2" t="inlineStr">
        <x:is>
          <x:t xml:space="preserve">Yes</x:t>
        </x:is>
      </x:c>
      <x:c r="U278" s="2" t="inlineStr">
        <x:is>
          <x:t xml:space="preserve">Cancelled</x:t>
        </x:is>
      </x:c>
    </x:row>
    <x:row r="279">
      <x:c r="A279" s="6" t="inlineStr">
        <x:is>
          <x:t xml:space="preserve">PO-2025-0278</x:t>
        </x:is>
      </x:c>
      <x:c r="B279" s="6" t="inlineStr">
        <x:is>
          <x:t xml:space="preserve">08/11/2025</x:t>
        </x:is>
      </x:c>
      <x:c r="C279" s="6" t="inlineStr">
        <x:is>
          <x:t xml:space="preserve">November</x:t>
        </x:is>
      </x:c>
      <x:c r="D279" s="6" t="inlineStr">
        <x:is>
          <x:t xml:space="preserve">Springbank Off-Stream Reservoir</x:t>
        </x:is>
      </x:c>
      <x:c r="E279" s="6" t="inlineStr">
        <x:is>
          <x:t xml:space="preserve">Rocky View County</x:t>
        </x:is>
      </x:c>
      <x:c r="F279" s="6" t="inlineStr">
        <x:is>
          <x:t xml:space="preserve">James Okafor</x:t>
        </x:is>
      </x:c>
      <x:c r="G279" s="6" t="inlineStr">
        <x:is>
          <x:t xml:space="preserve">Concrete &amp; Structural</x:t>
        </x:is>
      </x:c>
      <x:c r="H279" s="6" t="inlineStr">
        <x:is>
          <x:t xml:space="preserve">Precast Deck Panels</x:t>
        </x:is>
      </x:c>
      <x:c r="I279" s="6" t="inlineStr">
        <x:is>
          <x:t xml:space="preserve">Lafarge Canada - Calgary</x:t>
        </x:is>
      </x:c>
      <x:c r="J279" s="6" t="inlineStr">
        <x:is>
          <x:t xml:space="preserve">Tender – Open</x:t>
        </x:is>
      </x:c>
      <x:c r="K279" s="7" t="n">
        <x:v>18</x:v>
      </x:c>
      <x:c r="L279" s="6" t="inlineStr">
        <x:is>
          <x:t xml:space="preserve">m³</x:t>
        </x:is>
      </x:c>
      <x:c r="M279" s="8" t="n">
        <x:v>263.52</x:v>
      </x:c>
      <x:c r="N279" s="8" t="n">
        <x:v>273.23</x:v>
      </x:c>
      <x:c r="O279" s="8" t="n">
        <x:v>4743.36</x:v>
      </x:c>
      <x:c r="P279" s="8" t="n">
        <x:v>4918.14</x:v>
      </x:c>
      <x:c r="Q279" s="8" t="n">
        <x:v>-174.78</x:v>
      </x:c>
      <x:c r="R279" s="9" t="n">
        <x:v>-3.6</x:v>
      </x:c>
      <x:c r="S279" s="7" t="n">
        <x:v>76</x:v>
      </x:c>
      <x:c r="T279" s="6" t="inlineStr">
        <x:is>
          <x:t xml:space="preserve">Yes</x:t>
        </x:is>
      </x:c>
      <x:c r="U279" s="6" t="inlineStr">
        <x:is>
          <x:t xml:space="preserve">Cancelled</x:t>
        </x:is>
      </x:c>
    </x:row>
    <x:row r="280">
      <x:c r="A280" s="2" t="inlineStr">
        <x:is>
          <x:t xml:space="preserve">PO-2025-0279</x:t>
        </x:is>
      </x:c>
      <x:c r="B280" s="2" t="inlineStr">
        <x:is>
          <x:t xml:space="preserve">09/11/2025</x:t>
        </x:is>
      </x:c>
      <x:c r="C280" s="2" t="inlineStr">
        <x:is>
          <x:t xml:space="preserve">November</x:t>
        </x:is>
      </x:c>
      <x:c r="D280" s="2" t="inlineStr">
        <x:is>
          <x:t xml:space="preserve">Rocky View Industrial Logistics Hub</x:t>
        </x:is>
      </x:c>
      <x:c r="E280" s="2" t="inlineStr">
        <x:is>
          <x:t xml:space="preserve">Calgary NE</x:t>
        </x:is>
      </x:c>
      <x:c r="F280" s="2" t="inlineStr">
        <x:is>
          <x:t xml:space="preserve">Aisha Nkosi</x:t>
        </x:is>
      </x:c>
      <x:c r="G280" s="2" t="inlineStr">
        <x:is>
          <x:t xml:space="preserve">MEP - Electrical</x:t>
        </x:is>
      </x:c>
      <x:c r="H280" s="2" t="inlineStr">
        <x:is>
          <x:t xml:space="preserve">Grounding System</x:t>
        </x:is>
      </x:c>
      <x:c r="I280" s="2" t="inlineStr">
        <x:is>
          <x:t xml:space="preserve">Schneider Electric Canada</x:t>
        </x:is>
      </x:c>
      <x:c r="J280" s="2" t="inlineStr">
        <x:is>
          <x:t xml:space="preserve">Emergency Procurement</x:t>
        </x:is>
      </x:c>
      <x:c r="K280" s="3" t="n">
        <x:v>116</x:v>
      </x:c>
      <x:c r="L280" s="2" t="inlineStr">
        <x:is>
          <x:t xml:space="preserve">lot</x:t>
        </x:is>
      </x:c>
      <x:c r="M280" s="4" t="n">
        <x:v>35780.27</x:v>
      </x:c>
      <x:c r="N280" s="4" t="n">
        <x:v>42789.8</x:v>
      </x:c>
      <x:c r="O280" s="4" t="n">
        <x:v>4150511.32</x:v>
      </x:c>
      <x:c r="P280" s="4" t="n">
        <x:v>4963616.8</x:v>
      </x:c>
      <x:c r="Q280" s="4" t="n">
        <x:v>-813105.48</x:v>
      </x:c>
      <x:c r="R280" s="5" t="n">
        <x:v>-16.4</x:v>
      </x:c>
      <x:c r="S280" s="3" t="n">
        <x:v>12</x:v>
      </x:c>
      <x:c r="T280" s="2" t="inlineStr">
        <x:is>
          <x:t xml:space="preserve">Yes</x:t>
        </x:is>
      </x:c>
      <x:c r="U280" s="2" t="inlineStr">
        <x:is>
          <x:t xml:space="preserve">Cancelled</x:t>
        </x:is>
      </x:c>
    </x:row>
    <x:row r="281">
      <x:c r="A281" s="6" t="inlineStr">
        <x:is>
          <x:t xml:space="preserve">PO-2025-0280</x:t>
        </x:is>
      </x:c>
      <x:c r="B281" s="6" t="inlineStr">
        <x:is>
          <x:t xml:space="preserve">30/10/2025</x:t>
        </x:is>
      </x:c>
      <x:c r="C281" s="6" t="inlineStr">
        <x:is>
          <x:t xml:space="preserve">October</x:t>
        </x:is>
      </x:c>
      <x:c r="D281" s="6" t="inlineStr">
        <x:is>
          <x:t xml:space="preserve">Saddledome Arena Retrofit</x:t>
        </x:is>
      </x:c>
      <x:c r="E281" s="6" t="inlineStr">
        <x:is>
          <x:t xml:space="preserve">Rocky View County</x:t>
        </x:is>
      </x:c>
      <x:c r="F281" s="6" t="inlineStr">
        <x:is>
          <x:t xml:space="preserve">Derek McLean</x:t>
        </x:is>
      </x:c>
      <x:c r="G281" s="6" t="inlineStr">
        <x:is>
          <x:t xml:space="preserve">MEP - Electrical</x:t>
        </x:is>
      </x:c>
      <x:c r="H281" s="6" t="inlineStr">
        <x:is>
          <x:t xml:space="preserve">Standby Generator</x:t>
        </x:is>
      </x:c>
      <x:c r="I281" s="6" t="inlineStr">
        <x:is>
          <x:t xml:space="preserve">Houle Electric</x:t>
        </x:is>
      </x:c>
      <x:c r="J281" s="6" t="inlineStr">
        <x:is>
          <x:t xml:space="preserve">Standing Offer Agreement</x:t>
        </x:is>
      </x:c>
      <x:c r="K281" s="7" t="n">
        <x:v>8</x:v>
      </x:c>
      <x:c r="L281" s="6" t="inlineStr">
        <x:is>
          <x:t xml:space="preserve">lot</x:t>
        </x:is>
      </x:c>
      <x:c r="M281" s="8" t="n">
        <x:v>6430.01</x:v>
      </x:c>
      <x:c r="N281" s="8" t="n">
        <x:v>7180.37</x:v>
      </x:c>
      <x:c r="O281" s="8" t="n">
        <x:v>51440.08</x:v>
      </x:c>
      <x:c r="P281" s="8" t="n">
        <x:v>57442.96</x:v>
      </x:c>
      <x:c r="Q281" s="8" t="n">
        <x:v>-6002.88</x:v>
      </x:c>
      <x:c r="R281" s="9" t="n">
        <x:v>-10.5</x:v>
      </x:c>
      <x:c r="S281" s="7" t="n">
        <x:v>17</x:v>
      </x:c>
      <x:c r="T281" s="6" t="inlineStr">
        <x:is>
          <x:t xml:space="preserve">Yes</x:t>
        </x:is>
      </x:c>
      <x:c r="U281" s="6" t="inlineStr">
        <x:is>
          <x:t xml:space="preserve">Pending</x:t>
        </x:is>
      </x:c>
    </x:row>
    <x:row r="282">
      <x:c r="A282" s="2" t="inlineStr">
        <x:is>
          <x:t xml:space="preserve">PO-2025-0281</x:t>
        </x:is>
      </x:c>
      <x:c r="B282" s="2" t="inlineStr">
        <x:is>
          <x:t xml:space="preserve">12/04/2025</x:t>
        </x:is>
      </x:c>
      <x:c r="C282" s="2" t="inlineStr">
        <x:is>
          <x:t xml:space="preserve">April</x:t>
        </x:is>
      </x:c>
      <x:c r="D282" s="2" t="inlineStr">
        <x:is>
          <x:t xml:space="preserve">Springbank Off-Stream Reservoir</x:t>
        </x:is>
      </x:c>
      <x:c r="E282" s="2" t="inlineStr">
        <x:is>
          <x:t xml:space="preserve">Rocky View County</x:t>
        </x:is>
      </x:c>
      <x:c r="F282" s="2" t="inlineStr">
        <x:is>
          <x:t xml:space="preserve">James Okafor</x:t>
        </x:is>
      </x:c>
      <x:c r="G282" s="2" t="inlineStr">
        <x:is>
          <x:t xml:space="preserve">Concrete &amp; Structural</x:t>
        </x:is>
      </x:c>
      <x:c r="H282" s="2" t="inlineStr">
        <x:is>
          <x:t xml:space="preserve">Precast Deck Panels</x:t>
        </x:is>
      </x:c>
      <x:c r="I282" s="2" t="inlineStr">
        <x:is>
          <x:t xml:space="preserve">Evraz Steel Calgary</x:t>
        </x:is>
      </x:c>
      <x:c r="J282" s="2" t="inlineStr">
        <x:is>
          <x:t xml:space="preserve">Standing Offer Agreement</x:t>
        </x:is>
      </x:c>
      <x:c r="K282" s="3" t="n">
        <x:v>57</x:v>
      </x:c>
      <x:c r="L282" s="2" t="inlineStr">
        <x:is>
          <x:t xml:space="preserve">m³</x:t>
        </x:is>
      </x:c>
      <x:c r="M282" s="4" t="n">
        <x:v>598.16</x:v>
      </x:c>
      <x:c r="N282" s="4" t="n">
        <x:v>554.9</x:v>
      </x:c>
      <x:c r="O282" s="4" t="n">
        <x:v>34095.12</x:v>
      </x:c>
      <x:c r="P282" s="4" t="n">
        <x:v>31629.3</x:v>
      </x:c>
      <x:c r="Q282" s="4" t="n">
        <x:v>2465.82</x:v>
      </x:c>
      <x:c r="R282" s="5" t="n">
        <x:v>7.8</x:v>
      </x:c>
      <x:c r="S282" s="3" t="n">
        <x:v>67</x:v>
      </x:c>
      <x:c r="T282" s="2" t="inlineStr">
        <x:is>
          <x:t xml:space="preserve">Yes</x:t>
        </x:is>
      </x:c>
      <x:c r="U282" s="2" t="inlineStr">
        <x:is>
          <x:t xml:space="preserve">Delivered</x:t>
        </x:is>
      </x:c>
    </x:row>
    <x:row r="283">
      <x:c r="A283" s="6" t="inlineStr">
        <x:is>
          <x:t xml:space="preserve">PO-2025-0282</x:t>
        </x:is>
      </x:c>
      <x:c r="B283" s="6" t="inlineStr">
        <x:is>
          <x:t xml:space="preserve">27/11/2025</x:t>
        </x:is>
      </x:c>
      <x:c r="C283" s="6" t="inlineStr">
        <x:is>
          <x:t xml:space="preserve">November</x:t>
        </x:is>
      </x:c>
      <x:c r="D283" s="6" t="inlineStr">
        <x:is>
          <x:t xml:space="preserve">Calgary SE Ring Road Extension</x:t>
        </x:is>
      </x:c>
      <x:c r="E283" s="6" t="inlineStr">
        <x:is>
          <x:t xml:space="preserve">Calgary SE</x:t>
        </x:is>
      </x:c>
      <x:c r="F283" s="6" t="inlineStr">
        <x:is>
          <x:t xml:space="preserve">Priya Sharma</x:t>
        </x:is>
      </x:c>
      <x:c r="G283" s="6" t="inlineStr">
        <x:is>
          <x:t xml:space="preserve">MEP - Mechanical</x:t>
        </x:is>
      </x:c>
      <x:c r="H283" s="6" t="inlineStr">
        <x:is>
          <x:t xml:space="preserve">Heat Pump Assembly</x:t>
        </x:is>
      </x:c>
      <x:c r="I283" s="6" t="inlineStr">
        <x:is>
          <x:t xml:space="preserve">Ainsworth Inc.</x:t>
        </x:is>
      </x:c>
      <x:c r="J283" s="6" t="inlineStr">
        <x:is>
          <x:t xml:space="preserve">LPO – Direct Award</x:t>
        </x:is>
      </x:c>
      <x:c r="K283" s="7" t="n">
        <x:v>17</x:v>
      </x:c>
      <x:c r="L283" s="6" t="inlineStr">
        <x:is>
          <x:t xml:space="preserve">lot</x:t>
        </x:is>
      </x:c>
      <x:c r="M283" s="8" t="n">
        <x:v>49324.59</x:v>
      </x:c>
      <x:c r="N283" s="8" t="n">
        <x:v>59439.81</x:v>
      </x:c>
      <x:c r="O283" s="8" t="n">
        <x:v>838518.03</x:v>
      </x:c>
      <x:c r="P283" s="8" t="n">
        <x:v>1010476.77</x:v>
      </x:c>
      <x:c r="Q283" s="8" t="n">
        <x:v>-171958.74</x:v>
      </x:c>
      <x:c r="R283" s="9" t="n">
        <x:v>-17</x:v>
      </x:c>
      <x:c r="S283" s="7" t="n">
        <x:v>15</x:v>
      </x:c>
      <x:c r="T283" s="6" t="inlineStr">
        <x:is>
          <x:t xml:space="preserve">No</x:t>
        </x:is>
      </x:c>
      <x:c r="U283" s="6" t="inlineStr">
        <x:is>
          <x:t xml:space="preserve">Cancelled</x:t>
        </x:is>
      </x:c>
    </x:row>
    <x:row r="284">
      <x:c r="A284" s="2" t="inlineStr">
        <x:is>
          <x:t xml:space="preserve">PO-2025-0283</x:t>
        </x:is>
      </x:c>
      <x:c r="B284" s="2" t="inlineStr">
        <x:is>
          <x:t xml:space="preserve">03/10/2025</x:t>
        </x:is>
      </x:c>
      <x:c r="C284" s="2" t="inlineStr">
        <x:is>
          <x:t xml:space="preserve">October</x:t>
        </x:is>
      </x:c>
      <x:c r="D284" s="2" t="inlineStr">
        <x:is>
          <x:t xml:space="preserve">Rocky View Industrial Logistics Hub</x:t>
        </x:is>
      </x:c>
      <x:c r="E284" s="2" t="inlineStr">
        <x:is>
          <x:t xml:space="preserve">Rocky View County</x:t>
        </x:is>
      </x:c>
      <x:c r="F284" s="2" t="inlineStr">
        <x:is>
          <x:t xml:space="preserve">Linda Tran</x:t>
        </x:is>
      </x:c>
      <x:c r="G284" s="2" t="inlineStr">
        <x:is>
          <x:t xml:space="preserve">Civil Works</x:t>
        </x:is>
      </x:c>
      <x:c r="H284" s="2" t="inlineStr">
        <x:is>
          <x:t xml:space="preserve">Bulk Excavation</x:t>
        </x:is>
      </x:c>
      <x:c r="I284" s="2" t="inlineStr">
        <x:is>
          <x:t xml:space="preserve">EllisDon Civil</x:t>
        </x:is>
      </x:c>
      <x:c r="J284" s="2" t="inlineStr">
        <x:is>
          <x:t xml:space="preserve">Standing Offer Agreement</x:t>
        </x:is>
      </x:c>
      <x:c r="K284" s="3" t="n">
        <x:v>92</x:v>
      </x:c>
      <x:c r="L284" s="2" t="inlineStr">
        <x:is>
          <x:t xml:space="preserve">m³</x:t>
        </x:is>
      </x:c>
      <x:c r="M284" s="4" t="n">
        <x:v>183.95</x:v>
      </x:c>
      <x:c r="N284" s="4" t="n">
        <x:v>219.43</x:v>
      </x:c>
      <x:c r="O284" s="4" t="n">
        <x:v>16923.4</x:v>
      </x:c>
      <x:c r="P284" s="4" t="n">
        <x:v>20187.56</x:v>
      </x:c>
      <x:c r="Q284" s="4" t="n">
        <x:v>-3264.16</x:v>
      </x:c>
      <x:c r="R284" s="5" t="n">
        <x:v>-16.2</x:v>
      </x:c>
      <x:c r="S284" s="3" t="n">
        <x:v>76</x:v>
      </x:c>
      <x:c r="T284" s="2" t="inlineStr">
        <x:is>
          <x:t xml:space="preserve">Yes</x:t>
        </x:is>
      </x:c>
      <x:c r="U284" s="2" t="inlineStr">
        <x:is>
          <x:t xml:space="preserve">Delivered</x:t>
        </x:is>
      </x:c>
    </x:row>
    <x:row r="285">
      <x:c r="A285" s="6" t="inlineStr">
        <x:is>
          <x:t xml:space="preserve">PO-2025-0284</x:t>
        </x:is>
      </x:c>
      <x:c r="B285" s="6" t="inlineStr">
        <x:is>
          <x:t xml:space="preserve">24/01/2025</x:t>
        </x:is>
      </x:c>
      <x:c r="C285" s="6" t="inlineStr">
        <x:is>
          <x:t xml:space="preserve">January</x:t>
        </x:is>
      </x:c>
      <x:c r="D285" s="6" t="inlineStr">
        <x:is>
          <x:t xml:space="preserve">Deerfoot Trail Widening - North</x:t>
        </x:is>
      </x:c>
      <x:c r="E285" s="6" t="inlineStr">
        <x:is>
          <x:t xml:space="preserve">Rocky View County</x:t>
        </x:is>
      </x:c>
      <x:c r="F285" s="6" t="inlineStr">
        <x:is>
          <x:t xml:space="preserve">Priya Sharma</x:t>
        </x:is>
      </x:c>
      <x:c r="G285" s="6" t="inlineStr">
        <x:is>
          <x:t xml:space="preserve">Finishing</x:t>
        </x:is>
      </x:c>
      <x:c r="H285" s="6" t="inlineStr">
        <x:is>
          <x:t xml:space="preserve">Acoustic Ceiling Grid</x:t>
        </x:is>
      </x:c>
      <x:c r="I285" s="6" t="inlineStr">
        <x:is>
          <x:t xml:space="preserve">Centura Tile Calgary</x:t>
        </x:is>
      </x:c>
      <x:c r="J285" s="6" t="inlineStr">
        <x:is>
          <x:t xml:space="preserve">Standing Offer Agreement</x:t>
        </x:is>
      </x:c>
      <x:c r="K285" s="7" t="n">
        <x:v>29</x:v>
      </x:c>
      <x:c r="L285" s="6" t="inlineStr">
        <x:is>
          <x:t xml:space="preserve">m²</x:t>
        </x:is>
      </x:c>
      <x:c r="M285" s="8" t="n">
        <x:v>327.46</x:v>
      </x:c>
      <x:c r="N285" s="8" t="n">
        <x:v>385.83</x:v>
      </x:c>
      <x:c r="O285" s="8" t="n">
        <x:v>9496.34</x:v>
      </x:c>
      <x:c r="P285" s="8" t="n">
        <x:v>11189.07</x:v>
      </x:c>
      <x:c r="Q285" s="8" t="n">
        <x:v>-1692.73</x:v>
      </x:c>
      <x:c r="R285" s="9" t="n">
        <x:v>-15.1</x:v>
      </x:c>
      <x:c r="S285" s="7" t="n">
        <x:v>7</x:v>
      </x:c>
      <x:c r="T285" s="6" t="inlineStr">
        <x:is>
          <x:t xml:space="preserve">No</x:t>
        </x:is>
      </x:c>
      <x:c r="U285" s="6" t="inlineStr">
        <x:is>
          <x:t xml:space="preserve">Delivered</x:t>
        </x:is>
      </x:c>
    </x:row>
    <x:row r="286">
      <x:c r="A286" s="2" t="inlineStr">
        <x:is>
          <x:t xml:space="preserve">PO-2025-0285</x:t>
        </x:is>
      </x:c>
      <x:c r="B286" s="2" t="inlineStr">
        <x:is>
          <x:t xml:space="preserve">08/07/2025</x:t>
        </x:is>
      </x:c>
      <x:c r="C286" s="2" t="inlineStr">
        <x:is>
          <x:t xml:space="preserve">July</x:t>
        </x:is>
      </x:c>
      <x:c r="D286" s="2" t="inlineStr">
        <x:is>
          <x:t xml:space="preserve">Calgary SE Ring Road Extension</x:t>
        </x:is>
      </x:c>
      <x:c r="E286" s="2" t="inlineStr">
        <x:is>
          <x:t xml:space="preserve">Calgary SE</x:t>
        </x:is>
      </x:c>
      <x:c r="F286" s="2" t="inlineStr">
        <x:is>
          <x:t xml:space="preserve">Linda Tran</x:t>
        </x:is>
      </x:c>
      <x:c r="G286" s="2" t="inlineStr">
        <x:is>
          <x:t xml:space="preserve">MEP - Mechanical</x:t>
        </x:is>
      </x:c>
      <x:c r="H286" s="2" t="inlineStr">
        <x:is>
          <x:t xml:space="preserve">HVAC Rooftop Unit</x:t>
        </x:is>
      </x:c>
      <x:c r="I286" s="2" t="inlineStr">
        <x:is>
          <x:t xml:space="preserve">Stantec MEP</x:t>
        </x:is>
      </x:c>
      <x:c r="J286" s="2" t="inlineStr">
        <x:is>
          <x:t xml:space="preserve">3-Quote Comparison</x:t>
        </x:is>
      </x:c>
      <x:c r="K286" s="3" t="n">
        <x:v>44</x:v>
      </x:c>
      <x:c r="L286" s="2" t="inlineStr">
        <x:is>
          <x:t xml:space="preserve">lot</x:t>
        </x:is>
      </x:c>
      <x:c r="M286" s="4" t="n">
        <x:v>22549.77</x:v>
      </x:c>
      <x:c r="N286" s="4" t="n">
        <x:v>19522.7</x:v>
      </x:c>
      <x:c r="O286" s="4" t="n">
        <x:v>992189.88</x:v>
      </x:c>
      <x:c r="P286" s="4" t="n">
        <x:v>858998.8</x:v>
      </x:c>
      <x:c r="Q286" s="4" t="n">
        <x:v>133191.08</x:v>
      </x:c>
      <x:c r="R286" s="5" t="n">
        <x:v>15.5</x:v>
      </x:c>
      <x:c r="S286" s="3" t="n">
        <x:v>33</x:v>
      </x:c>
      <x:c r="T286" s="2" t="inlineStr">
        <x:is>
          <x:t xml:space="preserve">No</x:t>
        </x:is>
      </x:c>
      <x:c r="U286" s="2" t="inlineStr">
        <x:is>
          <x:t xml:space="preserve">Delivered</x:t>
        </x:is>
      </x:c>
    </x:row>
    <x:row r="287">
      <x:c r="A287" s="6" t="inlineStr">
        <x:is>
          <x:t xml:space="preserve">PO-2025-0286</x:t>
        </x:is>
      </x:c>
      <x:c r="B287" s="6" t="inlineStr">
        <x:is>
          <x:t xml:space="preserve">13/04/2025</x:t>
        </x:is>
      </x:c>
      <x:c r="C287" s="6" t="inlineStr">
        <x:is>
          <x:t xml:space="preserve">April</x:t>
        </x:is>
      </x:c>
      <x:c r="D287" s="6" t="inlineStr">
        <x:is>
          <x:t xml:space="preserve">Foothills Medical Centre Expansion</x:t>
        </x:is>
      </x:c>
      <x:c r="E287" s="6" t="inlineStr">
        <x:is>
          <x:t xml:space="preserve">Rocky View County</x:t>
        </x:is>
      </x:c>
      <x:c r="F287" s="6" t="inlineStr">
        <x:is>
          <x:t xml:space="preserve">Mohammed Siddiqui</x:t>
        </x:is>
      </x:c>
      <x:c r="G287" s="6" t="inlineStr">
        <x:is>
          <x:t xml:space="preserve">MEP - Electrical</x:t>
        </x:is>
      </x:c>
      <x:c r="H287" s="6" t="inlineStr">
        <x:is>
          <x:t xml:space="preserve">Grounding System</x:t>
        </x:is>
      </x:c>
      <x:c r="I287" s="6" t="inlineStr">
        <x:is>
          <x:t xml:space="preserve">Schneider Electric Canada</x:t>
        </x:is>
      </x:c>
      <x:c r="J287" s="6" t="inlineStr">
        <x:is>
          <x:t xml:space="preserve">LPO – Direct Award</x:t>
        </x:is>
      </x:c>
      <x:c r="K287" s="7" t="n">
        <x:v>46</x:v>
      </x:c>
      <x:c r="L287" s="6" t="inlineStr">
        <x:is>
          <x:t xml:space="preserve">lot</x:t>
        </x:is>
      </x:c>
      <x:c r="M287" s="8" t="n">
        <x:v>42206.09</x:v>
      </x:c>
      <x:c r="N287" s="8" t="n">
        <x:v>37726.34</x:v>
      </x:c>
      <x:c r="O287" s="8" t="n">
        <x:v>1941480.14</x:v>
      </x:c>
      <x:c r="P287" s="8" t="n">
        <x:v>1735411.64</x:v>
      </x:c>
      <x:c r="Q287" s="8" t="n">
        <x:v>206068.5</x:v>
      </x:c>
      <x:c r="R287" s="9" t="n">
        <x:v>11.9</x:v>
      </x:c>
      <x:c r="S287" s="7" t="n">
        <x:v>16</x:v>
      </x:c>
      <x:c r="T287" s="6" t="inlineStr">
        <x:is>
          <x:t xml:space="preserve">Yes</x:t>
        </x:is>
      </x:c>
      <x:c r="U287" s="6" t="inlineStr">
        <x:is>
          <x:t xml:space="preserve">Delivered</x:t>
        </x:is>
      </x:c>
    </x:row>
    <x:row r="288">
      <x:c r="A288" s="2" t="inlineStr">
        <x:is>
          <x:t xml:space="preserve">PO-2025-0287</x:t>
        </x:is>
      </x:c>
      <x:c r="B288" s="2" t="inlineStr">
        <x:is>
          <x:t xml:space="preserve">02/02/2025</x:t>
        </x:is>
      </x:c>
      <x:c r="C288" s="2" t="inlineStr">
        <x:is>
          <x:t xml:space="preserve">February</x:t>
        </x:is>
      </x:c>
      <x:c r="D288" s="2" t="inlineStr">
        <x:is>
          <x:t xml:space="preserve">Quarry Park Mixed-Use Development</x:t>
        </x:is>
      </x:c>
      <x:c r="E288" s="2" t="inlineStr">
        <x:is>
          <x:t xml:space="preserve">Calgary SE</x:t>
        </x:is>
      </x:c>
      <x:c r="F288" s="2" t="inlineStr">
        <x:is>
          <x:t xml:space="preserve">Linda Tran</x:t>
        </x:is>
      </x:c>
      <x:c r="G288" s="2" t="inlineStr">
        <x:is>
          <x:t xml:space="preserve">Finishing</x:t>
        </x:is>
      </x:c>
      <x:c r="H288" s="2" t="inlineStr">
        <x:is>
          <x:t xml:space="preserve">Ceramic Floor Tile</x:t>
        </x:is>
      </x:c>
      <x:c r="I288" s="2" t="inlineStr">
        <x:is>
          <x:t xml:space="preserve">Armstrong World Industries</x:t>
        </x:is>
      </x:c>
      <x:c r="J288" s="2" t="inlineStr">
        <x:is>
          <x:t xml:space="preserve">3-Quote Comparison</x:t>
        </x:is>
      </x:c>
      <x:c r="K288" s="3" t="n">
        <x:v>29</x:v>
      </x:c>
      <x:c r="L288" s="2" t="inlineStr">
        <x:is>
          <x:t xml:space="preserve">m²</x:t>
        </x:is>
      </x:c>
      <x:c r="M288" s="4" t="n">
        <x:v>431.95</x:v>
      </x:c>
      <x:c r="N288" s="4" t="n">
        <x:v>391.38</x:v>
      </x:c>
      <x:c r="O288" s="4" t="n">
        <x:v>12526.55</x:v>
      </x:c>
      <x:c r="P288" s="4" t="n">
        <x:v>11350.02</x:v>
      </x:c>
      <x:c r="Q288" s="4" t="n">
        <x:v>1176.53</x:v>
      </x:c>
      <x:c r="R288" s="5" t="n">
        <x:v>10.4</x:v>
      </x:c>
      <x:c r="S288" s="3" t="n">
        <x:v>42</x:v>
      </x:c>
      <x:c r="T288" s="2" t="inlineStr">
        <x:is>
          <x:t xml:space="preserve">Yes</x:t>
        </x:is>
      </x:c>
      <x:c r="U288" s="2" t="inlineStr">
        <x:is>
          <x:t xml:space="preserve">Delivered</x:t>
        </x:is>
      </x:c>
    </x:row>
    <x:row r="289">
      <x:c r="A289" s="6" t="inlineStr">
        <x:is>
          <x:t xml:space="preserve">PO-2025-0288</x:t>
        </x:is>
      </x:c>
      <x:c r="B289" s="6" t="inlineStr">
        <x:is>
          <x:t xml:space="preserve">28/10/2025</x:t>
        </x:is>
      </x:c>
      <x:c r="C289" s="6" t="inlineStr">
        <x:is>
          <x:t xml:space="preserve">October</x:t>
        </x:is>
      </x:c>
      <x:c r="D289" s="6" t="inlineStr">
        <x:is>
          <x:t xml:space="preserve">Rocky View Industrial Logistics Hub</x:t>
        </x:is>
      </x:c>
      <x:c r="E289" s="6" t="inlineStr">
        <x:is>
          <x:t xml:space="preserve">Calgary SW</x:t>
        </x:is>
      </x:c>
      <x:c r="F289" s="6" t="inlineStr">
        <x:is>
          <x:t xml:space="preserve">Liam Kowalski</x:t>
        </x:is>
      </x:c>
      <x:c r="G289" s="6" t="inlineStr">
        <x:is>
          <x:t xml:space="preserve">Concrete &amp; Structural</x:t>
        </x:is>
      </x:c>
      <x:c r="H289" s="6" t="inlineStr">
        <x:is>
          <x:t xml:space="preserve">Structural Formwork</x:t>
        </x:is>
      </x:c>
      <x:c r="I289" s="6" t="inlineStr">
        <x:is>
          <x:t xml:space="preserve">Lafarge Canada - Calgary</x:t>
        </x:is>
      </x:c>
      <x:c r="J289" s="6" t="inlineStr">
        <x:is>
          <x:t xml:space="preserve">Tender – Open</x:t>
        </x:is>
      </x:c>
      <x:c r="K289" s="7" t="n">
        <x:v>38</x:v>
      </x:c>
      <x:c r="L289" s="6" t="inlineStr">
        <x:is>
          <x:t xml:space="preserve">m³</x:t>
        </x:is>
      </x:c>
      <x:c r="M289" s="8" t="n">
        <x:v>344.26</x:v>
      </x:c>
      <x:c r="N289" s="8" t="n">
        <x:v>401.58</x:v>
      </x:c>
      <x:c r="O289" s="8" t="n">
        <x:v>13081.88</x:v>
      </x:c>
      <x:c r="P289" s="8" t="n">
        <x:v>15260.04</x:v>
      </x:c>
      <x:c r="Q289" s="8" t="n">
        <x:v>-2178.16</x:v>
      </x:c>
      <x:c r="R289" s="9" t="n">
        <x:v>-14.3</x:v>
      </x:c>
      <x:c r="S289" s="7" t="n">
        <x:v>55</x:v>
      </x:c>
      <x:c r="T289" s="6" t="inlineStr">
        <x:is>
          <x:t xml:space="preserve">Yes</x:t>
        </x:is>
      </x:c>
      <x:c r="U289" s="6" t="inlineStr">
        <x:is>
          <x:t xml:space="preserve">Pending</x:t>
        </x:is>
      </x:c>
    </x:row>
    <x:row r="290">
      <x:c r="A290" s="2" t="inlineStr">
        <x:is>
          <x:t xml:space="preserve">PO-2025-0289</x:t>
        </x:is>
      </x:c>
      <x:c r="B290" s="2" t="inlineStr">
        <x:is>
          <x:t xml:space="preserve">01/08/2025</x:t>
        </x:is>
      </x:c>
      <x:c r="C290" s="2" t="inlineStr">
        <x:is>
          <x:t xml:space="preserve">August</x:t>
        </x:is>
      </x:c>
      <x:c r="D290" s="2" t="inlineStr">
        <x:is>
          <x:t xml:space="preserve">Calgary SE Ring Road Extension</x:t>
        </x:is>
      </x:c>
      <x:c r="E290" s="2" t="inlineStr">
        <x:is>
          <x:t xml:space="preserve">Rocky View County</x:t>
        </x:is>
      </x:c>
      <x:c r="F290" s="2" t="inlineStr">
        <x:is>
          <x:t xml:space="preserve">Aisha Nkosi</x:t>
        </x:is>
      </x:c>
      <x:c r="G290" s="2" t="inlineStr">
        <x:is>
          <x:t xml:space="preserve">MEP - Mechanical</x:t>
        </x:is>
      </x:c>
      <x:c r="H290" s="2" t="inlineStr">
        <x:is>
          <x:t xml:space="preserve">Heat Pump Assembly</x:t>
        </x:is>
      </x:c>
      <x:c r="I290" s="2" t="inlineStr">
        <x:is>
          <x:t xml:space="preserve">PCL Mechanical</x:t>
        </x:is>
      </x:c>
      <x:c r="J290" s="2" t="inlineStr">
        <x:is>
          <x:t xml:space="preserve">3-Quote Comparison</x:t>
        </x:is>
      </x:c>
      <x:c r="K290" s="3" t="n">
        <x:v>100</x:v>
      </x:c>
      <x:c r="L290" s="2" t="inlineStr">
        <x:is>
          <x:t xml:space="preserve">lot</x:t>
        </x:is>
      </x:c>
      <x:c r="M290" s="4" t="n">
        <x:v>51739.16</x:v>
      </x:c>
      <x:c r="N290" s="4" t="n">
        <x:v>45495.57</x:v>
      </x:c>
      <x:c r="O290" s="4" t="n">
        <x:v>5173916</x:v>
      </x:c>
      <x:c r="P290" s="4" t="n">
        <x:v>4549557</x:v>
      </x:c>
      <x:c r="Q290" s="4" t="n">
        <x:v>624359</x:v>
      </x:c>
      <x:c r="R290" s="5" t="n">
        <x:v>13.7</x:v>
      </x:c>
      <x:c r="S290" s="3" t="n">
        <x:v>56</x:v>
      </x:c>
      <x:c r="T290" s="2" t="inlineStr">
        <x:is>
          <x:t xml:space="preserve">No</x:t>
        </x:is>
      </x:c>
      <x:c r="U290" s="2" t="inlineStr">
        <x:is>
          <x:t xml:space="preserve">Delivered</x:t>
        </x:is>
      </x:c>
    </x:row>
    <x:row r="291">
      <x:c r="A291" s="6" t="inlineStr">
        <x:is>
          <x:t xml:space="preserve">PO-2025-0290</x:t>
        </x:is>
      </x:c>
      <x:c r="B291" s="6" t="inlineStr">
        <x:is>
          <x:t xml:space="preserve">24/07/2025</x:t>
        </x:is>
      </x:c>
      <x:c r="C291" s="6" t="inlineStr">
        <x:is>
          <x:t xml:space="preserve">July</x:t>
        </x:is>
      </x:c>
      <x:c r="D291" s="6" t="inlineStr">
        <x:is>
          <x:t xml:space="preserve">Springbank Off-Stream Reservoir</x:t>
        </x:is>
      </x:c>
      <x:c r="E291" s="6" t="inlineStr">
        <x:is>
          <x:t xml:space="preserve">Calgary SE</x:t>
        </x:is>
      </x:c>
      <x:c r="F291" s="6" t="inlineStr">
        <x:is>
          <x:t xml:space="preserve">Liam Kowalski</x:t>
        </x:is>
      </x:c>
      <x:c r="G291" s="6" t="inlineStr">
        <x:is>
          <x:t xml:space="preserve">MEP - Electrical</x:t>
        </x:is>
      </x:c>
      <x:c r="H291" s="6" t="inlineStr">
        <x:is>
          <x:t xml:space="preserve">MV Distribution Cable</x:t>
        </x:is>
      </x:c>
      <x:c r="I291" s="6" t="inlineStr">
        <x:is>
          <x:t xml:space="preserve">Flint Energy Services</x:t>
        </x:is>
      </x:c>
      <x:c r="J291" s="6" t="inlineStr">
        <x:is>
          <x:t xml:space="preserve">Tender – Open</x:t>
        </x:is>
      </x:c>
      <x:c r="K291" s="7" t="n">
        <x:v>102</x:v>
      </x:c>
      <x:c r="L291" s="6" t="inlineStr">
        <x:is>
          <x:t xml:space="preserve">lot</x:t>
        </x:is>
      </x:c>
      <x:c r="M291" s="8" t="n">
        <x:v>53512.11</x:v>
      </x:c>
      <x:c r="N291" s="8" t="n">
        <x:v>53700.94</x:v>
      </x:c>
      <x:c r="O291" s="8" t="n">
        <x:v>5458235.22</x:v>
      </x:c>
      <x:c r="P291" s="8" t="n">
        <x:v>5477495.88</x:v>
      </x:c>
      <x:c r="Q291" s="8" t="n">
        <x:v>-19260.66</x:v>
      </x:c>
      <x:c r="R291" s="9" t="n">
        <x:v>-0.4</x:v>
      </x:c>
      <x:c r="S291" s="7" t="n">
        <x:v>38</x:v>
      </x:c>
      <x:c r="T291" s="6" t="inlineStr">
        <x:is>
          <x:t xml:space="preserve">Yes</x:t>
        </x:is>
      </x:c>
      <x:c r="U291" s="6" t="inlineStr">
        <x:is>
          <x:t xml:space="preserve">Delivered</x:t>
        </x:is>
      </x:c>
    </x:row>
    <x:row r="292">
      <x:c r="A292" s="2" t="inlineStr">
        <x:is>
          <x:t xml:space="preserve">PO-2025-0291</x:t>
        </x:is>
      </x:c>
      <x:c r="B292" s="2" t="inlineStr">
        <x:is>
          <x:t xml:space="preserve">01/06/2025</x:t>
        </x:is>
      </x:c>
      <x:c r="C292" s="2" t="inlineStr">
        <x:is>
          <x:t xml:space="preserve">June</x:t>
        </x:is>
      </x:c>
      <x:c r="D292" s="2" t="inlineStr">
        <x:is>
          <x:t xml:space="preserve">Quarry Park Mixed-Use Development</x:t>
        </x:is>
      </x:c>
      <x:c r="E292" s="2" t="inlineStr">
        <x:is>
          <x:t xml:space="preserve">Calgary SW</x:t>
        </x:is>
      </x:c>
      <x:c r="F292" s="2" t="inlineStr">
        <x:is>
          <x:t xml:space="preserve">Aisha Nkosi</x:t>
        </x:is>
      </x:c>
      <x:c r="G292" s="2" t="inlineStr">
        <x:is>
          <x:t xml:space="preserve">Concrete &amp; Structural</x:t>
        </x:is>
      </x:c>
      <x:c r="H292" s="2" t="inlineStr">
        <x:is>
          <x:t xml:space="preserve">Precast Deck Panels</x:t>
        </x:is>
      </x:c>
      <x:c r="I292" s="2" t="inlineStr">
        <x:is>
          <x:t xml:space="preserve">Lafarge Canada - Calgary</x:t>
        </x:is>
      </x:c>
      <x:c r="J292" s="2" t="inlineStr">
        <x:is>
          <x:t xml:space="preserve">Emergency Procurement</x:t>
        </x:is>
      </x:c>
      <x:c r="K292" s="3" t="n">
        <x:v>113</x:v>
      </x:c>
      <x:c r="L292" s="2" t="inlineStr">
        <x:is>
          <x:t xml:space="preserve">m³</x:t>
        </x:is>
      </x:c>
      <x:c r="M292" s="4" t="n">
        <x:v>219.19</x:v>
      </x:c>
      <x:c r="N292" s="4" t="n">
        <x:v>190.88</x:v>
      </x:c>
      <x:c r="O292" s="4" t="n">
        <x:v>24768.47</x:v>
      </x:c>
      <x:c r="P292" s="4" t="n">
        <x:v>21569.44</x:v>
      </x:c>
      <x:c r="Q292" s="4" t="n">
        <x:v>3199.03</x:v>
      </x:c>
      <x:c r="R292" s="5" t="n">
        <x:v>14.8</x:v>
      </x:c>
      <x:c r="S292" s="3" t="n">
        <x:v>4</x:v>
      </x:c>
      <x:c r="T292" s="2" t="inlineStr">
        <x:is>
          <x:t xml:space="preserve">Yes</x:t>
        </x:is>
      </x:c>
      <x:c r="U292" s="2" t="inlineStr">
        <x:is>
          <x:t xml:space="preserve">Pending</x:t>
        </x:is>
      </x:c>
    </x:row>
    <x:row r="293">
      <x:c r="A293" s="6" t="inlineStr">
        <x:is>
          <x:t xml:space="preserve">PO-2025-0292</x:t>
        </x:is>
      </x:c>
      <x:c r="B293" s="6" t="inlineStr">
        <x:is>
          <x:t xml:space="preserve">25/03/2025</x:t>
        </x:is>
      </x:c>
      <x:c r="C293" s="6" t="inlineStr">
        <x:is>
          <x:t xml:space="preserve">March</x:t>
        </x:is>
      </x:c>
      <x:c r="D293" s="6" t="inlineStr">
        <x:is>
          <x:t xml:space="preserve">Bow River Crossing Overpass</x:t>
        </x:is>
      </x:c>
      <x:c r="E293" s="6" t="inlineStr">
        <x:is>
          <x:t xml:space="preserve">Rocky View County</x:t>
        </x:is>
      </x:c>
      <x:c r="F293" s="6" t="inlineStr">
        <x:is>
          <x:t xml:space="preserve">Priya Sharma</x:t>
        </x:is>
      </x:c>
      <x:c r="G293" s="6" t="inlineStr">
        <x:is>
          <x:t xml:space="preserve">Concrete &amp; Structural</x:t>
        </x:is>
      </x:c>
      <x:c r="H293" s="6" t="inlineStr">
        <x:is>
          <x:t xml:space="preserve">Structural Formwork</x:t>
        </x:is>
      </x:c>
      <x:c r="I293" s="6" t="inlineStr">
        <x:is>
          <x:t xml:space="preserve">Evraz Steel Calgary</x:t>
        </x:is>
      </x:c>
      <x:c r="J293" s="6" t="inlineStr">
        <x:is>
          <x:t xml:space="preserve">Tender – Open</x:t>
        </x:is>
      </x:c>
      <x:c r="K293" s="7" t="n">
        <x:v>35</x:v>
      </x:c>
      <x:c r="L293" s="6" t="inlineStr">
        <x:is>
          <x:t xml:space="preserve">m³</x:t>
        </x:is>
      </x:c>
      <x:c r="M293" s="8" t="n">
        <x:v>391.5</x:v>
      </x:c>
      <x:c r="N293" s="8" t="n">
        <x:v>411.54</x:v>
      </x:c>
      <x:c r="O293" s="8" t="n">
        <x:v>13702.5</x:v>
      </x:c>
      <x:c r="P293" s="8" t="n">
        <x:v>14403.9</x:v>
      </x:c>
      <x:c r="Q293" s="8" t="n">
        <x:v>-701.4</x:v>
      </x:c>
      <x:c r="R293" s="9" t="n">
        <x:v>-4.9</x:v>
      </x:c>
      <x:c r="S293" s="7" t="n">
        <x:v>22</x:v>
      </x:c>
      <x:c r="T293" s="6" t="inlineStr">
        <x:is>
          <x:t xml:space="preserve">Yes</x:t>
        </x:is>
      </x:c>
      <x:c r="U293" s="6" t="inlineStr">
        <x:is>
          <x:t xml:space="preserve">Partially Delivered</x:t>
        </x:is>
      </x:c>
    </x:row>
    <x:row r="294">
      <x:c r="A294" s="2" t="inlineStr">
        <x:is>
          <x:t xml:space="preserve">PO-2025-0293</x:t>
        </x:is>
      </x:c>
      <x:c r="B294" s="2" t="inlineStr">
        <x:is>
          <x:t xml:space="preserve">01/10/2025</x:t>
        </x:is>
      </x:c>
      <x:c r="C294" s="2" t="inlineStr">
        <x:is>
          <x:t xml:space="preserve">October</x:t>
        </x:is>
      </x:c>
      <x:c r="D294" s="2" t="inlineStr">
        <x:is>
          <x:t xml:space="preserve">Springbank Off-Stream Reservoir</x:t>
        </x:is>
      </x:c>
      <x:c r="E294" s="2" t="inlineStr">
        <x:is>
          <x:t xml:space="preserve">Calgary NE</x:t>
        </x:is>
      </x:c>
      <x:c r="F294" s="2" t="inlineStr">
        <x:is>
          <x:t xml:space="preserve">Aisha Nkosi</x:t>
        </x:is>
      </x:c>
      <x:c r="G294" s="2" t="inlineStr">
        <x:is>
          <x:t xml:space="preserve">Finishing</x:t>
        </x:is>
      </x:c>
      <x:c r="H294" s="2" t="inlineStr">
        <x:is>
          <x:t xml:space="preserve">Waterproofing Membrane</x:t>
        </x:is>
      </x:c>
      <x:c r="I294" s="2" t="inlineStr">
        <x:is>
          <x:t xml:space="preserve">Centura Tile Calgary</x:t>
        </x:is>
      </x:c>
      <x:c r="J294" s="2" t="inlineStr">
        <x:is>
          <x:t xml:space="preserve">3-Quote Comparison</x:t>
        </x:is>
      </x:c>
      <x:c r="K294" s="3" t="n">
        <x:v>75</x:v>
      </x:c>
      <x:c r="L294" s="2" t="inlineStr">
        <x:is>
          <x:t xml:space="preserve">m²</x:t>
        </x:is>
      </x:c>
      <x:c r="M294" s="4" t="n">
        <x:v>210.15</x:v>
      </x:c>
      <x:c r="N294" s="4" t="n">
        <x:v>193.88</x:v>
      </x:c>
      <x:c r="O294" s="4" t="n">
        <x:v>15761.25</x:v>
      </x:c>
      <x:c r="P294" s="4" t="n">
        <x:v>14541</x:v>
      </x:c>
      <x:c r="Q294" s="4" t="n">
        <x:v>1220.25</x:v>
      </x:c>
      <x:c r="R294" s="5" t="n">
        <x:v>8.4</x:v>
      </x:c>
      <x:c r="S294" s="3" t="n">
        <x:v>76</x:v>
      </x:c>
      <x:c r="T294" s="2" t="inlineStr">
        <x:is>
          <x:t xml:space="preserve">No</x:t>
        </x:is>
      </x:c>
      <x:c r="U294" s="2" t="inlineStr">
        <x:is>
          <x:t xml:space="preserve">Partially Delivered</x:t>
        </x:is>
      </x:c>
    </x:row>
    <x:row r="295">
      <x:c r="A295" s="6" t="inlineStr">
        <x:is>
          <x:t xml:space="preserve">PO-2025-0294</x:t>
        </x:is>
      </x:c>
      <x:c r="B295" s="6" t="inlineStr">
        <x:is>
          <x:t xml:space="preserve">27/02/2025</x:t>
        </x:is>
      </x:c>
      <x:c r="C295" s="6" t="inlineStr">
        <x:is>
          <x:t xml:space="preserve">February</x:t>
        </x:is>
      </x:c>
      <x:c r="D295" s="6" t="inlineStr">
        <x:is>
          <x:t xml:space="preserve">Quarry Park Mixed-Use Development</x:t>
        </x:is>
      </x:c>
      <x:c r="E295" s="6" t="inlineStr">
        <x:is>
          <x:t xml:space="preserve">Rocky View County</x:t>
        </x:is>
      </x:c>
      <x:c r="F295" s="6" t="inlineStr">
        <x:is>
          <x:t xml:space="preserve">Derek McLean</x:t>
        </x:is>
      </x:c>
      <x:c r="G295" s="6" t="inlineStr">
        <x:is>
          <x:t xml:space="preserve">Concrete &amp; Structural</x:t>
        </x:is>
      </x:c>
      <x:c r="H295" s="6" t="inlineStr">
        <x:is>
          <x:t xml:space="preserve">Rebar Steel</x:t>
        </x:is>
      </x:c>
      <x:c r="I295" s="6" t="inlineStr">
        <x:is>
          <x:t xml:space="preserve">Inland Concrete</x:t>
        </x:is>
      </x:c>
      <x:c r="J295" s="6" t="inlineStr">
        <x:is>
          <x:t xml:space="preserve">Tender – Open</x:t>
        </x:is>
      </x:c>
      <x:c r="K295" s="7" t="n">
        <x:v>53</x:v>
      </x:c>
      <x:c r="L295" s="6" t="inlineStr">
        <x:is>
          <x:t xml:space="preserve">m³</x:t>
        </x:is>
      </x:c>
      <x:c r="M295" s="8" t="n">
        <x:v>661.47</x:v>
      </x:c>
      <x:c r="N295" s="8" t="n">
        <x:v>747.16</x:v>
      </x:c>
      <x:c r="O295" s="8" t="n">
        <x:v>35057.91</x:v>
      </x:c>
      <x:c r="P295" s="8" t="n">
        <x:v>39599.48</x:v>
      </x:c>
      <x:c r="Q295" s="8" t="n">
        <x:v>-4541.57</x:v>
      </x:c>
      <x:c r="R295" s="9" t="n">
        <x:v>-11.5</x:v>
      </x:c>
      <x:c r="S295" s="7" t="n">
        <x:v>11</x:v>
      </x:c>
      <x:c r="T295" s="6" t="inlineStr">
        <x:is>
          <x:t xml:space="preserve">Yes</x:t>
        </x:is>
      </x:c>
      <x:c r="U295" s="6" t="inlineStr">
        <x:is>
          <x:t xml:space="preserve">Cancelled</x:t>
        </x:is>
      </x:c>
    </x:row>
    <x:row r="296">
      <x:c r="A296" s="2" t="inlineStr">
        <x:is>
          <x:t xml:space="preserve">PO-2025-0295</x:t>
        </x:is>
      </x:c>
      <x:c r="B296" s="2" t="inlineStr">
        <x:is>
          <x:t xml:space="preserve">28/09/2025</x:t>
        </x:is>
      </x:c>
      <x:c r="C296" s="2" t="inlineStr">
        <x:is>
          <x:t xml:space="preserve">September</x:t>
        </x:is>
      </x:c>
      <x:c r="D296" s="2" t="inlineStr">
        <x:is>
          <x:t xml:space="preserve">Calgary SE Ring Road Extension</x:t>
        </x:is>
      </x:c>
      <x:c r="E296" s="2" t="inlineStr">
        <x:is>
          <x:t xml:space="preserve">Calgary NE</x:t>
        </x:is>
      </x:c>
      <x:c r="F296" s="2" t="inlineStr">
        <x:is>
          <x:t xml:space="preserve">Linda Tran</x:t>
        </x:is>
      </x:c>
      <x:c r="G296" s="2" t="inlineStr">
        <x:is>
          <x:t xml:space="preserve">Civil Works</x:t>
        </x:is>
      </x:c>
      <x:c r="H296" s="2" t="inlineStr">
        <x:is>
          <x:t xml:space="preserve">Curb &amp; Gutter Concrete</x:t>
        </x:is>
      </x:c>
      <x:c r="I296" s="2" t="inlineStr">
        <x:is>
          <x:t xml:space="preserve">Graham Construction</x:t>
        </x:is>
      </x:c>
      <x:c r="J296" s="2" t="inlineStr">
        <x:is>
          <x:t xml:space="preserve">3-Quote Comparison</x:t>
        </x:is>
      </x:c>
      <x:c r="K296" s="3" t="n">
        <x:v>114</x:v>
      </x:c>
      <x:c r="L296" s="2" t="inlineStr">
        <x:is>
          <x:t xml:space="preserve">m³</x:t>
        </x:is>
      </x:c>
      <x:c r="M296" s="4" t="n">
        <x:v>81.61</x:v>
      </x:c>
      <x:c r="N296" s="4" t="n">
        <x:v>82.02</x:v>
      </x:c>
      <x:c r="O296" s="4" t="n">
        <x:v>9303.540000000001</x:v>
      </x:c>
      <x:c r="P296" s="4" t="n">
        <x:v>9350.280000000001</x:v>
      </x:c>
      <x:c r="Q296" s="4" t="n">
        <x:v>-46.74</x:v>
      </x:c>
      <x:c r="R296" s="5" t="n">
        <x:v>-0.5</x:v>
      </x:c>
      <x:c r="S296" s="3" t="n">
        <x:v>63</x:v>
      </x:c>
      <x:c r="T296" s="2" t="inlineStr">
        <x:is>
          <x:t xml:space="preserve">No</x:t>
        </x:is>
      </x:c>
      <x:c r="U296" s="2" t="inlineStr">
        <x:is>
          <x:t xml:space="preserve">Partially Delivered</x:t>
        </x:is>
      </x:c>
    </x:row>
    <x:row r="297">
      <x:c r="A297" s="6" t="inlineStr">
        <x:is>
          <x:t xml:space="preserve">PO-2025-0296</x:t>
        </x:is>
      </x:c>
      <x:c r="B297" s="6" t="inlineStr">
        <x:is>
          <x:t xml:space="preserve">06/03/2025</x:t>
        </x:is>
      </x:c>
      <x:c r="C297" s="6" t="inlineStr">
        <x:is>
          <x:t xml:space="preserve">March</x:t>
        </x:is>
      </x:c>
      <x:c r="D297" s="6" t="inlineStr">
        <x:is>
          <x:t xml:space="preserve">Quarry Park Mixed-Use Development</x:t>
        </x:is>
      </x:c>
      <x:c r="E297" s="6" t="inlineStr">
        <x:is>
          <x:t xml:space="preserve">Calgary NE</x:t>
        </x:is>
      </x:c>
      <x:c r="F297" s="6" t="inlineStr">
        <x:is>
          <x:t xml:space="preserve">Derek McLean</x:t>
        </x:is>
      </x:c>
      <x:c r="G297" s="6" t="inlineStr">
        <x:is>
          <x:t xml:space="preserve">MEP - Mechanical</x:t>
        </x:is>
      </x:c>
      <x:c r="H297" s="6" t="inlineStr">
        <x:is>
          <x:t xml:space="preserve">Air Handling Unit</x:t>
        </x:is>
      </x:c>
      <x:c r="I297" s="6" t="inlineStr">
        <x:is>
          <x:t xml:space="preserve">Stantec MEP</x:t>
        </x:is>
      </x:c>
      <x:c r="J297" s="6" t="inlineStr">
        <x:is>
          <x:t xml:space="preserve">Emergency Procurement</x:t>
        </x:is>
      </x:c>
      <x:c r="K297" s="7" t="n">
        <x:v>56</x:v>
      </x:c>
      <x:c r="L297" s="6" t="inlineStr">
        <x:is>
          <x:t xml:space="preserve">lot</x:t>
        </x:is>
      </x:c>
      <x:c r="M297" s="8" t="n">
        <x:v>49232.68</x:v>
      </x:c>
      <x:c r="N297" s="8" t="n">
        <x:v>44830.96</x:v>
      </x:c>
      <x:c r="O297" s="8" t="n">
        <x:v>2757030.08</x:v>
      </x:c>
      <x:c r="P297" s="8" t="n">
        <x:v>2510533.76</x:v>
      </x:c>
      <x:c r="Q297" s="8" t="n">
        <x:v>246496.32</x:v>
      </x:c>
      <x:c r="R297" s="9" t="n">
        <x:v>9.800000000000001</x:v>
      </x:c>
      <x:c r="S297" s="7" t="n">
        <x:v>43</x:v>
      </x:c>
      <x:c r="T297" s="6" t="inlineStr">
        <x:is>
          <x:t xml:space="preserve">Yes</x:t>
        </x:is>
      </x:c>
      <x:c r="U297" s="6" t="inlineStr">
        <x:is>
          <x:t xml:space="preserve">Cancelled</x:t>
        </x:is>
      </x:c>
    </x:row>
    <x:row r="298">
      <x:c r="A298" s="2" t="inlineStr">
        <x:is>
          <x:t xml:space="preserve">PO-2025-0297</x:t>
        </x:is>
      </x:c>
      <x:c r="B298" s="2" t="inlineStr">
        <x:is>
          <x:t xml:space="preserve">29/09/2025</x:t>
        </x:is>
      </x:c>
      <x:c r="C298" s="2" t="inlineStr">
        <x:is>
          <x:t xml:space="preserve">September</x:t>
        </x:is>
      </x:c>
      <x:c r="D298" s="2" t="inlineStr">
        <x:is>
          <x:t xml:space="preserve">Foothills Medical Centre Expansion</x:t>
        </x:is>
      </x:c>
      <x:c r="E298" s="2" t="inlineStr">
        <x:is>
          <x:t xml:space="preserve">Calgary SW</x:t>
        </x:is>
      </x:c>
      <x:c r="F298" s="2" t="inlineStr">
        <x:is>
          <x:t xml:space="preserve">Linda Tran</x:t>
        </x:is>
      </x:c>
      <x:c r="G298" s="2" t="inlineStr">
        <x:is>
          <x:t xml:space="preserve">MEP - Mechanical</x:t>
        </x:is>
      </x:c>
      <x:c r="H298" s="2" t="inlineStr">
        <x:is>
          <x:t xml:space="preserve">Heat Pump Assembly</x:t>
        </x:is>
      </x:c>
      <x:c r="I298" s="2" t="inlineStr">
        <x:is>
          <x:t xml:space="preserve">Stantec MEP</x:t>
        </x:is>
      </x:c>
      <x:c r="J298" s="2" t="inlineStr">
        <x:is>
          <x:t xml:space="preserve">Tender – Open</x:t>
        </x:is>
      </x:c>
      <x:c r="K298" s="3" t="n">
        <x:v>3</x:v>
      </x:c>
      <x:c r="L298" s="2" t="inlineStr">
        <x:is>
          <x:t xml:space="preserve">lot</x:t>
        </x:is>
      </x:c>
      <x:c r="M298" s="4" t="n">
        <x:v>34392.51</x:v>
      </x:c>
      <x:c r="N298" s="4" t="n">
        <x:v>31270.21</x:v>
      </x:c>
      <x:c r="O298" s="4" t="n">
        <x:v>103177.53</x:v>
      </x:c>
      <x:c r="P298" s="4" t="n">
        <x:v>93810.63</x:v>
      </x:c>
      <x:c r="Q298" s="4" t="n">
        <x:v>9366.9</x:v>
      </x:c>
      <x:c r="R298" s="5" t="n">
        <x:v>10</x:v>
      </x:c>
      <x:c r="S298" s="3" t="n">
        <x:v>30</x:v>
      </x:c>
      <x:c r="T298" s="2" t="inlineStr">
        <x:is>
          <x:t xml:space="preserve">Yes</x:t>
        </x:is>
      </x:c>
      <x:c r="U298" s="2" t="inlineStr">
        <x:is>
          <x:t xml:space="preserve">Delivered</x:t>
        </x:is>
      </x:c>
    </x:row>
    <x:row r="299">
      <x:c r="A299" s="6" t="inlineStr">
        <x:is>
          <x:t xml:space="preserve">PO-2025-0298</x:t>
        </x:is>
      </x:c>
      <x:c r="B299" s="6" t="inlineStr">
        <x:is>
          <x:t xml:space="preserve">02/05/2025</x:t>
        </x:is>
      </x:c>
      <x:c r="C299" s="6" t="inlineStr">
        <x:is>
          <x:t xml:space="preserve">May</x:t>
        </x:is>
      </x:c>
      <x:c r="D299" s="6" t="inlineStr">
        <x:is>
          <x:t xml:space="preserve">Calgary SE Ring Road Extension</x:t>
        </x:is>
      </x:c>
      <x:c r="E299" s="6" t="inlineStr">
        <x:is>
          <x:t xml:space="preserve">Calgary SW</x:t>
        </x:is>
      </x:c>
      <x:c r="F299" s="6" t="inlineStr">
        <x:is>
          <x:t xml:space="preserve">Priya Sharma</x:t>
        </x:is>
      </x:c>
      <x:c r="G299" s="6" t="inlineStr">
        <x:is>
          <x:t xml:space="preserve">Concrete &amp; Structural</x:t>
        </x:is>
      </x:c>
      <x:c r="H299" s="6" t="inlineStr">
        <x:is>
          <x:t xml:space="preserve">Ready-Mix Concrete</x:t>
        </x:is>
      </x:c>
      <x:c r="I299" s="6" t="inlineStr">
        <x:is>
          <x:t xml:space="preserve">Alberta Precast</x:t>
        </x:is>
      </x:c>
      <x:c r="J299" s="6" t="inlineStr">
        <x:is>
          <x:t xml:space="preserve">Standing Offer Agreement</x:t>
        </x:is>
      </x:c>
      <x:c r="K299" s="7" t="n">
        <x:v>117</x:v>
      </x:c>
      <x:c r="L299" s="6" t="inlineStr">
        <x:is>
          <x:t xml:space="preserve">m³</x:t>
        </x:is>
      </x:c>
      <x:c r="M299" s="8" t="n">
        <x:v>664.42</x:v>
      </x:c>
      <x:c r="N299" s="8" t="n">
        <x:v>752.33</x:v>
      </x:c>
      <x:c r="O299" s="8" t="n">
        <x:v>77737.14</x:v>
      </x:c>
      <x:c r="P299" s="8" t="n">
        <x:v>88022.61</x:v>
      </x:c>
      <x:c r="Q299" s="8" t="n">
        <x:v>-10285.47</x:v>
      </x:c>
      <x:c r="R299" s="9" t="n">
        <x:v>-11.7</x:v>
      </x:c>
      <x:c r="S299" s="7" t="n">
        <x:v>64</x:v>
      </x:c>
      <x:c r="T299" s="6" t="inlineStr">
        <x:is>
          <x:t xml:space="preserve">No</x:t>
        </x:is>
      </x:c>
      <x:c r="U299" s="6" t="inlineStr">
        <x:is>
          <x:t xml:space="preserve">Delivered</x:t>
        </x:is>
      </x:c>
    </x:row>
    <x:row r="300">
      <x:c r="A300" s="2" t="inlineStr">
        <x:is>
          <x:t xml:space="preserve">PO-2025-0299</x:t>
        </x:is>
      </x:c>
      <x:c r="B300" s="2" t="inlineStr">
        <x:is>
          <x:t xml:space="preserve">18/09/2025</x:t>
        </x:is>
      </x:c>
      <x:c r="C300" s="2" t="inlineStr">
        <x:is>
          <x:t xml:space="preserve">September</x:t>
        </x:is>
      </x:c>
      <x:c r="D300" s="2" t="inlineStr">
        <x:is>
          <x:t xml:space="preserve">Quarry Park Mixed-Use Development</x:t>
        </x:is>
      </x:c>
      <x:c r="E300" s="2" t="inlineStr">
        <x:is>
          <x:t xml:space="preserve">Calgary SE</x:t>
        </x:is>
      </x:c>
      <x:c r="F300" s="2" t="inlineStr">
        <x:is>
          <x:t xml:space="preserve">Mohammed Siddiqui</x:t>
        </x:is>
      </x:c>
      <x:c r="G300" s="2" t="inlineStr">
        <x:is>
          <x:t xml:space="preserve">Safety &amp; Temp Works</x:t>
        </x:is>
      </x:c>
      <x:c r="H300" s="2" t="inlineStr">
        <x:is>
          <x:t xml:space="preserve">Scaffolding System</x:t>
        </x:is>
      </x:c>
      <x:c r="I300" s="2" t="inlineStr">
        <x:is>
          <x:t xml:space="preserve">Safway Alberta</x:t>
        </x:is>
      </x:c>
      <x:c r="J300" s="2" t="inlineStr">
        <x:is>
          <x:t xml:space="preserve">3-Quote Comparison</x:t>
        </x:is>
      </x:c>
      <x:c r="K300" s="3" t="n">
        <x:v>96</x:v>
      </x:c>
      <x:c r="L300" s="2" t="inlineStr">
        <x:is>
          <x:t xml:space="preserve">lot</x:t>
        </x:is>
      </x:c>
      <x:c r="M300" s="4" t="n">
        <x:v>4220.6</x:v>
      </x:c>
      <x:c r="N300" s="4" t="n">
        <x:v>5169.87</x:v>
      </x:c>
      <x:c r="O300" s="4" t="n">
        <x:v>405177.6</x:v>
      </x:c>
      <x:c r="P300" s="4" t="n">
        <x:v>496307.52</x:v>
      </x:c>
      <x:c r="Q300" s="4" t="n">
        <x:v>-91129.92</x:v>
      </x:c>
      <x:c r="R300" s="5" t="n">
        <x:v>-18.4</x:v>
      </x:c>
      <x:c r="S300" s="3" t="n">
        <x:v>8</x:v>
      </x:c>
      <x:c r="T300" s="2" t="inlineStr">
        <x:is>
          <x:t xml:space="preserve">Yes</x:t>
        </x:is>
      </x:c>
      <x:c r="U300" s="2" t="inlineStr">
        <x:is>
          <x:t xml:space="preserve">Partially Delivered</x:t>
        </x:is>
      </x:c>
    </x:row>
    <x:row r="301">
      <x:c r="A301" s="6" t="inlineStr">
        <x:is>
          <x:t xml:space="preserve">PO-2025-0300</x:t>
        </x:is>
      </x:c>
      <x:c r="B301" s="6" t="inlineStr">
        <x:is>
          <x:t xml:space="preserve">02/12/2025</x:t>
        </x:is>
      </x:c>
      <x:c r="C301" s="6" t="inlineStr">
        <x:is>
          <x:t xml:space="preserve">December</x:t>
        </x:is>
      </x:c>
      <x:c r="D301" s="6" t="inlineStr">
        <x:is>
          <x:t xml:space="preserve">Rocky View Industrial Logistics Hub</x:t>
        </x:is>
      </x:c>
      <x:c r="E301" s="6" t="inlineStr">
        <x:is>
          <x:t xml:space="preserve">Calgary NE</x:t>
        </x:is>
      </x:c>
      <x:c r="F301" s="6" t="inlineStr">
        <x:is>
          <x:t xml:space="preserve">Derek McLean</x:t>
        </x:is>
      </x:c>
      <x:c r="G301" s="6" t="inlineStr">
        <x:is>
          <x:t xml:space="preserve">Safety &amp; Temp Works</x:t>
        </x:is>
      </x:c>
      <x:c r="H301" s="6" t="inlineStr">
        <x:is>
          <x:t xml:space="preserve">Site Hoarding &amp; Fencing</x:t>
        </x:is>
      </x:c>
      <x:c r="I301" s="6" t="inlineStr">
        <x:is>
          <x:t xml:space="preserve">BrandSafway Canada</x:t>
        </x:is>
      </x:c>
      <x:c r="J301" s="6" t="inlineStr">
        <x:is>
          <x:t xml:space="preserve">LPO – Direct Award</x:t>
        </x:is>
      </x:c>
      <x:c r="K301" s="7" t="n">
        <x:v>97</x:v>
      </x:c>
      <x:c r="L301" s="6" t="inlineStr">
        <x:is>
          <x:t xml:space="preserve">lot</x:t>
        </x:is>
      </x:c>
      <x:c r="M301" s="8" t="n">
        <x:v>10677.2</x:v>
      </x:c>
      <x:c r="N301" s="8" t="n">
        <x:v>11162.06</x:v>
      </x:c>
      <x:c r="O301" s="8" t="n">
        <x:v>1035688.4</x:v>
      </x:c>
      <x:c r="P301" s="8" t="n">
        <x:v>1082719.82</x:v>
      </x:c>
      <x:c r="Q301" s="8" t="n">
        <x:v>-47031.42</x:v>
      </x:c>
      <x:c r="R301" s="9" t="n">
        <x:v>-4.3</x:v>
      </x:c>
      <x:c r="S301" s="7" t="n">
        <x:v>78</x:v>
      </x:c>
      <x:c r="T301" s="6" t="inlineStr">
        <x:is>
          <x:t xml:space="preserve">Yes</x:t>
        </x:is>
      </x:c>
      <x:c r="U301" s="6" t="inlineStr">
        <x:is>
          <x:t xml:space="preserve">Partially Delivered</x:t>
        </x:is>
      </x:c>
    </x:row>
    <x:row r="302">
      <x:c r="A302" s="2" t="inlineStr">
        <x:is>
          <x:t xml:space="preserve">PO-2025-0301</x:t>
        </x:is>
      </x:c>
      <x:c r="B302" s="2" t="inlineStr">
        <x:is>
          <x:t xml:space="preserve">13/04/2025</x:t>
        </x:is>
      </x:c>
      <x:c r="C302" s="2" t="inlineStr">
        <x:is>
          <x:t xml:space="preserve">April</x:t>
        </x:is>
      </x:c>
      <x:c r="D302" s="2" t="inlineStr">
        <x:is>
          <x:t xml:space="preserve">Rocky View Industrial Logistics Hub</x:t>
        </x:is>
      </x:c>
      <x:c r="E302" s="2" t="inlineStr">
        <x:is>
          <x:t xml:space="preserve">Rocky View County</x:t>
        </x:is>
      </x:c>
      <x:c r="F302" s="2" t="inlineStr">
        <x:is>
          <x:t xml:space="preserve">Derek McLean</x:t>
        </x:is>
      </x:c>
      <x:c r="G302" s="2" t="inlineStr">
        <x:is>
          <x:t xml:space="preserve">MEP - Electrical</x:t>
        </x:is>
      </x:c>
      <x:c r="H302" s="2" t="inlineStr">
        <x:is>
          <x:t xml:space="preserve">MV Distribution Cable</x:t>
        </x:is>
      </x:c>
      <x:c r="I302" s="2" t="inlineStr">
        <x:is>
          <x:t xml:space="preserve">Schneider Electric Canada</x:t>
        </x:is>
      </x:c>
      <x:c r="J302" s="2" t="inlineStr">
        <x:is>
          <x:t xml:space="preserve">Standing Offer Agreement</x:t>
        </x:is>
      </x:c>
      <x:c r="K302" s="3" t="n">
        <x:v>27</x:v>
      </x:c>
      <x:c r="L302" s="2" t="inlineStr">
        <x:is>
          <x:t xml:space="preserve">lot</x:t>
        </x:is>
      </x:c>
      <x:c r="M302" s="4" t="n">
        <x:v>43108.47</x:v>
      </x:c>
      <x:c r="N302" s="4" t="n">
        <x:v>39529.93</x:v>
      </x:c>
      <x:c r="O302" s="4" t="n">
        <x:v>1163928.69</x:v>
      </x:c>
      <x:c r="P302" s="4" t="n">
        <x:v>1067308.11</x:v>
      </x:c>
      <x:c r="Q302" s="4" t="n">
        <x:v>96620.58</x:v>
      </x:c>
      <x:c r="R302" s="5" t="n">
        <x:v>9.1</x:v>
      </x:c>
      <x:c r="S302" s="3" t="n">
        <x:v>60</x:v>
      </x:c>
      <x:c r="T302" s="2" t="inlineStr">
        <x:is>
          <x:t xml:space="preserve">Yes</x:t>
        </x:is>
      </x:c>
      <x:c r="U302" s="2" t="inlineStr">
        <x:is>
          <x:t xml:space="preserve">Pending</x:t>
        </x:is>
      </x:c>
    </x:row>
    <x:row r="303">
      <x:c r="A303" s="6" t="inlineStr">
        <x:is>
          <x:t xml:space="preserve">PO-2025-0302</x:t>
        </x:is>
      </x:c>
      <x:c r="B303" s="6" t="inlineStr">
        <x:is>
          <x:t xml:space="preserve">25/02/2025</x:t>
        </x:is>
      </x:c>
      <x:c r="C303" s="6" t="inlineStr">
        <x:is>
          <x:t xml:space="preserve">February</x:t>
        </x:is>
      </x:c>
      <x:c r="D303" s="6" t="inlineStr">
        <x:is>
          <x:t xml:space="preserve">Saddledome Arena Retrofit</x:t>
        </x:is>
      </x:c>
      <x:c r="E303" s="6" t="inlineStr">
        <x:is>
          <x:t xml:space="preserve">Calgary NE</x:t>
        </x:is>
      </x:c>
      <x:c r="F303" s="6" t="inlineStr">
        <x:is>
          <x:t xml:space="preserve">James Okafor</x:t>
        </x:is>
      </x:c>
      <x:c r="G303" s="6" t="inlineStr">
        <x:is>
          <x:t xml:space="preserve">Civil Works</x:t>
        </x:is>
      </x:c>
      <x:c r="H303" s="6" t="inlineStr">
        <x:is>
          <x:t xml:space="preserve">Granular Backfill</x:t>
        </x:is>
      </x:c>
      <x:c r="I303" s="6" t="inlineStr">
        <x:is>
          <x:t xml:space="preserve">Graham Construction</x:t>
        </x:is>
      </x:c>
      <x:c r="J303" s="6" t="inlineStr">
        <x:is>
          <x:t xml:space="preserve">3-Quote Comparison</x:t>
        </x:is>
      </x:c>
      <x:c r="K303" s="7" t="n">
        <x:v>105</x:v>
      </x:c>
      <x:c r="L303" s="6" t="inlineStr">
        <x:is>
          <x:t xml:space="preserve">m³</x:t>
        </x:is>
      </x:c>
      <x:c r="M303" s="8" t="n">
        <x:v>301.92</x:v>
      </x:c>
      <x:c r="N303" s="8" t="n">
        <x:v>339.41</x:v>
      </x:c>
      <x:c r="O303" s="8" t="n">
        <x:v>31701.6</x:v>
      </x:c>
      <x:c r="P303" s="8" t="n">
        <x:v>35638.05</x:v>
      </x:c>
      <x:c r="Q303" s="8" t="n">
        <x:v>-3936.45</x:v>
      </x:c>
      <x:c r="R303" s="9" t="n">
        <x:v>-11</x:v>
      </x:c>
      <x:c r="S303" s="11" t="n"/>
      <x:c r="T303" s="6" t="inlineStr">
        <x:is>
          <x:t xml:space="preserve">Yes</x:t>
        </x:is>
      </x:c>
      <x:c r="U303" s="6" t="inlineStr">
        <x:is>
          <x:t xml:space="preserve">Delivered</x:t>
        </x:is>
      </x:c>
    </x:row>
    <x:row r="304">
      <x:c r="A304" s="2" t="inlineStr">
        <x:is>
          <x:t xml:space="preserve">PO-2025-0303</x:t>
        </x:is>
      </x:c>
      <x:c r="B304" s="2" t="inlineStr">
        <x:is>
          <x:t xml:space="preserve">08/11/2025</x:t>
        </x:is>
      </x:c>
      <x:c r="C304" s="2" t="inlineStr">
        <x:is>
          <x:t xml:space="preserve">November</x:t>
        </x:is>
      </x:c>
      <x:c r="D304" s="2" t="inlineStr">
        <x:is>
          <x:t xml:space="preserve">Saddledome Arena Retrofit</x:t>
        </x:is>
      </x:c>
      <x:c r="E304" s="2" t="inlineStr">
        <x:is>
          <x:t xml:space="preserve">Calgary SE</x:t>
        </x:is>
      </x:c>
      <x:c r="F304" s="2" t="inlineStr">
        <x:is>
          <x:t xml:space="preserve">Priya Sharma</x:t>
        </x:is>
      </x:c>
      <x:c r="G304" s="2" t="inlineStr">
        <x:is>
          <x:t xml:space="preserve">Finishing</x:t>
        </x:is>
      </x:c>
      <x:c r="H304" s="2" t="inlineStr">
        <x:is>
          <x:t xml:space="preserve">Drywall &amp; Framing</x:t>
        </x:is>
      </x:c>
      <x:c r="I304" s="2" t="inlineStr">
        <x:is>
          <x:t xml:space="preserve">Tremco Roofing</x:t>
        </x:is>
      </x:c>
      <x:c r="J304" s="2" t="inlineStr">
        <x:is>
          <x:t xml:space="preserve">Tender – Open</x:t>
        </x:is>
      </x:c>
      <x:c r="K304" s="3" t="n">
        <x:v>45</x:v>
      </x:c>
      <x:c r="L304" s="2" t="inlineStr">
        <x:is>
          <x:t xml:space="preserve">m²</x:t>
        </x:is>
      </x:c>
      <x:c r="M304" s="4" t="n">
        <x:v>315.72</x:v>
      </x:c>
      <x:c r="N304" s="4" t="n">
        <x:v>351.19</x:v>
      </x:c>
      <x:c r="O304" s="4" t="n">
        <x:v>14207.4</x:v>
      </x:c>
      <x:c r="P304" s="4" t="n">
        <x:v>15803.55</x:v>
      </x:c>
      <x:c r="Q304" s="4" t="n">
        <x:v>-1596.15</x:v>
      </x:c>
      <x:c r="R304" s="5" t="n">
        <x:v>-10.1</x:v>
      </x:c>
      <x:c r="S304" s="3" t="n">
        <x:v>10</x:v>
      </x:c>
      <x:c r="T304" s="2" t="inlineStr">
        <x:is>
          <x:t xml:space="preserve">Yes</x:t>
        </x:is>
      </x:c>
      <x:c r="U304" s="2" t="inlineStr">
        <x:is>
          <x:t xml:space="preserve">Pending</x:t>
        </x:is>
      </x:c>
    </x:row>
    <x:row r="305">
      <x:c r="A305" s="6" t="inlineStr">
        <x:is>
          <x:t xml:space="preserve">PO-2025-0304</x:t>
        </x:is>
      </x:c>
      <x:c r="B305" s="6" t="inlineStr">
        <x:is>
          <x:t xml:space="preserve">27/01/2025</x:t>
        </x:is>
      </x:c>
      <x:c r="C305" s="6" t="inlineStr">
        <x:is>
          <x:t xml:space="preserve">January</x:t>
        </x:is>
      </x:c>
      <x:c r="D305" s="6" t="inlineStr">
        <x:is>
          <x:t xml:space="preserve">Stampede Park Infrastructure Upgrade</x:t>
        </x:is>
      </x:c>
      <x:c r="E305" s="6" t="inlineStr">
        <x:is>
          <x:t xml:space="preserve">Rocky View County</x:t>
        </x:is>
      </x:c>
      <x:c r="F305" s="6" t="inlineStr">
        <x:is>
          <x:t xml:space="preserve">Liam Kowalski</x:t>
        </x:is>
      </x:c>
      <x:c r="G305" s="6" t="inlineStr">
        <x:is>
          <x:t xml:space="preserve">Concrete &amp; Structural</x:t>
        </x:is>
      </x:c>
      <x:c r="H305" s="6" t="inlineStr">
        <x:is>
          <x:t xml:space="preserve">Structural Formwork</x:t>
        </x:is>
      </x:c>
      <x:c r="I305" s="6" t="inlineStr">
        <x:is>
          <x:t xml:space="preserve">Evraz Steel Calgary</x:t>
        </x:is>
      </x:c>
      <x:c r="J305" s="6" t="inlineStr">
        <x:is>
          <x:t xml:space="preserve">Emergency Procurement</x:t>
        </x:is>
      </x:c>
      <x:c r="K305" s="7" t="n">
        <x:v>82</x:v>
      </x:c>
      <x:c r="L305" s="6" t="inlineStr">
        <x:is>
          <x:t xml:space="preserve">m³</x:t>
        </x:is>
      </x:c>
      <x:c r="M305" s="8" t="n">
        <x:v>498.74</x:v>
      </x:c>
      <x:c r="N305" s="8" t="n">
        <x:v>461.12</x:v>
      </x:c>
      <x:c r="O305" s="8" t="n">
        <x:v>40896.68</x:v>
      </x:c>
      <x:c r="P305" s="8" t="n">
        <x:v>37811.84</x:v>
      </x:c>
      <x:c r="Q305" s="8" t="n">
        <x:v>3084.84</x:v>
      </x:c>
      <x:c r="R305" s="9" t="n">
        <x:v>8.199999999999999</x:v>
      </x:c>
      <x:c r="S305" s="7" t="n">
        <x:v>82</x:v>
      </x:c>
      <x:c r="T305" s="6" t="inlineStr">
        <x:is>
          <x:t xml:space="preserve">Yes</x:t>
        </x:is>
      </x:c>
      <x:c r="U305" s="6" t="inlineStr">
        <x:is>
          <x:t xml:space="preserve">Delivered</x:t>
        </x:is>
      </x:c>
    </x:row>
    <x:row r="306">
      <x:c r="A306" s="2" t="inlineStr">
        <x:is>
          <x:t xml:space="preserve">PO-2025-0305</x:t>
        </x:is>
      </x:c>
      <x:c r="B306" s="2" t="inlineStr">
        <x:is>
          <x:t xml:space="preserve">03/01/2025</x:t>
        </x:is>
      </x:c>
      <x:c r="C306" s="2" t="inlineStr">
        <x:is>
          <x:t xml:space="preserve">January</x:t>
        </x:is>
      </x:c>
      <x:c r="D306" s="2" t="inlineStr">
        <x:is>
          <x:t xml:space="preserve">Rocky View Industrial Logistics Hub</x:t>
        </x:is>
      </x:c>
      <x:c r="E306" s="2" t="inlineStr">
        <x:is>
          <x:t xml:space="preserve">Rocky View County</x:t>
        </x:is>
      </x:c>
      <x:c r="F306" s="2" t="inlineStr">
        <x:is>
          <x:t xml:space="preserve">Liam Kowalski</x:t>
        </x:is>
      </x:c>
      <x:c r="G306" s="2" t="inlineStr">
        <x:is>
          <x:t xml:space="preserve">Civil Works</x:t>
        </x:is>
      </x:c>
      <x:c r="H306" s="2" t="inlineStr">
        <x:is>
          <x:t xml:space="preserve">Storm Drainage Pipe</x:t>
        </x:is>
      </x:c>
      <x:c r="I306" s="2" t="inlineStr">
        <x:is>
          <x:t xml:space="preserve">Graham Construction</x:t>
        </x:is>
      </x:c>
      <x:c r="J306" s="2" t="inlineStr">
        <x:is>
          <x:t xml:space="preserve">Emergency Procurement</x:t>
        </x:is>
      </x:c>
      <x:c r="K306" s="3" t="n">
        <x:v>60</x:v>
      </x:c>
      <x:c r="L306" s="2" t="inlineStr">
        <x:is>
          <x:t xml:space="preserve">m³</x:t>
        </x:is>
      </x:c>
      <x:c r="M306" s="4" t="n">
        <x:v>307.67</x:v>
      </x:c>
      <x:c r="N306" s="4" t="n">
        <x:v>369.85</x:v>
      </x:c>
      <x:c r="O306" s="4" t="n">
        <x:v>18460.2</x:v>
      </x:c>
      <x:c r="P306" s="4" t="n">
        <x:v>22191</x:v>
      </x:c>
      <x:c r="Q306" s="4" t="n">
        <x:v>-3730.8</x:v>
      </x:c>
      <x:c r="R306" s="5" t="n">
        <x:v>-16.8</x:v>
      </x:c>
      <x:c r="S306" s="3" t="n">
        <x:v>85</x:v>
      </x:c>
      <x:c r="T306" s="2" t="inlineStr">
        <x:is>
          <x:t xml:space="preserve">Yes</x:t>
        </x:is>
      </x:c>
      <x:c r="U306" s="2" t="inlineStr">
        <x:is>
          <x:t xml:space="preserve">Delivered</x:t>
        </x:is>
      </x:c>
    </x:row>
    <x:row r="307">
      <x:c r="A307" s="6" t="inlineStr">
        <x:is>
          <x:t xml:space="preserve">PO-2025-0306</x:t>
        </x:is>
      </x:c>
      <x:c r="B307" s="6" t="inlineStr">
        <x:is>
          <x:t xml:space="preserve">11/10/2025</x:t>
        </x:is>
      </x:c>
      <x:c r="C307" s="6" t="inlineStr">
        <x:is>
          <x:t xml:space="preserve">October</x:t>
        </x:is>
      </x:c>
      <x:c r="D307" s="6" t="inlineStr">
        <x:is>
          <x:t xml:space="preserve">Rocky View Industrial Logistics Hub</x:t>
        </x:is>
      </x:c>
      <x:c r="E307" s="6" t="inlineStr">
        <x:is>
          <x:t xml:space="preserve">Calgary SE</x:t>
        </x:is>
      </x:c>
      <x:c r="F307" s="6" t="inlineStr">
        <x:is>
          <x:t xml:space="preserve">Linda Tran</x:t>
        </x:is>
      </x:c>
      <x:c r="G307" s="6" t="inlineStr">
        <x:is>
          <x:t xml:space="preserve">Concrete &amp; Structural</x:t>
        </x:is>
      </x:c>
      <x:c r="H307" s="6" t="inlineStr">
        <x:is>
          <x:t xml:space="preserve">Post-Tension Cables</x:t>
        </x:is>
      </x:c>
      <x:c r="I307" s="6" t="inlineStr">
        <x:is>
          <x:t xml:space="preserve">Evraz Steel Calgary</x:t>
        </x:is>
      </x:c>
      <x:c r="J307" s="6" t="inlineStr">
        <x:is>
          <x:t xml:space="preserve">Tender – Open</x:t>
        </x:is>
      </x:c>
      <x:c r="K307" s="7" t="n">
        <x:v>113</x:v>
      </x:c>
      <x:c r="L307" s="6" t="inlineStr">
        <x:is>
          <x:t xml:space="preserve">m³</x:t>
        </x:is>
      </x:c>
      <x:c r="M307" s="8" t="n">
        <x:v>240.36</x:v>
      </x:c>
      <x:c r="N307" s="8" t="n">
        <x:v>215.59</x:v>
      </x:c>
      <x:c r="O307" s="8" t="n">
        <x:v>27160.68</x:v>
      </x:c>
      <x:c r="P307" s="8" t="n">
        <x:v>24361.67</x:v>
      </x:c>
      <x:c r="Q307" s="8" t="n">
        <x:v>2799.01</x:v>
      </x:c>
      <x:c r="R307" s="9" t="n">
        <x:v>11.5</x:v>
      </x:c>
      <x:c r="S307" s="7" t="n">
        <x:v>43</x:v>
      </x:c>
      <x:c r="T307" s="6" t="inlineStr">
        <x:is>
          <x:t xml:space="preserve">Yes</x:t>
        </x:is>
      </x:c>
      <x:c r="U307" s="6" t="inlineStr">
        <x:is>
          <x:t xml:space="preserve">Cancelled</x:t>
        </x:is>
      </x:c>
    </x:row>
    <x:row r="308">
      <x:c r="A308" s="2" t="inlineStr">
        <x:is>
          <x:t xml:space="preserve">PO-2025-0307</x:t>
        </x:is>
      </x:c>
      <x:c r="B308" s="2" t="inlineStr">
        <x:is>
          <x:t xml:space="preserve">05/03/2025</x:t>
        </x:is>
      </x:c>
      <x:c r="C308" s="2" t="inlineStr">
        <x:is>
          <x:t xml:space="preserve">March</x:t>
        </x:is>
      </x:c>
      <x:c r="D308" s="2" t="inlineStr">
        <x:is>
          <x:t xml:space="preserve">Calgary SE Ring Road Extension</x:t>
        </x:is>
      </x:c>
      <x:c r="E308" s="2" t="inlineStr">
        <x:is>
          <x:t xml:space="preserve">Rocky View County</x:t>
        </x:is>
      </x:c>
      <x:c r="F308" s="2" t="inlineStr">
        <x:is>
          <x:t xml:space="preserve">Sarah Bouchard</x:t>
        </x:is>
      </x:c>
      <x:c r="G308" s="2" t="inlineStr">
        <x:is>
          <x:t xml:space="preserve">MEP - Electrical</x:t>
        </x:is>
      </x:c>
      <x:c r="H308" s="2" t="inlineStr">
        <x:is>
          <x:t xml:space="preserve">MV Distribution Cable</x:t>
        </x:is>
      </x:c>
      <x:c r="I308" s="2" t="inlineStr">
        <x:is>
          <x:t xml:space="preserve">Stuart Olson Electrical</x:t>
        </x:is>
      </x:c>
      <x:c r="J308" s="2" t="inlineStr">
        <x:is>
          <x:t xml:space="preserve">Emergency Procurement</x:t>
        </x:is>
      </x:c>
      <x:c r="K308" s="3" t="n">
        <x:v>29</x:v>
      </x:c>
      <x:c r="L308" s="2" t="inlineStr">
        <x:is>
          <x:t xml:space="preserve">lot</x:t>
        </x:is>
      </x:c>
      <x:c r="M308" s="4" t="n">
        <x:v>49087.07</x:v>
      </x:c>
      <x:c r="N308" s="4" t="n">
        <x:v>48266.86</x:v>
      </x:c>
      <x:c r="O308" s="4" t="n">
        <x:v>1423525.03</x:v>
      </x:c>
      <x:c r="P308" s="4" t="n">
        <x:v>1399738.94</x:v>
      </x:c>
      <x:c r="Q308" s="4" t="n">
        <x:v>23786.09</x:v>
      </x:c>
      <x:c r="R308" s="5" t="n">
        <x:v>1.7</x:v>
      </x:c>
      <x:c r="S308" s="3" t="n">
        <x:v>71</x:v>
      </x:c>
      <x:c r="T308" s="2" t="inlineStr">
        <x:is>
          <x:t xml:space="preserve">Yes</x:t>
        </x:is>
      </x:c>
      <x:c r="U308" s="2" t="inlineStr">
        <x:is>
          <x:t xml:space="preserve">Cancelled</x:t>
        </x:is>
      </x:c>
    </x:row>
    <x:row r="309">
      <x:c r="A309" s="6" t="inlineStr">
        <x:is>
          <x:t xml:space="preserve">PO-2025-0308</x:t>
        </x:is>
      </x:c>
      <x:c r="B309" s="6" t="inlineStr">
        <x:is>
          <x:t xml:space="preserve">30/05/2025</x:t>
        </x:is>
      </x:c>
      <x:c r="C309" s="6" t="inlineStr">
        <x:is>
          <x:t xml:space="preserve">May</x:t>
        </x:is>
      </x:c>
      <x:c r="D309" s="6" t="inlineStr">
        <x:is>
          <x:t xml:space="preserve">Rocky View Industrial Logistics Hub</x:t>
        </x:is>
      </x:c>
      <x:c r="E309" s="6" t="inlineStr">
        <x:is>
          <x:t xml:space="preserve">Rocky View County</x:t>
        </x:is>
      </x:c>
      <x:c r="F309" s="6" t="inlineStr">
        <x:is>
          <x:t xml:space="preserve">Linda Tran</x:t>
        </x:is>
      </x:c>
      <x:c r="G309" s="6" t="inlineStr">
        <x:is>
          <x:t xml:space="preserve">Finishing</x:t>
        </x:is>
      </x:c>
      <x:c r="H309" s="6" t="inlineStr">
        <x:is>
          <x:t xml:space="preserve">Waterproofing Membrane</x:t>
        </x:is>
      </x:c>
      <x:c r="I309" s="6" t="inlineStr">
        <x:is>
          <x:t xml:space="preserve">Tremco Roofing</x:t>
        </x:is>
      </x:c>
      <x:c r="J309" s="6" t="inlineStr">
        <x:is>
          <x:t xml:space="preserve">LPO – Direct Award</x:t>
        </x:is>
      </x:c>
      <x:c r="K309" s="7" t="n">
        <x:v>115</x:v>
      </x:c>
      <x:c r="L309" s="6" t="inlineStr">
        <x:is>
          <x:t xml:space="preserve">m²</x:t>
        </x:is>
      </x:c>
      <x:c r="M309" s="8" t="n">
        <x:v>223.24</x:v>
      </x:c>
      <x:c r="N309" s="8" t="n">
        <x:v>216.13</x:v>
      </x:c>
      <x:c r="O309" s="8" t="n">
        <x:v>25672.6</x:v>
      </x:c>
      <x:c r="P309" s="8" t="n">
        <x:v>24854.95</x:v>
      </x:c>
      <x:c r="Q309" s="8" t="n">
        <x:v>817.65</x:v>
      </x:c>
      <x:c r="R309" s="9" t="n">
        <x:v>3.3</x:v>
      </x:c>
      <x:c r="S309" s="7" t="n">
        <x:v>80</x:v>
      </x:c>
      <x:c r="T309" s="6" t="inlineStr">
        <x:is>
          <x:t xml:space="preserve">No</x:t>
        </x:is>
      </x:c>
      <x:c r="U309" s="6" t="inlineStr">
        <x:is>
          <x:t xml:space="preserve">Delivered</x:t>
        </x:is>
      </x:c>
    </x:row>
    <x:row r="310">
      <x:c r="A310" s="2" t="inlineStr">
        <x:is>
          <x:t xml:space="preserve">PO-2025-0309</x:t>
        </x:is>
      </x:c>
      <x:c r="B310" s="2" t="inlineStr">
        <x:is>
          <x:t xml:space="preserve">13/07/2025</x:t>
        </x:is>
      </x:c>
      <x:c r="C310" s="2" t="inlineStr">
        <x:is>
          <x:t xml:space="preserve">July</x:t>
        </x:is>
      </x:c>
      <x:c r="D310" s="2" t="inlineStr">
        <x:is>
          <x:t xml:space="preserve">Bow River Crossing Overpass</x:t>
        </x:is>
      </x:c>
      <x:c r="E310" s="2" t="inlineStr">
        <x:is>
          <x:t xml:space="preserve">Calgary SE</x:t>
        </x:is>
      </x:c>
      <x:c r="F310" s="2" t="inlineStr">
        <x:is>
          <x:t xml:space="preserve">James Okafor</x:t>
        </x:is>
      </x:c>
      <x:c r="G310" s="2" t="inlineStr">
        <x:is>
          <x:t xml:space="preserve">MEP - Mechanical</x:t>
        </x:is>
      </x:c>
      <x:c r="H310" s="2" t="inlineStr">
        <x:is>
          <x:t xml:space="preserve">Boiler System</x:t>
        </x:is>
      </x:c>
      <x:c r="I310" s="2" t="inlineStr">
        <x:is>
          <x:t xml:space="preserve">Johnson Controls Alberta</x:t>
        </x:is>
      </x:c>
      <x:c r="J310" s="2" t="inlineStr">
        <x:is>
          <x:t xml:space="preserve">Emergency Procurement</x:t>
        </x:is>
      </x:c>
      <x:c r="K310" s="3" t="n">
        <x:v>57</x:v>
      </x:c>
      <x:c r="L310" s="2" t="inlineStr">
        <x:is>
          <x:t xml:space="preserve">lot</x:t>
        </x:is>
      </x:c>
      <x:c r="M310" s="4" t="n">
        <x:v>15538.46</x:v>
      </x:c>
      <x:c r="N310" s="4" t="n">
        <x:v>16933.49</x:v>
      </x:c>
      <x:c r="O310" s="4" t="n">
        <x:v>885692.22</x:v>
      </x:c>
      <x:c r="P310" s="4" t="n">
        <x:v>965208.9300000001</x:v>
      </x:c>
      <x:c r="Q310" s="4" t="n">
        <x:v>-79516.71000000001</x:v>
      </x:c>
      <x:c r="R310" s="5" t="n">
        <x:v>-8.199999999999999</x:v>
      </x:c>
      <x:c r="S310" s="3" t="n">
        <x:v>21</x:v>
      </x:c>
      <x:c r="T310" s="2" t="inlineStr">
        <x:is>
          <x:t xml:space="preserve">Yes</x:t>
        </x:is>
      </x:c>
      <x:c r="U310" s="2" t="inlineStr">
        <x:is>
          <x:t xml:space="preserve">Delivered</x:t>
        </x:is>
      </x:c>
    </x:row>
    <x:row r="311">
      <x:c r="A311" s="6" t="inlineStr">
        <x:is>
          <x:t xml:space="preserve">PO-2025-0310</x:t>
        </x:is>
      </x:c>
      <x:c r="B311" s="6" t="inlineStr">
        <x:is>
          <x:t xml:space="preserve">19/09/2025</x:t>
        </x:is>
      </x:c>
      <x:c r="C311" s="6" t="inlineStr">
        <x:is>
          <x:t xml:space="preserve">September</x:t>
        </x:is>
      </x:c>
      <x:c r="D311" s="6" t="inlineStr">
        <x:is>
          <x:t xml:space="preserve">Quarry Park Mixed-Use Development</x:t>
        </x:is>
      </x:c>
      <x:c r="E311" s="6" t="inlineStr">
        <x:is>
          <x:t xml:space="preserve">Calgary NE</x:t>
        </x:is>
      </x:c>
      <x:c r="F311" s="6" t="inlineStr">
        <x:is>
          <x:t xml:space="preserve">Liam Kowalski</x:t>
        </x:is>
      </x:c>
      <x:c r="G311" s="6" t="inlineStr">
        <x:is>
          <x:t xml:space="preserve">Civil Works</x:t>
        </x:is>
      </x:c>
      <x:c r="H311" s="6" t="inlineStr">
        <x:is>
          <x:t xml:space="preserve">Curb &amp; Gutter Concrete</x:t>
        </x:is>
      </x:c>
      <x:c r="I311" s="6" t="inlineStr">
        <x:is>
          <x:t xml:space="preserve">Ledcor Civil Alberta</x:t>
        </x:is>
      </x:c>
      <x:c r="J311" s="6" t="inlineStr">
        <x:is>
          <x:t xml:space="preserve">Tender – Open</x:t>
        </x:is>
      </x:c>
      <x:c r="K311" s="7" t="n">
        <x:v>22</x:v>
      </x:c>
      <x:c r="L311" s="6" t="inlineStr">
        <x:is>
          <x:t xml:space="preserve">m³</x:t>
        </x:is>
      </x:c>
      <x:c r="M311" s="8" t="n">
        <x:v>79.27</x:v>
      </x:c>
      <x:c r="N311" s="8" t="n">
        <x:v>77.29000000000001</x:v>
      </x:c>
      <x:c r="O311" s="8" t="n">
        <x:v>1743.94</x:v>
      </x:c>
      <x:c r="P311" s="8" t="n">
        <x:v>1700.38</x:v>
      </x:c>
      <x:c r="Q311" s="8" t="n">
        <x:v>43.56</x:v>
      </x:c>
      <x:c r="R311" s="9" t="n">
        <x:v>2.6</x:v>
      </x:c>
      <x:c r="S311" s="7" t="n">
        <x:v>81</x:v>
      </x:c>
      <x:c r="T311" s="6" t="inlineStr">
        <x:is>
          <x:t xml:space="preserve">Yes</x:t>
        </x:is>
      </x:c>
      <x:c r="U311" s="6" t="inlineStr">
        <x:is>
          <x:t xml:space="preserve">Cancelled</x:t>
        </x:is>
      </x:c>
    </x:row>
    <x:row r="312">
      <x:c r="A312" s="2" t="inlineStr">
        <x:is>
          <x:t xml:space="preserve">PO-2025-0311</x:t>
        </x:is>
      </x:c>
      <x:c r="B312" s="2" t="inlineStr">
        <x:is>
          <x:t xml:space="preserve">15/10/2025</x:t>
        </x:is>
      </x:c>
      <x:c r="C312" s="2" t="inlineStr">
        <x:is>
          <x:t xml:space="preserve">October</x:t>
        </x:is>
      </x:c>
      <x:c r="D312" s="2" t="inlineStr">
        <x:is>
          <x:t xml:space="preserve">Foothills Medical Centre Expansion</x:t>
        </x:is>
      </x:c>
      <x:c r="E312" s="2" t="inlineStr">
        <x:is>
          <x:t xml:space="preserve">Calgary SE</x:t>
        </x:is>
      </x:c>
      <x:c r="F312" s="2" t="inlineStr">
        <x:is>
          <x:t xml:space="preserve">Aisha Nkosi</x:t>
        </x:is>
      </x:c>
      <x:c r="G312" s="2" t="inlineStr">
        <x:is>
          <x:t xml:space="preserve">MEP - Electrical</x:t>
        </x:is>
      </x:c>
      <x:c r="H312" s="2" t="inlineStr">
        <x:is>
          <x:t xml:space="preserve">MV Distribution Cable</x:t>
        </x:is>
      </x:c>
      <x:c r="I312" s="2" t="inlineStr">
        <x:is>
          <x:t xml:space="preserve">Schneider Electric Canada</x:t>
        </x:is>
      </x:c>
      <x:c r="J312" s="2" t="inlineStr">
        <x:is>
          <x:t xml:space="preserve">LPO – Direct Award</x:t>
        </x:is>
      </x:c>
      <x:c r="K312" s="3" t="n">
        <x:v>89</x:v>
      </x:c>
      <x:c r="L312" s="2" t="inlineStr">
        <x:is>
          <x:t xml:space="preserve">lot</x:t>
        </x:is>
      </x:c>
      <x:c r="M312" s="4" t="n">
        <x:v>47494.77</x:v>
      </x:c>
      <x:c r="N312" s="4" t="n">
        <x:v>43134.7</x:v>
      </x:c>
      <x:c r="O312" s="4" t="n">
        <x:v>4227034.53</x:v>
      </x:c>
      <x:c r="P312" s="4" t="n">
        <x:v>3838988.3</x:v>
      </x:c>
      <x:c r="Q312" s="4" t="n">
        <x:v>388046.23</x:v>
      </x:c>
      <x:c r="R312" s="5" t="n">
        <x:v>10.1</x:v>
      </x:c>
      <x:c r="S312" s="3" t="n">
        <x:v>71</x:v>
      </x:c>
      <x:c r="T312" s="2" t="inlineStr">
        <x:is>
          <x:t xml:space="preserve">Yes</x:t>
        </x:is>
      </x:c>
      <x:c r="U312" s="2" t="inlineStr">
        <x:is>
          <x:t xml:space="preserve">Delivered</x:t>
        </x:is>
      </x:c>
    </x:row>
    <x:row r="313">
      <x:c r="A313" s="6" t="inlineStr">
        <x:is>
          <x:t xml:space="preserve">PO-2025-0312</x:t>
        </x:is>
      </x:c>
      <x:c r="B313" s="6" t="inlineStr">
        <x:is>
          <x:t xml:space="preserve">01/02/2025</x:t>
        </x:is>
      </x:c>
      <x:c r="C313" s="6" t="inlineStr">
        <x:is>
          <x:t xml:space="preserve">February</x:t>
        </x:is>
      </x:c>
      <x:c r="D313" s="6" t="inlineStr">
        <x:is>
          <x:t xml:space="preserve">Stampede Park Infrastructure Upgrade</x:t>
        </x:is>
      </x:c>
      <x:c r="E313" s="6" t="inlineStr">
        <x:is>
          <x:t xml:space="preserve">Rocky View County</x:t>
        </x:is>
      </x:c>
      <x:c r="F313" s="6" t="inlineStr">
        <x:is>
          <x:t xml:space="preserve">Mohammed Siddiqui</x:t>
        </x:is>
      </x:c>
      <x:c r="G313" s="6" t="inlineStr">
        <x:is>
          <x:t xml:space="preserve">Civil Works</x:t>
        </x:is>
      </x:c>
      <x:c r="H313" s="6" t="inlineStr">
        <x:is>
          <x:t xml:space="preserve">Bulk Excavation</x:t>
        </x:is>
      </x:c>
      <x:c r="I313" s="6" t="inlineStr">
        <x:is>
          <x:t xml:space="preserve">EllisDon Civil</x:t>
        </x:is>
      </x:c>
      <x:c r="J313" s="6" t="inlineStr">
        <x:is>
          <x:t xml:space="preserve">LPO – Direct Award</x:t>
        </x:is>
      </x:c>
      <x:c r="K313" s="7" t="n">
        <x:v>1</x:v>
      </x:c>
      <x:c r="L313" s="6" t="inlineStr">
        <x:is>
          <x:t xml:space="preserve">m³</x:t>
        </x:is>
      </x:c>
      <x:c r="M313" s="8" t="n">
        <x:v>220.65</x:v>
      </x:c>
      <x:c r="N313" s="8" t="n">
        <x:v>267.35</x:v>
      </x:c>
      <x:c r="O313" s="8" t="n">
        <x:v>220.65</x:v>
      </x:c>
      <x:c r="P313" s="8" t="n">
        <x:v>267.35</x:v>
      </x:c>
      <x:c r="Q313" s="8" t="n">
        <x:v>-46.7</x:v>
      </x:c>
      <x:c r="R313" s="9" t="n">
        <x:v>-17.5</x:v>
      </x:c>
      <x:c r="S313" s="7" t="n">
        <x:v>18</x:v>
      </x:c>
      <x:c r="T313" s="6" t="inlineStr">
        <x:is>
          <x:t xml:space="preserve">Yes</x:t>
        </x:is>
      </x:c>
      <x:c r="U313" s="6" t="inlineStr">
        <x:is>
          <x:t xml:space="preserve">Delivered</x:t>
        </x:is>
      </x:c>
    </x:row>
    <x:row r="314">
      <x:c r="A314" s="2" t="inlineStr">
        <x:is>
          <x:t xml:space="preserve">PO-2025-0313</x:t>
        </x:is>
      </x:c>
      <x:c r="B314" s="2" t="inlineStr">
        <x:is>
          <x:t xml:space="preserve">01/08/2025</x:t>
        </x:is>
      </x:c>
      <x:c r="C314" s="2" t="inlineStr">
        <x:is>
          <x:t xml:space="preserve">August</x:t>
        </x:is>
      </x:c>
      <x:c r="D314" s="2" t="inlineStr">
        <x:is>
          <x:t xml:space="preserve">Rocky View Industrial Logistics Hub</x:t>
        </x:is>
      </x:c>
      <x:c r="E314" s="2" t="inlineStr">
        <x:is>
          <x:t xml:space="preserve">Calgary SW</x:t>
        </x:is>
      </x:c>
      <x:c r="F314" s="2" t="inlineStr">
        <x:is>
          <x:t xml:space="preserve">Mohammed Siddiqui</x:t>
        </x:is>
      </x:c>
      <x:c r="G314" s="2" t="inlineStr">
        <x:is>
          <x:t xml:space="preserve">Civil Works</x:t>
        </x:is>
      </x:c>
      <x:c r="H314" s="2" t="inlineStr">
        <x:is>
          <x:t xml:space="preserve">Storm Drainage Pipe</x:t>
        </x:is>
      </x:c>
      <x:c r="I314" s="2" t="inlineStr">
        <x:is>
          <x:t xml:space="preserve">Kiewit Infrastructure</x:t>
        </x:is>
      </x:c>
      <x:c r="J314" s="2" t="inlineStr">
        <x:is>
          <x:t xml:space="preserve">Tender – Open</x:t>
        </x:is>
      </x:c>
      <x:c r="K314" s="3" t="n">
        <x:v>99</x:v>
      </x:c>
      <x:c r="L314" s="2" t="inlineStr">
        <x:is>
          <x:t xml:space="preserve">m³</x:t>
        </x:is>
      </x:c>
      <x:c r="M314" s="4" t="n">
        <x:v>144.13</x:v>
      </x:c>
      <x:c r="N314" s="4" t="n">
        <x:v>145.63</x:v>
      </x:c>
      <x:c r="O314" s="4" t="n">
        <x:v>14268.87</x:v>
      </x:c>
      <x:c r="P314" s="4" t="n">
        <x:v>14417.37</x:v>
      </x:c>
      <x:c r="Q314" s="4" t="n">
        <x:v>-148.5</x:v>
      </x:c>
      <x:c r="R314" s="5" t="n">
        <x:v>-1</x:v>
      </x:c>
      <x:c r="S314" s="3" t="n">
        <x:v>30</x:v>
      </x:c>
      <x:c r="T314" s="2" t="inlineStr">
        <x:is>
          <x:t xml:space="preserve">No</x:t>
        </x:is>
      </x:c>
      <x:c r="U314" s="2" t="inlineStr">
        <x:is>
          <x:t xml:space="preserve">Delivered</x:t>
        </x:is>
      </x:c>
    </x:row>
    <x:row r="315">
      <x:c r="A315" s="6" t="inlineStr">
        <x:is>
          <x:t xml:space="preserve">PO-2025-0314</x:t>
        </x:is>
      </x:c>
      <x:c r="B315" s="6" t="inlineStr">
        <x:is>
          <x:t xml:space="preserve">21/02/2025</x:t>
        </x:is>
      </x:c>
      <x:c r="C315" s="6" t="inlineStr">
        <x:is>
          <x:t xml:space="preserve">February</x:t>
        </x:is>
      </x:c>
      <x:c r="D315" s="6" t="inlineStr">
        <x:is>
          <x:t xml:space="preserve">Calgary SE Ring Road Extension</x:t>
        </x:is>
      </x:c>
      <x:c r="E315" s="6" t="inlineStr">
        <x:is>
          <x:t xml:space="preserve">Rocky View County</x:t>
        </x:is>
      </x:c>
      <x:c r="F315" s="6" t="inlineStr">
        <x:is>
          <x:t xml:space="preserve">Liam Kowalski</x:t>
        </x:is>
      </x:c>
      <x:c r="G315" s="6" t="inlineStr">
        <x:is>
          <x:t xml:space="preserve">Concrete &amp; Structural</x:t>
        </x:is>
      </x:c>
      <x:c r="H315" s="6" t="inlineStr">
        <x:is>
          <x:t xml:space="preserve">Structural Formwork</x:t>
        </x:is>
      </x:c>
      <x:c r="I315" s="6" t="inlineStr">
        <x:is>
          <x:t xml:space="preserve">Inland Concrete</x:t>
        </x:is>
      </x:c>
      <x:c r="J315" s="6" t="inlineStr">
        <x:is>
          <x:t xml:space="preserve">Emergency Procurement</x:t>
        </x:is>
      </x:c>
      <x:c r="K315" s="7" t="n">
        <x:v>50</x:v>
      </x:c>
      <x:c r="L315" s="6" t="inlineStr">
        <x:is>
          <x:t xml:space="preserve">m³</x:t>
        </x:is>
      </x:c>
      <x:c r="M315" s="8" t="n">
        <x:v>367.03</x:v>
      </x:c>
      <x:c r="N315" s="8" t="n">
        <x:v>448.92</x:v>
      </x:c>
      <x:c r="O315" s="8" t="n">
        <x:v>18351.5</x:v>
      </x:c>
      <x:c r="P315" s="8" t="n">
        <x:v>22446</x:v>
      </x:c>
      <x:c r="Q315" s="8" t="n">
        <x:v>-4094.5</x:v>
      </x:c>
      <x:c r="R315" s="9" t="n">
        <x:v>-18.2</x:v>
      </x:c>
      <x:c r="S315" s="7" t="n">
        <x:v>41</x:v>
      </x:c>
      <x:c r="T315" s="6" t="inlineStr">
        <x:is>
          <x:t xml:space="preserve">No</x:t>
        </x:is>
      </x:c>
      <x:c r="U315" s="6" t="inlineStr">
        <x:is>
          <x:t xml:space="preserve">Delivered</x:t>
        </x:is>
      </x:c>
    </x:row>
    <x:row r="316">
      <x:c r="A316" s="2" t="inlineStr">
        <x:is>
          <x:t xml:space="preserve">PO-2025-0315</x:t>
        </x:is>
      </x:c>
      <x:c r="B316" s="2" t="inlineStr">
        <x:is>
          <x:t xml:space="preserve">24/04/2025</x:t>
        </x:is>
      </x:c>
      <x:c r="C316" s="2" t="inlineStr">
        <x:is>
          <x:t xml:space="preserve">April</x:t>
        </x:is>
      </x:c>
      <x:c r="D316" s="2" t="inlineStr">
        <x:is>
          <x:t xml:space="preserve">Bow River Crossing Overpass</x:t>
        </x:is>
      </x:c>
      <x:c r="E316" s="2" t="inlineStr">
        <x:is>
          <x:t xml:space="preserve">Calgary SW</x:t>
        </x:is>
      </x:c>
      <x:c r="F316" s="2" t="inlineStr">
        <x:is>
          <x:t xml:space="preserve">Derek McLean</x:t>
        </x:is>
      </x:c>
      <x:c r="G316" s="2" t="inlineStr">
        <x:is>
          <x:t xml:space="preserve">Concrete &amp; Structural</x:t>
        </x:is>
      </x:c>
      <x:c r="H316" s="2" t="inlineStr">
        <x:is>
          <x:t xml:space="preserve">Precast Deck Panels</x:t>
        </x:is>
      </x:c>
      <x:c r="I316" s="2" t="inlineStr">
        <x:is>
          <x:t xml:space="preserve">Evraz Steel Calgary</x:t>
        </x:is>
      </x:c>
      <x:c r="J316" s="2" t="inlineStr">
        <x:is>
          <x:t xml:space="preserve">Standing Offer Agreement</x:t>
        </x:is>
      </x:c>
      <x:c r="K316" s="3" t="n">
        <x:v>113</x:v>
      </x:c>
      <x:c r="L316" s="2" t="inlineStr">
        <x:is>
          <x:t xml:space="preserve">m³</x:t>
        </x:is>
      </x:c>
      <x:c r="M316" s="4" t="n">
        <x:v>382.98</x:v>
      </x:c>
      <x:c r="N316" s="4" t="n">
        <x:v>375.02</x:v>
      </x:c>
      <x:c r="O316" s="4" t="n">
        <x:v>43276.74</x:v>
      </x:c>
      <x:c r="P316" s="4" t="n">
        <x:v>42377.26</x:v>
      </x:c>
      <x:c r="Q316" s="4" t="n">
        <x:v>899.48</x:v>
      </x:c>
      <x:c r="R316" s="5" t="n">
        <x:v>2.1</x:v>
      </x:c>
      <x:c r="S316" s="3" t="n">
        <x:v>28</x:v>
      </x:c>
      <x:c r="T316" s="2" t="inlineStr">
        <x:is>
          <x:t xml:space="preserve">Yes</x:t>
        </x:is>
      </x:c>
      <x:c r="U316" s="2" t="inlineStr">
        <x:is>
          <x:t xml:space="preserve">Delivered</x:t>
        </x:is>
      </x:c>
    </x:row>
    <x:row r="317">
      <x:c r="A317" s="6" t="inlineStr">
        <x:is>
          <x:t xml:space="preserve">PO-2025-0316</x:t>
        </x:is>
      </x:c>
      <x:c r="B317" s="6" t="inlineStr">
        <x:is>
          <x:t xml:space="preserve">26/08/2025</x:t>
        </x:is>
      </x:c>
      <x:c r="C317" s="6" t="inlineStr">
        <x:is>
          <x:t xml:space="preserve">August</x:t>
        </x:is>
      </x:c>
      <x:c r="D317" s="6" t="inlineStr">
        <x:is>
          <x:t xml:space="preserve">Bow River Crossing Overpass</x:t>
        </x:is>
      </x:c>
      <x:c r="E317" s="6" t="inlineStr">
        <x:is>
          <x:t xml:space="preserve">Calgary SE</x:t>
        </x:is>
      </x:c>
      <x:c r="F317" s="6" t="inlineStr">
        <x:is>
          <x:t xml:space="preserve">Sarah Bouchard</x:t>
        </x:is>
      </x:c>
      <x:c r="G317" s="6" t="inlineStr">
        <x:is>
          <x:t xml:space="preserve">Finishing</x:t>
        </x:is>
      </x:c>
      <x:c r="H317" s="6" t="inlineStr">
        <x:is>
          <x:t xml:space="preserve">Waterproofing Membrane</x:t>
        </x:is>
      </x:c>
      <x:c r="I317" s="6" t="inlineStr">
        <x:is>
          <x:t xml:space="preserve">Centura Tile Calgary</x:t>
        </x:is>
      </x:c>
      <x:c r="J317" s="6" t="inlineStr">
        <x:is>
          <x:t xml:space="preserve">3-Quote Comparison</x:t>
        </x:is>
      </x:c>
      <x:c r="K317" s="7" t="n">
        <x:v>88</x:v>
      </x:c>
      <x:c r="L317" s="6" t="inlineStr">
        <x:is>
          <x:t xml:space="preserve">m²</x:t>
        </x:is>
      </x:c>
      <x:c r="M317" s="8" t="n">
        <x:v>152.99</x:v>
      </x:c>
      <x:c r="N317" s="8" t="n">
        <x:v>181.03</x:v>
      </x:c>
      <x:c r="O317" s="8" t="n">
        <x:v>13463.12</x:v>
      </x:c>
      <x:c r="P317" s="8" t="n">
        <x:v>15930.64</x:v>
      </x:c>
      <x:c r="Q317" s="8" t="n">
        <x:v>-2467.52</x:v>
      </x:c>
      <x:c r="R317" s="9" t="n">
        <x:v>-15.5</x:v>
      </x:c>
      <x:c r="S317" s="7" t="n">
        <x:v>29</x:v>
      </x:c>
      <x:c r="T317" s="6" t="inlineStr">
        <x:is>
          <x:t xml:space="preserve">No</x:t>
        </x:is>
      </x:c>
      <x:c r="U317" s="6" t="inlineStr">
        <x:is>
          <x:t xml:space="preserve">Delivered</x:t>
        </x:is>
      </x:c>
    </x:row>
    <x:row r="318">
      <x:c r="A318" s="2" t="inlineStr">
        <x:is>
          <x:t xml:space="preserve">PO-2025-0317</x:t>
        </x:is>
      </x:c>
      <x:c r="B318" s="2" t="inlineStr">
        <x:is>
          <x:t xml:space="preserve">15/09/2025</x:t>
        </x:is>
      </x:c>
      <x:c r="C318" s="2" t="inlineStr">
        <x:is>
          <x:t xml:space="preserve">September</x:t>
        </x:is>
      </x:c>
      <x:c r="D318" s="2" t="inlineStr">
        <x:is>
          <x:t xml:space="preserve">Stampede Park Infrastructure Upgrade</x:t>
        </x:is>
      </x:c>
      <x:c r="E318" s="2" t="inlineStr">
        <x:is>
          <x:t xml:space="preserve">Calgary NE</x:t>
        </x:is>
      </x:c>
      <x:c r="F318" s="2" t="inlineStr">
        <x:is>
          <x:t xml:space="preserve">Liam Kowalski</x:t>
        </x:is>
      </x:c>
      <x:c r="G318" s="2" t="inlineStr">
        <x:is>
          <x:t xml:space="preserve">MEP - Mechanical</x:t>
        </x:is>
      </x:c>
      <x:c r="H318" s="2" t="inlineStr">
        <x:is>
          <x:t xml:space="preserve">Insulated Pipework</x:t>
        </x:is>
      </x:c>
      <x:c r="I318" s="2" t="inlineStr">
        <x:is>
          <x:t xml:space="preserve">Stantec MEP</x:t>
        </x:is>
      </x:c>
      <x:c r="J318" s="2" t="inlineStr">
        <x:is>
          <x:t xml:space="preserve">Tender – Open</x:t>
        </x:is>
      </x:c>
      <x:c r="K318" s="3" t="n">
        <x:v>28</x:v>
      </x:c>
      <x:c r="L318" s="2" t="inlineStr">
        <x:is>
          <x:t xml:space="preserve">lot</x:t>
        </x:is>
      </x:c>
      <x:c r="M318" s="4" t="n">
        <x:v>84173.53999999999</x:v>
      </x:c>
      <x:c r="N318" s="4" t="n">
        <x:v>74532.09</x:v>
      </x:c>
      <x:c r="O318" s="4" t="n">
        <x:v>2356859.12</x:v>
      </x:c>
      <x:c r="P318" s="4" t="n">
        <x:v>2086898.52</x:v>
      </x:c>
      <x:c r="Q318" s="4" t="n">
        <x:v>269960.6</x:v>
      </x:c>
      <x:c r="R318" s="5" t="n">
        <x:v>12.9</x:v>
      </x:c>
      <x:c r="S318" s="3" t="n">
        <x:v>41</x:v>
      </x:c>
      <x:c r="T318" s="2" t="inlineStr">
        <x:is>
          <x:t xml:space="preserve">Yes</x:t>
        </x:is>
      </x:c>
      <x:c r="U318" s="2" t="inlineStr">
        <x:is>
          <x:t xml:space="preserve">Delivered</x:t>
        </x:is>
      </x:c>
    </x:row>
    <x:row r="319">
      <x:c r="A319" s="6" t="inlineStr">
        <x:is>
          <x:t xml:space="preserve">PO-2025-0318</x:t>
        </x:is>
      </x:c>
      <x:c r="B319" s="6" t="inlineStr">
        <x:is>
          <x:t xml:space="preserve">01/07/2025</x:t>
        </x:is>
      </x:c>
      <x:c r="C319" s="6" t="inlineStr">
        <x:is>
          <x:t xml:space="preserve">July</x:t>
        </x:is>
      </x:c>
      <x:c r="D319" s="6" t="inlineStr">
        <x:is>
          <x:t xml:space="preserve">Calgary SE Ring Road Extension</x:t>
        </x:is>
      </x:c>
      <x:c r="E319" s="6" t="inlineStr">
        <x:is>
          <x:t xml:space="preserve">Calgary SE</x:t>
        </x:is>
      </x:c>
      <x:c r="F319" s="6" t="inlineStr">
        <x:is>
          <x:t xml:space="preserve">Sarah Bouchard</x:t>
        </x:is>
      </x:c>
      <x:c r="G319" s="6" t="inlineStr">
        <x:is>
          <x:t xml:space="preserve">Concrete &amp; Structural</x:t>
        </x:is>
      </x:c>
      <x:c r="H319" s="6" t="inlineStr">
        <x:is>
          <x:t xml:space="preserve">Precast Deck Panels</x:t>
        </x:is>
      </x:c>
      <x:c r="I319" s="6" t="inlineStr">
        <x:is>
          <x:t xml:space="preserve">Evraz Steel Calgary</x:t>
        </x:is>
      </x:c>
      <x:c r="J319" s="6" t="inlineStr">
        <x:is>
          <x:t xml:space="preserve">Emergency Procurement</x:t>
        </x:is>
      </x:c>
      <x:c r="K319" s="7" t="n">
        <x:v>29</x:v>
      </x:c>
      <x:c r="L319" s="6" t="inlineStr">
        <x:is>
          <x:t xml:space="preserve">m³</x:t>
        </x:is>
      </x:c>
      <x:c r="M319" s="8" t="n">
        <x:v>610.97</x:v>
      </x:c>
      <x:c r="N319" s="8" t="n">
        <x:v>547.83</x:v>
      </x:c>
      <x:c r="O319" s="8" t="n">
        <x:v>17718.13</x:v>
      </x:c>
      <x:c r="P319" s="8" t="n">
        <x:v>15887.07</x:v>
      </x:c>
      <x:c r="Q319" s="8" t="n">
        <x:v>1831.06</x:v>
      </x:c>
      <x:c r="R319" s="9" t="n">
        <x:v>11.5</x:v>
      </x:c>
      <x:c r="S319" s="7" t="n">
        <x:v>72</x:v>
      </x:c>
      <x:c r="T319" s="6" t="inlineStr">
        <x:is>
          <x:t xml:space="preserve">Yes</x:t>
        </x:is>
      </x:c>
      <x:c r="U319" s="6" t="inlineStr">
        <x:is>
          <x:t xml:space="preserve">Delivered</x:t>
        </x:is>
      </x:c>
    </x:row>
    <x:row r="320">
      <x:c r="A320" s="2" t="inlineStr">
        <x:is>
          <x:t xml:space="preserve">PO-2025-0319</x:t>
        </x:is>
      </x:c>
      <x:c r="B320" s="2" t="inlineStr">
        <x:is>
          <x:t xml:space="preserve">15/08/2025</x:t>
        </x:is>
      </x:c>
      <x:c r="C320" s="2" t="inlineStr">
        <x:is>
          <x:t xml:space="preserve">August</x:t>
        </x:is>
      </x:c>
      <x:c r="D320" s="2" t="inlineStr">
        <x:is>
          <x:t xml:space="preserve">Calgary SE Ring Road Extension</x:t>
        </x:is>
      </x:c>
      <x:c r="E320" s="2" t="inlineStr">
        <x:is>
          <x:t xml:space="preserve">Calgary SE</x:t>
        </x:is>
      </x:c>
      <x:c r="F320" s="2" t="inlineStr">
        <x:is>
          <x:t xml:space="preserve">Derek McLean</x:t>
        </x:is>
      </x:c>
      <x:c r="G320" s="2" t="inlineStr">
        <x:is>
          <x:t xml:space="preserve">Civil Works</x:t>
        </x:is>
      </x:c>
      <x:c r="H320" s="2" t="inlineStr">
        <x:is>
          <x:t xml:space="preserve">Bulk Excavation</x:t>
        </x:is>
      </x:c>
      <x:c r="I320" s="2" t="inlineStr">
        <x:is>
          <x:t xml:space="preserve">Graham Construction</x:t>
        </x:is>
      </x:c>
      <x:c r="J320" s="2" t="inlineStr">
        <x:is>
          <x:t xml:space="preserve">Tender – Open</x:t>
        </x:is>
      </x:c>
      <x:c r="K320" s="3" t="n">
        <x:v>71</x:v>
      </x:c>
      <x:c r="L320" s="2" t="inlineStr">
        <x:is>
          <x:t xml:space="preserve">m³</x:t>
        </x:is>
      </x:c>
      <x:c r="M320" s="4" t="n">
        <x:v>55.92</x:v>
      </x:c>
      <x:c r="N320" s="4" t="n">
        <x:v>56.07</x:v>
      </x:c>
      <x:c r="O320" s="4" t="n">
        <x:v>3970.32</x:v>
      </x:c>
      <x:c r="P320" s="4" t="n">
        <x:v>3980.97</x:v>
      </x:c>
      <x:c r="Q320" s="4" t="n">
        <x:v>-10.65</x:v>
      </x:c>
      <x:c r="R320" s="5" t="n">
        <x:v>-0.3</x:v>
      </x:c>
      <x:c r="S320" s="3" t="n">
        <x:v>34</x:v>
      </x:c>
      <x:c r="T320" s="2" t="inlineStr">
        <x:is>
          <x:t xml:space="preserve">Yes</x:t>
        </x:is>
      </x:c>
      <x:c r="U320" s="2" t="inlineStr">
        <x:is>
          <x:t xml:space="preserve">Delivered</x:t>
        </x:is>
      </x:c>
    </x:row>
    <x:row r="321">
      <x:c r="A321" s="6" t="inlineStr">
        <x:is>
          <x:t xml:space="preserve">PO-2025-0320</x:t>
        </x:is>
      </x:c>
      <x:c r="B321" s="6" t="inlineStr">
        <x:is>
          <x:t xml:space="preserve">06/09/2025</x:t>
        </x:is>
      </x:c>
      <x:c r="C321" s="6" t="inlineStr">
        <x:is>
          <x:t xml:space="preserve">September</x:t>
        </x:is>
      </x:c>
      <x:c r="D321" s="6" t="inlineStr">
        <x:is>
          <x:t xml:space="preserve">Foothills Medical Centre Expansion</x:t>
        </x:is>
      </x:c>
      <x:c r="E321" s="6" t="inlineStr">
        <x:is>
          <x:t xml:space="preserve">Calgary SW</x:t>
        </x:is>
      </x:c>
      <x:c r="F321" s="6" t="inlineStr">
        <x:is>
          <x:t xml:space="preserve">Sarah Bouchard</x:t>
        </x:is>
      </x:c>
      <x:c r="G321" s="6" t="inlineStr">
        <x:is>
          <x:t xml:space="preserve">Concrete &amp; Structural</x:t>
        </x:is>
      </x:c>
      <x:c r="H321" s="6" t="inlineStr">
        <x:is>
          <x:t xml:space="preserve">Structural Formwork</x:t>
        </x:is>
      </x:c>
      <x:c r="I321" s="6" t="inlineStr">
        <x:is>
          <x:t xml:space="preserve">Alberta Precast</x:t>
        </x:is>
      </x:c>
      <x:c r="J321" s="6" t="inlineStr">
        <x:is>
          <x:t xml:space="preserve">Emergency Procurement</x:t>
        </x:is>
      </x:c>
      <x:c r="K321" s="7" t="n">
        <x:v>66</x:v>
      </x:c>
      <x:c r="L321" s="6" t="inlineStr">
        <x:is>
          <x:t xml:space="preserve">m³</x:t>
        </x:is>
      </x:c>
      <x:c r="M321" s="8" t="n">
        <x:v>674.51</x:v>
      </x:c>
      <x:c r="N321" s="8" t="n">
        <x:v>757.9299999999999</x:v>
      </x:c>
      <x:c r="O321" s="8" t="n">
        <x:v>44517.66</x:v>
      </x:c>
      <x:c r="P321" s="8" t="n">
        <x:v>50023.38</x:v>
      </x:c>
      <x:c r="Q321" s="8" t="n">
        <x:v>-5505.72</x:v>
      </x:c>
      <x:c r="R321" s="9" t="n">
        <x:v>-11</x:v>
      </x:c>
      <x:c r="S321" s="7" t="n">
        <x:v>57</x:v>
      </x:c>
      <x:c r="T321" s="6" t="inlineStr">
        <x:is>
          <x:t xml:space="preserve">Yes</x:t>
        </x:is>
      </x:c>
      <x:c r="U321" s="6" t="inlineStr">
        <x:is>
          <x:t xml:space="preserve">Pending</x:t>
        </x:is>
      </x:c>
    </x:row>
    <x:row r="322">
      <x:c r="A322" s="2" t="inlineStr">
        <x:is>
          <x:t xml:space="preserve">PO-2025-0321</x:t>
        </x:is>
      </x:c>
      <x:c r="B322" s="2" t="inlineStr">
        <x:is>
          <x:t xml:space="preserve">03/03/2025</x:t>
        </x:is>
      </x:c>
      <x:c r="C322" s="2" t="inlineStr">
        <x:is>
          <x:t xml:space="preserve">March</x:t>
        </x:is>
      </x:c>
      <x:c r="D322" s="2" t="inlineStr">
        <x:is>
          <x:t xml:space="preserve">Bow River Crossing Overpass</x:t>
        </x:is>
      </x:c>
      <x:c r="E322" s="2" t="inlineStr">
        <x:is>
          <x:t xml:space="preserve">Rocky View County</x:t>
        </x:is>
      </x:c>
      <x:c r="F322" s="2" t="inlineStr">
        <x:is>
          <x:t xml:space="preserve">James Okafor</x:t>
        </x:is>
      </x:c>
      <x:c r="G322" s="2" t="inlineStr">
        <x:is>
          <x:t xml:space="preserve">Safety &amp; Temp Works</x:t>
        </x:is>
      </x:c>
      <x:c r="H322" s="2" t="inlineStr">
        <x:is>
          <x:t xml:space="preserve">PPE Bulk Supply</x:t>
        </x:is>
      </x:c>
      <x:c r="I322" s="2" t="inlineStr">
        <x:is>
          <x:t xml:space="preserve">Safway Alberta</x:t>
        </x:is>
      </x:c>
      <x:c r="J322" s="2" t="inlineStr">
        <x:is>
          <x:t xml:space="preserve">LPO – Direct Award</x:t>
        </x:is>
      </x:c>
      <x:c r="K322" s="3" t="n">
        <x:v>72</x:v>
      </x:c>
      <x:c r="L322" s="2" t="inlineStr">
        <x:is>
          <x:t xml:space="preserve">lot</x:t>
        </x:is>
      </x:c>
      <x:c r="M322" s="4" t="n">
        <x:v>14767.27</x:v>
      </x:c>
      <x:c r="N322" s="4" t="n">
        <x:v>13870.46</x:v>
      </x:c>
      <x:c r="O322" s="4" t="n">
        <x:v>1063243.44</x:v>
      </x:c>
      <x:c r="P322" s="4" t="n">
        <x:v>998673.12</x:v>
      </x:c>
      <x:c r="Q322" s="4" t="n">
        <x:v>64570.32</x:v>
      </x:c>
      <x:c r="R322" s="5" t="n">
        <x:v>6.5</x:v>
      </x:c>
      <x:c r="S322" s="3" t="n">
        <x:v>4</x:v>
      </x:c>
      <x:c r="T322" s="2" t="inlineStr">
        <x:is>
          <x:t xml:space="preserve">No</x:t>
        </x:is>
      </x:c>
      <x:c r="U322" s="2" t="inlineStr">
        <x:is>
          <x:t xml:space="preserve">Partially Delivered</x:t>
        </x:is>
      </x:c>
    </x:row>
    <x:row r="323">
      <x:c r="A323" s="6" t="inlineStr">
        <x:is>
          <x:t xml:space="preserve">PO-2025-0322</x:t>
        </x:is>
      </x:c>
      <x:c r="B323" s="6" t="inlineStr">
        <x:is>
          <x:t xml:space="preserve">12/02/2025</x:t>
        </x:is>
      </x:c>
      <x:c r="C323" s="6" t="inlineStr">
        <x:is>
          <x:t xml:space="preserve">February</x:t>
        </x:is>
      </x:c>
      <x:c r="D323" s="6" t="inlineStr">
        <x:is>
          <x:t xml:space="preserve">Rocky View Industrial Logistics Hub</x:t>
        </x:is>
      </x:c>
      <x:c r="E323" s="6" t="inlineStr">
        <x:is>
          <x:t xml:space="preserve">Rocky View County</x:t>
        </x:is>
      </x:c>
      <x:c r="F323" s="6" t="inlineStr">
        <x:is>
          <x:t xml:space="preserve">James Okafor</x:t>
        </x:is>
      </x:c>
      <x:c r="G323" s="6" t="inlineStr">
        <x:is>
          <x:t xml:space="preserve">Civil Works</x:t>
        </x:is>
      </x:c>
      <x:c r="H323" s="6" t="inlineStr">
        <x:is>
          <x:t xml:space="preserve">Bulk Excavation</x:t>
        </x:is>
      </x:c>
      <x:c r="I323" s="6" t="inlineStr">
        <x:is>
          <x:t xml:space="preserve">Ledcor Civil Alberta</x:t>
        </x:is>
      </x:c>
      <x:c r="J323" s="6" t="inlineStr">
        <x:is>
          <x:t xml:space="preserve">Tender – Open</x:t>
        </x:is>
      </x:c>
      <x:c r="K323" s="7" t="n">
        <x:v>77</x:v>
      </x:c>
      <x:c r="L323" s="6" t="inlineStr">
        <x:is>
          <x:t xml:space="preserve">m³</x:t>
        </x:is>
      </x:c>
      <x:c r="M323" s="8" t="n">
        <x:v>89.08</x:v>
      </x:c>
      <x:c r="N323" s="8" t="n">
        <x:v>85.26000000000001</x:v>
      </x:c>
      <x:c r="O323" s="8" t="n">
        <x:v>6859.16</x:v>
      </x:c>
      <x:c r="P323" s="8" t="n">
        <x:v>6565.02</x:v>
      </x:c>
      <x:c r="Q323" s="8" t="n">
        <x:v>294.14</x:v>
      </x:c>
      <x:c r="R323" s="9" t="n">
        <x:v>4.5</x:v>
      </x:c>
      <x:c r="S323" s="7" t="n">
        <x:v>80</x:v>
      </x:c>
      <x:c r="T323" s="6" t="inlineStr">
        <x:is>
          <x:t xml:space="preserve">No</x:t>
        </x:is>
      </x:c>
      <x:c r="U323" s="6" t="inlineStr">
        <x:is>
          <x:t xml:space="preserve">Delivered</x:t>
        </x:is>
      </x:c>
    </x:row>
    <x:row r="324">
      <x:c r="A324" s="2" t="inlineStr">
        <x:is>
          <x:t xml:space="preserve">PO-2025-0323</x:t>
        </x:is>
      </x:c>
      <x:c r="B324" s="2" t="inlineStr">
        <x:is>
          <x:t xml:space="preserve">20/08/2025</x:t>
        </x:is>
      </x:c>
      <x:c r="C324" s="2" t="inlineStr">
        <x:is>
          <x:t xml:space="preserve">August</x:t>
        </x:is>
      </x:c>
      <x:c r="D324" s="2" t="inlineStr">
        <x:is>
          <x:t xml:space="preserve">Saddledome Arena Retrofit</x:t>
        </x:is>
      </x:c>
      <x:c r="E324" s="2" t="inlineStr">
        <x:is>
          <x:t xml:space="preserve">Rocky View County</x:t>
        </x:is>
      </x:c>
      <x:c r="F324" s="2" t="inlineStr">
        <x:is>
          <x:t xml:space="preserve">James Okafor</x:t>
        </x:is>
      </x:c>
      <x:c r="G324" s="2" t="inlineStr">
        <x:is>
          <x:t xml:space="preserve">Civil Works</x:t>
        </x:is>
      </x:c>
      <x:c r="H324" s="2" t="inlineStr">
        <x:is>
          <x:t xml:space="preserve">Storm Drainage Pipe</x:t>
        </x:is>
      </x:c>
      <x:c r="I324" s="2" t="inlineStr">
        <x:is>
          <x:t xml:space="preserve">Ledcor Civil Alberta</x:t>
        </x:is>
      </x:c>
      <x:c r="J324" s="2" t="inlineStr">
        <x:is>
          <x:t xml:space="preserve">Standing Offer Agreement</x:t>
        </x:is>
      </x:c>
      <x:c r="K324" s="3" t="n">
        <x:v>24</x:v>
      </x:c>
      <x:c r="L324" s="2" t="inlineStr">
        <x:is>
          <x:t xml:space="preserve">m³</x:t>
        </x:is>
      </x:c>
      <x:c r="M324" s="4" t="n">
        <x:v>281.09</x:v>
      </x:c>
      <x:c r="N324" s="4" t="n">
        <x:v>330.92</x:v>
      </x:c>
      <x:c r="O324" s="4" t="n">
        <x:v>6746.16</x:v>
      </x:c>
      <x:c r="P324" s="4" t="n">
        <x:v>7942.08</x:v>
      </x:c>
      <x:c r="Q324" s="4" t="n">
        <x:v>-1195.92</x:v>
      </x:c>
      <x:c r="R324" s="5" t="n">
        <x:v>-15.1</x:v>
      </x:c>
      <x:c r="S324" s="3" t="n">
        <x:v>31</x:v>
      </x:c>
      <x:c r="T324" s="2" t="inlineStr">
        <x:is>
          <x:t xml:space="preserve">Yes</x:t>
        </x:is>
      </x:c>
      <x:c r="U324" s="2" t="inlineStr">
        <x:is>
          <x:t xml:space="preserve">Delivered</x:t>
        </x:is>
      </x:c>
    </x:row>
    <x:row r="325">
      <x:c r="A325" s="6" t="inlineStr">
        <x:is>
          <x:t xml:space="preserve">PO-2025-0324</x:t>
        </x:is>
      </x:c>
      <x:c r="B325" s="6" t="inlineStr">
        <x:is>
          <x:t xml:space="preserve">29/01/2025</x:t>
        </x:is>
      </x:c>
      <x:c r="C325" s="6" t="inlineStr">
        <x:is>
          <x:t xml:space="preserve">January</x:t>
        </x:is>
      </x:c>
      <x:c r="D325" s="6" t="inlineStr">
        <x:is>
          <x:t xml:space="preserve">Stampede Park Infrastructure Upgrade</x:t>
        </x:is>
      </x:c>
      <x:c r="E325" s="6" t="inlineStr">
        <x:is>
          <x:t xml:space="preserve">Rocky View County</x:t>
        </x:is>
      </x:c>
      <x:c r="F325" s="6" t="inlineStr">
        <x:is>
          <x:t xml:space="preserve">Mohammed Siddiqui</x:t>
        </x:is>
      </x:c>
      <x:c r="G325" s="6" t="inlineStr">
        <x:is>
          <x:t xml:space="preserve">Civil Works</x:t>
        </x:is>
      </x:c>
      <x:c r="H325" s="6" t="inlineStr">
        <x:is>
          <x:t xml:space="preserve">Curb &amp; Gutter Concrete</x:t>
        </x:is>
      </x:c>
      <x:c r="I325" s="6" t="inlineStr">
        <x:is>
          <x:t xml:space="preserve">Graham Construction</x:t>
        </x:is>
      </x:c>
      <x:c r="J325" s="6" t="inlineStr">
        <x:is>
          <x:t xml:space="preserve">Tender – Open</x:t>
        </x:is>
      </x:c>
      <x:c r="K325" s="7" t="n">
        <x:v>111</x:v>
      </x:c>
      <x:c r="L325" s="6" t="inlineStr">
        <x:is>
          <x:t xml:space="preserve">m³</x:t>
        </x:is>
      </x:c>
      <x:c r="M325" s="8" t="n">
        <x:v>164.94</x:v>
      </x:c>
      <x:c r="N325" s="8" t="n">
        <x:v>202.4</x:v>
      </x:c>
      <x:c r="O325" s="8" t="n">
        <x:v>18308.34</x:v>
      </x:c>
      <x:c r="P325" s="8" t="n">
        <x:v>22466.4</x:v>
      </x:c>
      <x:c r="Q325" s="8" t="n">
        <x:v>-4158.06</x:v>
      </x:c>
      <x:c r="R325" s="9" t="n">
        <x:v>-18.5</x:v>
      </x:c>
      <x:c r="S325" s="7" t="n">
        <x:v>41</x:v>
      </x:c>
      <x:c r="T325" s="6" t="inlineStr">
        <x:is>
          <x:t xml:space="preserve">Yes</x:t>
        </x:is>
      </x:c>
      <x:c r="U325" s="6" t="inlineStr">
        <x:is>
          <x:t xml:space="preserve">Delivered</x:t>
        </x:is>
      </x:c>
    </x:row>
    <x:row r="326">
      <x:c r="A326" s="2" t="inlineStr">
        <x:is>
          <x:t xml:space="preserve">PO-2025-0325</x:t>
        </x:is>
      </x:c>
      <x:c r="B326" s="2" t="inlineStr">
        <x:is>
          <x:t xml:space="preserve">04/06/2025</x:t>
        </x:is>
      </x:c>
      <x:c r="C326" s="2" t="inlineStr">
        <x:is>
          <x:t xml:space="preserve">June</x:t>
        </x:is>
      </x:c>
      <x:c r="D326" s="2" t="inlineStr">
        <x:is>
          <x:t xml:space="preserve">Springbank Off-Stream Reservoir</x:t>
        </x:is>
      </x:c>
      <x:c r="E326" s="2" t="inlineStr">
        <x:is>
          <x:t xml:space="preserve">Calgary NE</x:t>
        </x:is>
      </x:c>
      <x:c r="F326" s="2" t="inlineStr">
        <x:is>
          <x:t xml:space="preserve">Priya Sharma</x:t>
        </x:is>
      </x:c>
      <x:c r="G326" s="2" t="inlineStr">
        <x:is>
          <x:t xml:space="preserve">Safety &amp; Temp Works</x:t>
        </x:is>
      </x:c>
      <x:c r="H326" s="2" t="inlineStr">
        <x:is>
          <x:t xml:space="preserve">Site Office Trailer</x:t>
        </x:is>
      </x:c>
      <x:c r="I326" s="2" t="inlineStr">
        <x:is>
          <x:t xml:space="preserve">Safway Alberta</x:t>
        </x:is>
      </x:c>
      <x:c r="J326" s="2" t="inlineStr">
        <x:is>
          <x:t xml:space="preserve">Tender – Open</x:t>
        </x:is>
      </x:c>
      <x:c r="K326" s="3" t="n">
        <x:v>11</x:v>
      </x:c>
      <x:c r="L326" s="2" t="inlineStr">
        <x:is>
          <x:t xml:space="preserve">lot</x:t>
        </x:is>
      </x:c>
      <x:c r="M326" s="4" t="n">
        <x:v>9715.719999999999</x:v>
      </x:c>
      <x:c r="N326" s="4" t="n">
        <x:v>11146.28</x:v>
      </x:c>
      <x:c r="O326" s="4" t="n">
        <x:v>106872.92</x:v>
      </x:c>
      <x:c r="P326" s="4" t="n">
        <x:v>122609.08</x:v>
      </x:c>
      <x:c r="Q326" s="4" t="n">
        <x:v>-15736.16</x:v>
      </x:c>
      <x:c r="R326" s="5" t="n">
        <x:v>-12.8</x:v>
      </x:c>
      <x:c r="S326" s="3" t="n">
        <x:v>65</x:v>
      </x:c>
      <x:c r="T326" s="2" t="inlineStr">
        <x:is>
          <x:t xml:space="preserve">Yes</x:t>
        </x:is>
      </x:c>
      <x:c r="U326" s="2" t="inlineStr">
        <x:is>
          <x:t xml:space="preserve">Cancelled</x:t>
        </x:is>
      </x:c>
    </x:row>
    <x:row r="327">
      <x:c r="A327" s="6" t="inlineStr">
        <x:is>
          <x:t xml:space="preserve">PO-2025-0326</x:t>
        </x:is>
      </x:c>
      <x:c r="B327" s="6" t="inlineStr">
        <x:is>
          <x:t xml:space="preserve">13/02/2025</x:t>
        </x:is>
      </x:c>
      <x:c r="C327" s="6" t="inlineStr">
        <x:is>
          <x:t xml:space="preserve">February</x:t>
        </x:is>
      </x:c>
      <x:c r="D327" s="6" t="inlineStr">
        <x:is>
          <x:t xml:space="preserve">University District Residential Phase 3</x:t>
        </x:is>
      </x:c>
      <x:c r="E327" s="6" t="inlineStr">
        <x:is>
          <x:t xml:space="preserve">Rocky View County</x:t>
        </x:is>
      </x:c>
      <x:c r="F327" s="6" t="inlineStr">
        <x:is>
          <x:t xml:space="preserve">Priya Sharma</x:t>
        </x:is>
      </x:c>
      <x:c r="G327" s="6" t="inlineStr">
        <x:is>
          <x:t xml:space="preserve">Finishing</x:t>
        </x:is>
      </x:c>
      <x:c r="H327" s="6" t="inlineStr">
        <x:is>
          <x:t xml:space="preserve">Exterior Cladding Panel</x:t>
        </x:is>
      </x:c>
      <x:c r="I327" s="6" t="inlineStr">
        <x:is>
          <x:t xml:space="preserve">Centura Tile Calgary</x:t>
        </x:is>
      </x:c>
      <x:c r="J327" s="6" t="inlineStr">
        <x:is>
          <x:t xml:space="preserve">Emergency Procurement</x:t>
        </x:is>
      </x:c>
      <x:c r="K327" s="7" t="n">
        <x:v>106</x:v>
      </x:c>
      <x:c r="L327" s="6" t="inlineStr">
        <x:is>
          <x:t xml:space="preserve">m²</x:t>
        </x:is>
      </x:c>
      <x:c r="M327" s="8" t="n">
        <x:v>308.64</x:v>
      </x:c>
      <x:c r="N327" s="8" t="n">
        <x:v>282.46</x:v>
      </x:c>
      <x:c r="O327" s="8" t="n">
        <x:v>32715.84</x:v>
      </x:c>
      <x:c r="P327" s="8" t="n">
        <x:v>29940.76</x:v>
      </x:c>
      <x:c r="Q327" s="8" t="n">
        <x:v>2775.08</x:v>
      </x:c>
      <x:c r="R327" s="9" t="n">
        <x:v>9.300000000000001</x:v>
      </x:c>
      <x:c r="S327" s="7" t="n">
        <x:v>62</x:v>
      </x:c>
      <x:c r="T327" s="6" t="inlineStr">
        <x:is>
          <x:t xml:space="preserve">Yes</x:t>
        </x:is>
      </x:c>
      <x:c r="U327" s="6" t="inlineStr">
        <x:is>
          <x:t xml:space="preserve">Delivered</x:t>
        </x:is>
      </x:c>
    </x:row>
    <x:row r="328">
      <x:c r="A328" s="2" t="inlineStr">
        <x:is>
          <x:t xml:space="preserve">PO-2025-0327</x:t>
        </x:is>
      </x:c>
      <x:c r="B328" s="2" t="inlineStr">
        <x:is>
          <x:t xml:space="preserve">03/03/2025</x:t>
        </x:is>
      </x:c>
      <x:c r="C328" s="2" t="inlineStr">
        <x:is>
          <x:t xml:space="preserve">March</x:t>
        </x:is>
      </x:c>
      <x:c r="D328" s="2" t="inlineStr">
        <x:is>
          <x:t xml:space="preserve">Deerfoot Trail Widening - North</x:t>
        </x:is>
      </x:c>
      <x:c r="E328" s="2" t="inlineStr">
        <x:is>
          <x:t xml:space="preserve">Calgary NE</x:t>
        </x:is>
      </x:c>
      <x:c r="F328" s="2" t="inlineStr">
        <x:is>
          <x:t xml:space="preserve">James Okafor</x:t>
        </x:is>
      </x:c>
      <x:c r="G328" s="2" t="inlineStr">
        <x:is>
          <x:t xml:space="preserve">Safety &amp; Temp Works</x:t>
        </x:is>
      </x:c>
      <x:c r="H328" s="2" t="inlineStr">
        <x:is>
          <x:t xml:space="preserve">PPE Bulk Supply</x:t>
        </x:is>
      </x:c>
      <x:c r="I328" s="2" t="inlineStr">
        <x:is>
          <x:t xml:space="preserve">BrandSafway Canada</x:t>
        </x:is>
      </x:c>
      <x:c r="J328" s="2" t="inlineStr">
        <x:is>
          <x:t xml:space="preserve">LPO – Direct Award</x:t>
        </x:is>
      </x:c>
      <x:c r="K328" s="3" t="n">
        <x:v>79</x:v>
      </x:c>
      <x:c r="L328" s="2" t="inlineStr">
        <x:is>
          <x:t xml:space="preserve">lot</x:t>
        </x:is>
      </x:c>
      <x:c r="M328" s="4" t="n">
        <x:v>16701.7</x:v>
      </x:c>
      <x:c r="N328" s="4" t="n">
        <x:v>14829.54</x:v>
      </x:c>
      <x:c r="O328" s="4" t="n">
        <x:v>1319434.3</x:v>
      </x:c>
      <x:c r="P328" s="4" t="n">
        <x:v>1171533.66</x:v>
      </x:c>
      <x:c r="Q328" s="4" t="n">
        <x:v>147900.64</x:v>
      </x:c>
      <x:c r="R328" s="5" t="n">
        <x:v>12.6</x:v>
      </x:c>
      <x:c r="S328" s="3" t="n">
        <x:v>60</x:v>
      </x:c>
      <x:c r="T328" s="2" t="inlineStr">
        <x:is>
          <x:t xml:space="preserve">Yes</x:t>
        </x:is>
      </x:c>
      <x:c r="U328" s="2" t="inlineStr">
        <x:is>
          <x:t xml:space="preserve">Delivered</x:t>
        </x:is>
      </x:c>
    </x:row>
    <x:row r="329">
      <x:c r="A329" s="6" t="inlineStr">
        <x:is>
          <x:t xml:space="preserve">PO-2025-0328</x:t>
        </x:is>
      </x:c>
      <x:c r="B329" s="6" t="inlineStr">
        <x:is>
          <x:t xml:space="preserve">22/05/2025</x:t>
        </x:is>
      </x:c>
      <x:c r="C329" s="6" t="inlineStr">
        <x:is>
          <x:t xml:space="preserve">May</x:t>
        </x:is>
      </x:c>
      <x:c r="D329" s="6" t="inlineStr">
        <x:is>
          <x:t xml:space="preserve">Springbank Off-Stream Reservoir</x:t>
        </x:is>
      </x:c>
      <x:c r="E329" s="6" t="inlineStr">
        <x:is>
          <x:t xml:space="preserve">Calgary NE</x:t>
        </x:is>
      </x:c>
      <x:c r="F329" s="6" t="inlineStr">
        <x:is>
          <x:t xml:space="preserve">Derek McLean</x:t>
        </x:is>
      </x:c>
      <x:c r="G329" s="6" t="inlineStr">
        <x:is>
          <x:t xml:space="preserve">Concrete &amp; Structural</x:t>
        </x:is>
      </x:c>
      <x:c r="H329" s="6" t="inlineStr">
        <x:is>
          <x:t xml:space="preserve">Precast Deck Panels</x:t>
        </x:is>
      </x:c>
      <x:c r="I329" s="6" t="inlineStr">
        <x:is>
          <x:t xml:space="preserve">Alberta Precast</x:t>
        </x:is>
      </x:c>
      <x:c r="J329" s="6" t="inlineStr">
        <x:is>
          <x:t xml:space="preserve">LPO – Direct Award</x:t>
        </x:is>
      </x:c>
      <x:c r="K329" s="7" t="n">
        <x:v>18</x:v>
      </x:c>
      <x:c r="L329" s="6" t="inlineStr">
        <x:is>
          <x:t xml:space="preserve">m³</x:t>
        </x:is>
      </x:c>
      <x:c r="M329" s="8" t="n">
        <x:v>606.78</x:v>
      </x:c>
      <x:c r="N329" s="8" t="n">
        <x:v>658.13</x:v>
      </x:c>
      <x:c r="O329" s="8" t="n">
        <x:v>10922.04</x:v>
      </x:c>
      <x:c r="P329" s="8" t="n">
        <x:v>11846.34</x:v>
      </x:c>
      <x:c r="Q329" s="8" t="n">
        <x:v>-924.3</x:v>
      </x:c>
      <x:c r="R329" s="9" t="n">
        <x:v>-7.8</x:v>
      </x:c>
      <x:c r="S329" s="7" t="n">
        <x:v>37</x:v>
      </x:c>
      <x:c r="T329" s="6" t="inlineStr">
        <x:is>
          <x:t xml:space="preserve">No</x:t>
        </x:is>
      </x:c>
      <x:c r="U329" s="6" t="inlineStr">
        <x:is>
          <x:t xml:space="preserve">Delivered</x:t>
        </x:is>
      </x:c>
    </x:row>
    <x:row r="330">
      <x:c r="A330" s="2" t="inlineStr">
        <x:is>
          <x:t xml:space="preserve">PO-2025-0329</x:t>
        </x:is>
      </x:c>
      <x:c r="B330" s="2" t="inlineStr">
        <x:is>
          <x:t xml:space="preserve">14/10/2025</x:t>
        </x:is>
      </x:c>
      <x:c r="C330" s="2" t="inlineStr">
        <x:is>
          <x:t xml:space="preserve">October</x:t>
        </x:is>
      </x:c>
      <x:c r="D330" s="2" t="inlineStr">
        <x:is>
          <x:t xml:space="preserve">Rocky View Industrial Logistics Hub</x:t>
        </x:is>
      </x:c>
      <x:c r="E330" s="2" t="inlineStr">
        <x:is>
          <x:t xml:space="preserve">Rocky View County</x:t>
        </x:is>
      </x:c>
      <x:c r="F330" s="2" t="inlineStr">
        <x:is>
          <x:t xml:space="preserve">Sarah Bouchard</x:t>
        </x:is>
      </x:c>
      <x:c r="G330" s="2" t="inlineStr">
        <x:is>
          <x:t xml:space="preserve">Finishing</x:t>
        </x:is>
      </x:c>
      <x:c r="H330" s="2" t="inlineStr">
        <x:is>
          <x:t xml:space="preserve">Drywall &amp; Framing</x:t>
        </x:is>
      </x:c>
      <x:c r="I330" s="2" t="inlineStr">
        <x:is>
          <x:t xml:space="preserve">Dryvit Systems Canada</x:t>
        </x:is>
      </x:c>
      <x:c r="J330" s="2" t="inlineStr">
        <x:is>
          <x:t xml:space="preserve">3-Quote Comparison</x:t>
        </x:is>
      </x:c>
      <x:c r="K330" s="3" t="n">
        <x:v>4</x:v>
      </x:c>
      <x:c r="L330" s="2" t="inlineStr">
        <x:is>
          <x:t xml:space="preserve">m²</x:t>
        </x:is>
      </x:c>
      <x:c r="M330" s="4" t="n">
        <x:v>66.34999999999999</x:v>
      </x:c>
      <x:c r="N330" s="4" t="n">
        <x:v>59.4</x:v>
      </x:c>
      <x:c r="O330" s="4" t="n">
        <x:v>265.4</x:v>
      </x:c>
      <x:c r="P330" s="4" t="n">
        <x:v>237.6</x:v>
      </x:c>
      <x:c r="Q330" s="4" t="n">
        <x:v>27.8</x:v>
      </x:c>
      <x:c r="R330" s="5" t="n">
        <x:v>11.7</x:v>
      </x:c>
      <x:c r="S330" s="3" t="n">
        <x:v>55</x:v>
      </x:c>
      <x:c r="T330" s="2" t="inlineStr">
        <x:is>
          <x:t xml:space="preserve">No</x:t>
        </x:is>
      </x:c>
      <x:c r="U330" s="2" t="inlineStr">
        <x:is>
          <x:t xml:space="preserve">Delivered</x:t>
        </x:is>
      </x:c>
    </x:row>
    <x:row r="331">
      <x:c r="A331" s="6" t="inlineStr">
        <x:is>
          <x:t xml:space="preserve">PO-2025-0330</x:t>
        </x:is>
      </x:c>
      <x:c r="B331" s="6" t="inlineStr">
        <x:is>
          <x:t xml:space="preserve">29/06/2025</x:t>
        </x:is>
      </x:c>
      <x:c r="C331" s="6" t="inlineStr">
        <x:is>
          <x:t xml:space="preserve">June</x:t>
        </x:is>
      </x:c>
      <x:c r="D331" s="6" t="inlineStr">
        <x:is>
          <x:t xml:space="preserve">Springbank Off-Stream Reservoir</x:t>
        </x:is>
      </x:c>
      <x:c r="E331" s="6" t="inlineStr">
        <x:is>
          <x:t xml:space="preserve">Calgary SE</x:t>
        </x:is>
      </x:c>
      <x:c r="F331" s="6" t="inlineStr">
        <x:is>
          <x:t xml:space="preserve">Mohammed Siddiqui</x:t>
        </x:is>
      </x:c>
      <x:c r="G331" s="6" t="inlineStr">
        <x:is>
          <x:t xml:space="preserve">MEP - Mechanical</x:t>
        </x:is>
      </x:c>
      <x:c r="H331" s="6" t="inlineStr">
        <x:is>
          <x:t xml:space="preserve">Boiler System</x:t>
        </x:is>
      </x:c>
      <x:c r="I331" s="6" t="inlineStr">
        <x:is>
          <x:t xml:space="preserve">Ainsworth Inc.</x:t>
        </x:is>
      </x:c>
      <x:c r="J331" s="6" t="inlineStr">
        <x:is>
          <x:t xml:space="preserve">Emergency Procurement</x:t>
        </x:is>
      </x:c>
      <x:c r="K331" s="7" t="n">
        <x:v>34</x:v>
      </x:c>
      <x:c r="L331" s="6" t="inlineStr">
        <x:is>
          <x:t xml:space="preserve">lot</x:t>
        </x:is>
      </x:c>
      <x:c r="M331" s="8" t="n">
        <x:v>57454.55</x:v>
      </x:c>
      <x:c r="N331" s="8" t="n">
        <x:v>65994.34</x:v>
      </x:c>
      <x:c r="O331" s="8" t="n">
        <x:v>1953454.7</x:v>
      </x:c>
      <x:c r="P331" s="8" t="n">
        <x:v>2243807.56</x:v>
      </x:c>
      <x:c r="Q331" s="8" t="n">
        <x:v>-290352.86</x:v>
      </x:c>
      <x:c r="R331" s="9" t="n">
        <x:v>-12.9</x:v>
      </x:c>
      <x:c r="S331" s="7" t="n">
        <x:v>37</x:v>
      </x:c>
      <x:c r="T331" s="6" t="inlineStr">
        <x:is>
          <x:t xml:space="preserve">Yes</x:t>
        </x:is>
      </x:c>
      <x:c r="U331" s="6" t="inlineStr">
        <x:is>
          <x:t xml:space="preserve">Cancelled</x:t>
        </x:is>
      </x:c>
    </x:row>
    <x:row r="332">
      <x:c r="A332" s="2" t="inlineStr">
        <x:is>
          <x:t xml:space="preserve">PO-2025-0331</x:t>
        </x:is>
      </x:c>
      <x:c r="B332" s="2" t="inlineStr">
        <x:is>
          <x:t xml:space="preserve">19/04/2025</x:t>
        </x:is>
      </x:c>
      <x:c r="C332" s="2" t="inlineStr">
        <x:is>
          <x:t xml:space="preserve">April</x:t>
        </x:is>
      </x:c>
      <x:c r="D332" s="2" t="inlineStr">
        <x:is>
          <x:t xml:space="preserve">Deerfoot Trail Widening - North</x:t>
        </x:is>
      </x:c>
      <x:c r="E332" s="2" t="inlineStr">
        <x:is>
          <x:t xml:space="preserve">Calgary SE</x:t>
        </x:is>
      </x:c>
      <x:c r="F332" s="2" t="inlineStr">
        <x:is>
          <x:t xml:space="preserve">Mohammed Siddiqui</x:t>
        </x:is>
      </x:c>
      <x:c r="G332" s="2" t="inlineStr">
        <x:is>
          <x:t xml:space="preserve">MEP - Mechanical</x:t>
        </x:is>
      </x:c>
      <x:c r="H332" s="2" t="inlineStr">
        <x:is>
          <x:t xml:space="preserve">Insulated Pipework</x:t>
        </x:is>
      </x:c>
      <x:c r="I332" s="2" t="inlineStr">
        <x:is>
          <x:t xml:space="preserve">Johnson Controls Alberta</x:t>
        </x:is>
      </x:c>
      <x:c r="J332" s="2" t="inlineStr">
        <x:is>
          <x:t xml:space="preserve">LPO – Direct Award</x:t>
        </x:is>
      </x:c>
      <x:c r="K332" s="3" t="n">
        <x:v>15</x:v>
      </x:c>
      <x:c r="L332" s="2" t="inlineStr">
        <x:is>
          <x:t xml:space="preserve">lot</x:t>
        </x:is>
      </x:c>
      <x:c r="M332" s="4" t="n">
        <x:v>34223.69</x:v>
      </x:c>
      <x:c r="N332" s="4" t="n">
        <x:v>39462.16</x:v>
      </x:c>
      <x:c r="O332" s="4" t="n">
        <x:v>513355.35</x:v>
      </x:c>
      <x:c r="P332" s="4" t="n">
        <x:v>591932.4</x:v>
      </x:c>
      <x:c r="Q332" s="4" t="n">
        <x:v>-78577.05</x:v>
      </x:c>
      <x:c r="R332" s="5" t="n">
        <x:v>-13.3</x:v>
      </x:c>
      <x:c r="S332" s="3" t="n">
        <x:v>78</x:v>
      </x:c>
      <x:c r="T332" s="2" t="inlineStr">
        <x:is>
          <x:t xml:space="preserve">Yes</x:t>
        </x:is>
      </x:c>
      <x:c r="U332" s="2" t="inlineStr">
        <x:is>
          <x:t xml:space="preserve">Delivered</x:t>
        </x:is>
      </x:c>
    </x:row>
    <x:row r="333">
      <x:c r="A333" s="6" t="inlineStr">
        <x:is>
          <x:t xml:space="preserve">PO-2025-0332</x:t>
        </x:is>
      </x:c>
      <x:c r="B333" s="6" t="inlineStr">
        <x:is>
          <x:t xml:space="preserve">04/02/2025</x:t>
        </x:is>
      </x:c>
      <x:c r="C333" s="6" t="inlineStr">
        <x:is>
          <x:t xml:space="preserve">February</x:t>
        </x:is>
      </x:c>
      <x:c r="D333" s="6" t="inlineStr">
        <x:is>
          <x:t xml:space="preserve">Calgary SE Ring Road Extension</x:t>
        </x:is>
      </x:c>
      <x:c r="E333" s="6" t="inlineStr">
        <x:is>
          <x:t xml:space="preserve">Calgary SW</x:t>
        </x:is>
      </x:c>
      <x:c r="F333" s="6" t="inlineStr">
        <x:is>
          <x:t xml:space="preserve">Mohammed Siddiqui</x:t>
        </x:is>
      </x:c>
      <x:c r="G333" s="6" t="inlineStr">
        <x:is>
          <x:t xml:space="preserve">Safety &amp; Temp Works</x:t>
        </x:is>
      </x:c>
      <x:c r="H333" s="6" t="inlineStr">
        <x:is>
          <x:t xml:space="preserve">Scaffolding System</x:t>
        </x:is>
      </x:c>
      <x:c r="I333" s="6" t="inlineStr">
        <x:is>
          <x:t xml:space="preserve">Sunbelt Rentals Canada</x:t>
        </x:is>
      </x:c>
      <x:c r="J333" s="6" t="inlineStr">
        <x:is>
          <x:t xml:space="preserve">3-Quote Comparison</x:t>
        </x:is>
      </x:c>
      <x:c r="K333" s="7" t="n">
        <x:v>120</x:v>
      </x:c>
      <x:c r="L333" s="6" t="inlineStr">
        <x:is>
          <x:t xml:space="preserve">lot</x:t>
        </x:is>
      </x:c>
      <x:c r="M333" s="8" t="n">
        <x:v>7840.73</x:v>
      </x:c>
      <x:c r="N333" s="8" t="n">
        <x:v>6746.2</x:v>
      </x:c>
      <x:c r="O333" s="8" t="n">
        <x:v>940887.6</x:v>
      </x:c>
      <x:c r="P333" s="8" t="n">
        <x:v>809544</x:v>
      </x:c>
      <x:c r="Q333" s="8" t="n">
        <x:v>131343.6</x:v>
      </x:c>
      <x:c r="R333" s="9" t="n">
        <x:v>16.2</x:v>
      </x:c>
      <x:c r="S333" s="7" t="n">
        <x:v>84</x:v>
      </x:c>
      <x:c r="T333" s="6" t="inlineStr">
        <x:is>
          <x:t xml:space="preserve">Yes</x:t>
        </x:is>
      </x:c>
      <x:c r="U333" s="6" t="inlineStr">
        <x:is>
          <x:t xml:space="preserve">Delivered</x:t>
        </x:is>
      </x:c>
    </x:row>
    <x:row r="334">
      <x:c r="A334" s="2" t="inlineStr">
        <x:is>
          <x:t xml:space="preserve">PO-2025-0333</x:t>
        </x:is>
      </x:c>
      <x:c r="B334" s="2" t="inlineStr">
        <x:is>
          <x:t xml:space="preserve">06/11/2025</x:t>
        </x:is>
      </x:c>
      <x:c r="C334" s="2" t="inlineStr">
        <x:is>
          <x:t xml:space="preserve">November</x:t>
        </x:is>
      </x:c>
      <x:c r="D334" s="2" t="inlineStr">
        <x:is>
          <x:t xml:space="preserve">Springbank Off-Stream Reservoir</x:t>
        </x:is>
      </x:c>
      <x:c r="E334" s="2" t="inlineStr">
        <x:is>
          <x:t xml:space="preserve">Calgary SW</x:t>
        </x:is>
      </x:c>
      <x:c r="F334" s="2" t="inlineStr">
        <x:is>
          <x:t xml:space="preserve">Priya Sharma</x:t>
        </x:is>
      </x:c>
      <x:c r="G334" s="2" t="inlineStr">
        <x:is>
          <x:t xml:space="preserve">Finishing</x:t>
        </x:is>
      </x:c>
      <x:c r="H334" s="2" t="inlineStr">
        <x:is>
          <x:t xml:space="preserve">Drywall &amp; Framing</x:t>
        </x:is>
      </x:c>
      <x:c r="I334" s="2" t="inlineStr">
        <x:is>
          <x:t xml:space="preserve">Tremco Roofing</x:t>
        </x:is>
      </x:c>
      <x:c r="J334" s="2" t="inlineStr">
        <x:is>
          <x:t xml:space="preserve">Standing Offer Agreement</x:t>
        </x:is>
      </x:c>
      <x:c r="K334" s="3" t="n">
        <x:v>37</x:v>
      </x:c>
      <x:c r="L334" s="2" t="inlineStr">
        <x:is>
          <x:t xml:space="preserve">m²</x:t>
        </x:is>
      </x:c>
      <x:c r="M334" s="4" t="n">
        <x:v>301.61</x:v>
      </x:c>
      <x:c r="N334" s="4" t="n">
        <x:v>287.7</x:v>
      </x:c>
      <x:c r="O334" s="4" t="n">
        <x:v>11159.57</x:v>
      </x:c>
      <x:c r="P334" s="4" t="n">
        <x:v>10644.9</x:v>
      </x:c>
      <x:c r="Q334" s="4" t="n">
        <x:v>514.67</x:v>
      </x:c>
      <x:c r="R334" s="5" t="n">
        <x:v>4.8</x:v>
      </x:c>
      <x:c r="S334" s="3" t="n">
        <x:v>54</x:v>
      </x:c>
      <x:c r="T334" s="2" t="inlineStr">
        <x:is>
          <x:t xml:space="preserve">Yes</x:t>
        </x:is>
      </x:c>
      <x:c r="U334" s="2" t="inlineStr">
        <x:is>
          <x:t xml:space="preserve">Cancelled</x:t>
        </x:is>
      </x:c>
    </x:row>
    <x:row r="335">
      <x:c r="A335" s="6" t="inlineStr">
        <x:is>
          <x:t xml:space="preserve">PO-2025-0334</x:t>
        </x:is>
      </x:c>
      <x:c r="B335" s="6" t="inlineStr">
        <x:is>
          <x:t xml:space="preserve">26/04/2025</x:t>
        </x:is>
      </x:c>
      <x:c r="C335" s="6" t="inlineStr">
        <x:is>
          <x:t xml:space="preserve">April</x:t>
        </x:is>
      </x:c>
      <x:c r="D335" s="6" t="inlineStr">
        <x:is>
          <x:t xml:space="preserve">Bow River Crossing Overpass</x:t>
        </x:is>
      </x:c>
      <x:c r="E335" s="6" t="inlineStr">
        <x:is>
          <x:t xml:space="preserve">Calgary SW</x:t>
        </x:is>
      </x:c>
      <x:c r="F335" s="6" t="inlineStr">
        <x:is>
          <x:t xml:space="preserve">James Okafor</x:t>
        </x:is>
      </x:c>
      <x:c r="G335" s="6" t="inlineStr">
        <x:is>
          <x:t xml:space="preserve">MEP - Electrical</x:t>
        </x:is>
      </x:c>
      <x:c r="H335" s="6" t="inlineStr">
        <x:is>
          <x:t xml:space="preserve">MV Distribution Cable</x:t>
        </x:is>
      </x:c>
      <x:c r="I335" s="6" t="inlineStr">
        <x:is>
          <x:t xml:space="preserve">Flint Energy Services</x:t>
        </x:is>
      </x:c>
      <x:c r="J335" s="6" t="inlineStr">
        <x:is>
          <x:t xml:space="preserve">Emergency Procurement</x:t>
        </x:is>
      </x:c>
      <x:c r="K335" s="7" t="n">
        <x:v>114</x:v>
      </x:c>
      <x:c r="L335" s="6" t="inlineStr">
        <x:is>
          <x:t xml:space="preserve">lot</x:t>
        </x:is>
      </x:c>
      <x:c r="M335" s="8" t="n">
        <x:v>28538.17</x:v>
      </x:c>
      <x:c r="N335" s="8" t="n">
        <x:v>31111.88</x:v>
      </x:c>
      <x:c r="O335" s="8" t="n">
        <x:v>3253351.38</x:v>
      </x:c>
      <x:c r="P335" s="8" t="n">
        <x:v>3546754.32</x:v>
      </x:c>
      <x:c r="Q335" s="8" t="n">
        <x:v>-293402.94</x:v>
      </x:c>
      <x:c r="R335" s="9" t="n">
        <x:v>-8.300000000000001</x:v>
      </x:c>
      <x:c r="S335" s="7" t="n">
        <x:v>74</x:v>
      </x:c>
      <x:c r="T335" s="6" t="inlineStr">
        <x:is>
          <x:t xml:space="preserve">No</x:t>
        </x:is>
      </x:c>
      <x:c r="U335" s="6" t="inlineStr">
        <x:is>
          <x:t xml:space="preserve">Delivered</x:t>
        </x:is>
      </x:c>
    </x:row>
    <x:row r="336">
      <x:c r="A336" s="2" t="inlineStr">
        <x:is>
          <x:t xml:space="preserve">PO-2025-0335</x:t>
        </x:is>
      </x:c>
      <x:c r="B336" s="2" t="inlineStr">
        <x:is>
          <x:t xml:space="preserve">13/10/2025</x:t>
        </x:is>
      </x:c>
      <x:c r="C336" s="2" t="inlineStr">
        <x:is>
          <x:t xml:space="preserve">October</x:t>
        </x:is>
      </x:c>
      <x:c r="D336" s="2" t="inlineStr">
        <x:is>
          <x:t xml:space="preserve">Deerfoot Trail Widening - North</x:t>
        </x:is>
      </x:c>
      <x:c r="E336" s="2" t="inlineStr">
        <x:is>
          <x:t xml:space="preserve">Calgary SW</x:t>
        </x:is>
      </x:c>
      <x:c r="F336" s="2" t="inlineStr">
        <x:is>
          <x:t xml:space="preserve">Mohammed Siddiqui</x:t>
        </x:is>
      </x:c>
      <x:c r="G336" s="2" t="inlineStr">
        <x:is>
          <x:t xml:space="preserve">MEP - Electrical</x:t>
        </x:is>
      </x:c>
      <x:c r="H336" s="2" t="inlineStr">
        <x:is>
          <x:t xml:space="preserve">MV Distribution Cable</x:t>
        </x:is>
      </x:c>
      <x:c r="I336" s="2" t="inlineStr">
        <x:is>
          <x:t xml:space="preserve">Flint Energy Services</x:t>
        </x:is>
      </x:c>
      <x:c r="J336" s="2" t="inlineStr">
        <x:is>
          <x:t xml:space="preserve">LPO – Direct Award</x:t>
        </x:is>
      </x:c>
      <x:c r="K336" s="3" t="n">
        <x:v>38</x:v>
      </x:c>
      <x:c r="L336" s="2" t="inlineStr">
        <x:is>
          <x:t xml:space="preserve">lot</x:t>
        </x:is>
      </x:c>
      <x:c r="M336" s="4" t="n">
        <x:v>85353.97</x:v>
      </x:c>
      <x:c r="N336" s="4" t="n">
        <x:v>74089.38</x:v>
      </x:c>
      <x:c r="O336" s="4" t="n">
        <x:v>3243450.86</x:v>
      </x:c>
      <x:c r="P336" s="4" t="n">
        <x:v>2815396.44</x:v>
      </x:c>
      <x:c r="Q336" s="4" t="n">
        <x:v>428054.42</x:v>
      </x:c>
      <x:c r="R336" s="5" t="n">
        <x:v>15.2</x:v>
      </x:c>
      <x:c r="S336" s="3" t="n">
        <x:v>54</x:v>
      </x:c>
      <x:c r="T336" s="2" t="inlineStr">
        <x:is>
          <x:t xml:space="preserve">Yes</x:t>
        </x:is>
      </x:c>
      <x:c r="U336" s="2" t="inlineStr">
        <x:is>
          <x:t xml:space="preserve">Partially Delivered</x:t>
        </x:is>
      </x:c>
    </x:row>
    <x:row r="337">
      <x:c r="A337" s="6" t="inlineStr">
        <x:is>
          <x:t xml:space="preserve">PO-2025-0336</x:t>
        </x:is>
      </x:c>
      <x:c r="B337" s="6" t="inlineStr">
        <x:is>
          <x:t xml:space="preserve">30/08/2025</x:t>
        </x:is>
      </x:c>
      <x:c r="C337" s="6" t="inlineStr">
        <x:is>
          <x:t xml:space="preserve">August</x:t>
        </x:is>
      </x:c>
      <x:c r="D337" s="6" t="inlineStr">
        <x:is>
          <x:t xml:space="preserve">Saddledome Arena Retrofit</x:t>
        </x:is>
      </x:c>
      <x:c r="E337" s="6" t="inlineStr">
        <x:is>
          <x:t xml:space="preserve">Calgary NE</x:t>
        </x:is>
      </x:c>
      <x:c r="F337" s="6" t="inlineStr">
        <x:is>
          <x:t xml:space="preserve">Sarah Bouchard</x:t>
        </x:is>
      </x:c>
      <x:c r="G337" s="6" t="inlineStr">
        <x:is>
          <x:t xml:space="preserve">Safety &amp; Temp Works</x:t>
        </x:is>
      </x:c>
      <x:c r="H337" s="6" t="inlineStr">
        <x:is>
          <x:t xml:space="preserve">Scaffolding System</x:t>
        </x:is>
      </x:c>
      <x:c r="I337" s="6" t="inlineStr">
        <x:is>
          <x:t xml:space="preserve">Levitt-Safety Calgary</x:t>
        </x:is>
      </x:c>
      <x:c r="J337" s="6" t="inlineStr">
        <x:is>
          <x:t xml:space="preserve">LPO – Direct Award</x:t>
        </x:is>
      </x:c>
      <x:c r="K337" s="7" t="n">
        <x:v>11</x:v>
      </x:c>
      <x:c r="L337" s="6" t="inlineStr">
        <x:is>
          <x:t xml:space="preserve">lot</x:t>
        </x:is>
      </x:c>
      <x:c r="M337" s="8" t="n">
        <x:v>4593.88</x:v>
      </x:c>
      <x:c r="N337" s="8" t="n">
        <x:v>4263.43</x:v>
      </x:c>
      <x:c r="O337" s="8" t="n">
        <x:v>50532.68</x:v>
      </x:c>
      <x:c r="P337" s="8" t="n">
        <x:v>46897.73</x:v>
      </x:c>
      <x:c r="Q337" s="8" t="n">
        <x:v>3634.95</x:v>
      </x:c>
      <x:c r="R337" s="9" t="n">
        <x:v>7.8</x:v>
      </x:c>
      <x:c r="S337" s="7" t="n">
        <x:v>26</x:v>
      </x:c>
      <x:c r="T337" s="6" t="inlineStr">
        <x:is>
          <x:t xml:space="preserve">Yes</x:t>
        </x:is>
      </x:c>
      <x:c r="U337" s="6" t="inlineStr">
        <x:is>
          <x:t xml:space="preserve">Cancelled</x:t>
        </x:is>
      </x:c>
    </x:row>
    <x:row r="338">
      <x:c r="A338" s="2" t="inlineStr">
        <x:is>
          <x:t xml:space="preserve">PO-2025-0337</x:t>
        </x:is>
      </x:c>
      <x:c r="B338" s="2" t="inlineStr">
        <x:is>
          <x:t xml:space="preserve">04/11/2025</x:t>
        </x:is>
      </x:c>
      <x:c r="C338" s="2" t="inlineStr">
        <x:is>
          <x:t xml:space="preserve">November</x:t>
        </x:is>
      </x:c>
      <x:c r="D338" s="2" t="inlineStr">
        <x:is>
          <x:t xml:space="preserve">Springbank Off-Stream Reservoir</x:t>
        </x:is>
      </x:c>
      <x:c r="E338" s="2" t="inlineStr">
        <x:is>
          <x:t xml:space="preserve">Rocky View County</x:t>
        </x:is>
      </x:c>
      <x:c r="F338" s="2" t="inlineStr">
        <x:is>
          <x:t xml:space="preserve">Mohammed Siddiqui</x:t>
        </x:is>
      </x:c>
      <x:c r="G338" s="2" t="inlineStr">
        <x:is>
          <x:t xml:space="preserve">Civil Works</x:t>
        </x:is>
      </x:c>
      <x:c r="H338" s="2" t="inlineStr">
        <x:is>
          <x:t xml:space="preserve">Storm Drainage Pipe</x:t>
        </x:is>
      </x:c>
      <x:c r="I338" s="2" t="inlineStr">
        <x:is>
          <x:t xml:space="preserve">Graham Construction</x:t>
        </x:is>
      </x:c>
      <x:c r="J338" s="2" t="inlineStr">
        <x:is>
          <x:t xml:space="preserve">Emergency Procurement</x:t>
        </x:is>
      </x:c>
      <x:c r="K338" s="3" t="n">
        <x:v>89</x:v>
      </x:c>
      <x:c r="L338" s="2" t="inlineStr">
        <x:is>
          <x:t xml:space="preserve">m³</x:t>
        </x:is>
      </x:c>
      <x:c r="M338" s="4" t="n">
        <x:v>173.31</x:v>
      </x:c>
      <x:c r="N338" s="4" t="n">
        <x:v>183.7</x:v>
      </x:c>
      <x:c r="O338" s="4" t="n">
        <x:v>15424.59</x:v>
      </x:c>
      <x:c r="P338" s="4" t="n">
        <x:v>16349.3</x:v>
      </x:c>
      <x:c r="Q338" s="4" t="n">
        <x:v>-924.71</x:v>
      </x:c>
      <x:c r="R338" s="5" t="n">
        <x:v>-5.7</x:v>
      </x:c>
      <x:c r="S338" s="3" t="n">
        <x:v>39</x:v>
      </x:c>
      <x:c r="T338" s="2" t="inlineStr">
        <x:is>
          <x:t xml:space="preserve">Yes</x:t>
        </x:is>
      </x:c>
      <x:c r="U338" s="2" t="inlineStr">
        <x:is>
          <x:t xml:space="preserve">Pending</x:t>
        </x:is>
      </x:c>
    </x:row>
    <x:row r="339">
      <x:c r="A339" s="6" t="inlineStr">
        <x:is>
          <x:t xml:space="preserve">PO-2025-0338</x:t>
        </x:is>
      </x:c>
      <x:c r="B339" s="6" t="inlineStr">
        <x:is>
          <x:t xml:space="preserve">03/06/2025</x:t>
        </x:is>
      </x:c>
      <x:c r="C339" s="6" t="inlineStr">
        <x:is>
          <x:t xml:space="preserve">June</x:t>
        </x:is>
      </x:c>
      <x:c r="D339" s="6" t="inlineStr">
        <x:is>
          <x:t xml:space="preserve">Springbank Off-Stream Reservoir</x:t>
        </x:is>
      </x:c>
      <x:c r="E339" s="6" t="inlineStr">
        <x:is>
          <x:t xml:space="preserve">Calgary SE</x:t>
        </x:is>
      </x:c>
      <x:c r="F339" s="6" t="inlineStr">
        <x:is>
          <x:t xml:space="preserve">Mohammed Siddiqui</x:t>
        </x:is>
      </x:c>
      <x:c r="G339" s="6" t="inlineStr">
        <x:is>
          <x:t xml:space="preserve">Finishing</x:t>
        </x:is>
      </x:c>
      <x:c r="H339" s="6" t="inlineStr">
        <x:is>
          <x:t xml:space="preserve">Drywall &amp; Framing</x:t>
        </x:is>
      </x:c>
      <x:c r="I339" s="6" t="inlineStr">
        <x:is>
          <x:t xml:space="preserve">Tremco Roofing</x:t>
        </x:is>
      </x:c>
      <x:c r="J339" s="6" t="inlineStr">
        <x:is>
          <x:t xml:space="preserve">Tender – Open</x:t>
        </x:is>
      </x:c>
      <x:c r="K339" s="7" t="n">
        <x:v>64</x:v>
      </x:c>
      <x:c r="L339" s="6" t="inlineStr">
        <x:is>
          <x:t xml:space="preserve">m²</x:t>
        </x:is>
      </x:c>
      <x:c r="M339" s="8" t="n">
        <x:v>365.13</x:v>
      </x:c>
      <x:c r="N339" s="8" t="n">
        <x:v>415.93</x:v>
      </x:c>
      <x:c r="O339" s="8" t="n">
        <x:v>23368.32</x:v>
      </x:c>
      <x:c r="P339" s="8" t="n">
        <x:v>26619.52</x:v>
      </x:c>
      <x:c r="Q339" s="8" t="n">
        <x:v>-3251.2</x:v>
      </x:c>
      <x:c r="R339" s="9" t="n">
        <x:v>-12.2</x:v>
      </x:c>
      <x:c r="S339" s="7" t="n">
        <x:v>74</x:v>
      </x:c>
      <x:c r="T339" s="6" t="inlineStr">
        <x:is>
          <x:t xml:space="preserve">No</x:t>
        </x:is>
      </x:c>
      <x:c r="U339" s="6" t="inlineStr">
        <x:is>
          <x:t xml:space="preserve">Delivered</x:t>
        </x:is>
      </x:c>
    </x:row>
    <x:row r="340">
      <x:c r="A340" s="2" t="inlineStr">
        <x:is>
          <x:t xml:space="preserve">PO-2025-0339</x:t>
        </x:is>
      </x:c>
      <x:c r="B340" s="2" t="inlineStr">
        <x:is>
          <x:t xml:space="preserve">16/09/2025</x:t>
        </x:is>
      </x:c>
      <x:c r="C340" s="2" t="inlineStr">
        <x:is>
          <x:t xml:space="preserve">September</x:t>
        </x:is>
      </x:c>
      <x:c r="D340" s="2" t="inlineStr">
        <x:is>
          <x:t xml:space="preserve">Stampede Park Infrastructure Upgrade</x:t>
        </x:is>
      </x:c>
      <x:c r="E340" s="2" t="inlineStr">
        <x:is>
          <x:t xml:space="preserve">Calgary SE</x:t>
        </x:is>
      </x:c>
      <x:c r="F340" s="2" t="inlineStr">
        <x:is>
          <x:t xml:space="preserve">Aisha Nkosi</x:t>
        </x:is>
      </x:c>
      <x:c r="G340" s="2" t="inlineStr">
        <x:is>
          <x:t xml:space="preserve">Finishing</x:t>
        </x:is>
      </x:c>
      <x:c r="H340" s="2" t="inlineStr">
        <x:is>
          <x:t xml:space="preserve">Drywall &amp; Framing</x:t>
        </x:is>
      </x:c>
      <x:c r="I340" s="2" t="inlineStr">
        <x:is>
          <x:t xml:space="preserve">Dryvit Systems Canada</x:t>
        </x:is>
      </x:c>
      <x:c r="J340" s="2" t="inlineStr">
        <x:is>
          <x:t xml:space="preserve">LPO – Direct Award</x:t>
        </x:is>
      </x:c>
      <x:c r="K340" s="3" t="n">
        <x:v>41</x:v>
      </x:c>
      <x:c r="L340" s="2" t="inlineStr">
        <x:is>
          <x:t xml:space="preserve">m²</x:t>
        </x:is>
      </x:c>
      <x:c r="M340" s="4" t="n">
        <x:v>107.79</x:v>
      </x:c>
      <x:c r="N340" s="4" t="n">
        <x:v>116.92</x:v>
      </x:c>
      <x:c r="O340" s="4" t="n">
        <x:v>4419.39</x:v>
      </x:c>
      <x:c r="P340" s="4" t="n">
        <x:v>4793.72</x:v>
      </x:c>
      <x:c r="Q340" s="4" t="n">
        <x:v>-374.33</x:v>
      </x:c>
      <x:c r="R340" s="5" t="n">
        <x:v>-7.8</x:v>
      </x:c>
      <x:c r="S340" s="3" t="n">
        <x:v>82</x:v>
      </x:c>
      <x:c r="T340" s="2" t="inlineStr">
        <x:is>
          <x:t xml:space="preserve">No</x:t>
        </x:is>
      </x:c>
      <x:c r="U340" s="2" t="inlineStr">
        <x:is>
          <x:t xml:space="preserve">Partially Delivered</x:t>
        </x:is>
      </x:c>
    </x:row>
    <x:row r="341">
      <x:c r="A341" s="6" t="inlineStr">
        <x:is>
          <x:t xml:space="preserve">PO-2025-0340</x:t>
        </x:is>
      </x:c>
      <x:c r="B341" s="6" t="inlineStr">
        <x:is>
          <x:t xml:space="preserve">06/09/2025</x:t>
        </x:is>
      </x:c>
      <x:c r="C341" s="6" t="inlineStr">
        <x:is>
          <x:t xml:space="preserve">September</x:t>
        </x:is>
      </x:c>
      <x:c r="D341" s="6" t="inlineStr">
        <x:is>
          <x:t xml:space="preserve">Springbank Off-Stream Reservoir</x:t>
        </x:is>
      </x:c>
      <x:c r="E341" s="6" t="inlineStr">
        <x:is>
          <x:t xml:space="preserve">Calgary SE</x:t>
        </x:is>
      </x:c>
      <x:c r="F341" s="6" t="inlineStr">
        <x:is>
          <x:t xml:space="preserve">Priya Sharma</x:t>
        </x:is>
      </x:c>
      <x:c r="G341" s="6" t="inlineStr">
        <x:is>
          <x:t xml:space="preserve">Safety &amp; Temp Works</x:t>
        </x:is>
      </x:c>
      <x:c r="H341" s="6" t="inlineStr">
        <x:is>
          <x:t xml:space="preserve">Site Office Trailer</x:t>
        </x:is>
      </x:c>
      <x:c r="I341" s="6" t="inlineStr">
        <x:is>
          <x:t xml:space="preserve">Levitt-Safety Calgary</x:t>
        </x:is>
      </x:c>
      <x:c r="J341" s="6" t="inlineStr">
        <x:is>
          <x:t xml:space="preserve">Emergency Procurement</x:t>
        </x:is>
      </x:c>
      <x:c r="K341" s="7" t="n">
        <x:v>55</x:v>
      </x:c>
      <x:c r="L341" s="6" t="inlineStr">
        <x:is>
          <x:t xml:space="preserve">lot</x:t>
        </x:is>
      </x:c>
      <x:c r="M341" s="8" t="n">
        <x:v>14339.97</x:v>
      </x:c>
      <x:c r="N341" s="8" t="n">
        <x:v>14948.3</x:v>
      </x:c>
      <x:c r="O341" s="8" t="n">
        <x:v>788698.35</x:v>
      </x:c>
      <x:c r="P341" s="8" t="n">
        <x:v>822156.5</x:v>
      </x:c>
      <x:c r="Q341" s="8" t="n">
        <x:v>-33458.15</x:v>
      </x:c>
      <x:c r="R341" s="9" t="n">
        <x:v>-4.1</x:v>
      </x:c>
      <x:c r="S341" s="7" t="n">
        <x:v>65</x:v>
      </x:c>
      <x:c r="T341" s="6" t="inlineStr">
        <x:is>
          <x:t xml:space="preserve">Yes</x:t>
        </x:is>
      </x:c>
      <x:c r="U341" s="6" t="inlineStr">
        <x:is>
          <x:t xml:space="preserve">Partially Delivered</x:t>
        </x:is>
      </x:c>
    </x:row>
    <x:row r="342">
      <x:c r="A342" s="2" t="inlineStr">
        <x:is>
          <x:t xml:space="preserve">PO-2025-0341</x:t>
        </x:is>
      </x:c>
      <x:c r="B342" s="2" t="inlineStr">
        <x:is>
          <x:t xml:space="preserve">19/09/2025</x:t>
        </x:is>
      </x:c>
      <x:c r="C342" s="2" t="inlineStr">
        <x:is>
          <x:t xml:space="preserve">September</x:t>
        </x:is>
      </x:c>
      <x:c r="D342" s="2" t="inlineStr">
        <x:is>
          <x:t xml:space="preserve">Springbank Off-Stream Reservoir</x:t>
        </x:is>
      </x:c>
      <x:c r="E342" s="2" t="inlineStr">
        <x:is>
          <x:t xml:space="preserve">Calgary SE</x:t>
        </x:is>
      </x:c>
      <x:c r="F342" s="2" t="inlineStr">
        <x:is>
          <x:t xml:space="preserve">James Okafor</x:t>
        </x:is>
      </x:c>
      <x:c r="G342" s="2" t="inlineStr">
        <x:is>
          <x:t xml:space="preserve">MEP - Electrical</x:t>
        </x:is>
      </x:c>
      <x:c r="H342" s="2" t="inlineStr">
        <x:is>
          <x:t xml:space="preserve">LV Switchgear Panel</x:t>
        </x:is>
      </x:c>
      <x:c r="I342" s="2" t="inlineStr">
        <x:is>
          <x:t xml:space="preserve">Schneider Electric Canada</x:t>
        </x:is>
      </x:c>
      <x:c r="J342" s="2" t="inlineStr">
        <x:is>
          <x:t xml:space="preserve">3-Quote Comparison</x:t>
        </x:is>
      </x:c>
      <x:c r="K342" s="3" t="n">
        <x:v>24</x:v>
      </x:c>
      <x:c r="L342" s="2" t="inlineStr">
        <x:is>
          <x:t xml:space="preserve">lot</x:t>
        </x:is>
      </x:c>
      <x:c r="M342" s="4" t="n">
        <x:v>73494.88</x:v>
      </x:c>
      <x:c r="N342" s="4" t="n">
        <x:v>67956.14</x:v>
      </x:c>
      <x:c r="O342" s="4" t="n">
        <x:v>1763877.12</x:v>
      </x:c>
      <x:c r="P342" s="4" t="n">
        <x:v>1630947.36</x:v>
      </x:c>
      <x:c r="Q342" s="4" t="n">
        <x:v>132929.76</x:v>
      </x:c>
      <x:c r="R342" s="5" t="n">
        <x:v>8.199999999999999</x:v>
      </x:c>
      <x:c r="S342" s="3" t="n">
        <x:v>70</x:v>
      </x:c>
      <x:c r="T342" s="2" t="inlineStr">
        <x:is>
          <x:t xml:space="preserve">No</x:t>
        </x:is>
      </x:c>
      <x:c r="U342" s="2" t="inlineStr">
        <x:is>
          <x:t xml:space="preserve">Delivered</x:t>
        </x:is>
      </x:c>
    </x:row>
    <x:row r="343">
      <x:c r="A343" s="6" t="inlineStr">
        <x:is>
          <x:t xml:space="preserve">PO-2025-0342</x:t>
        </x:is>
      </x:c>
      <x:c r="B343" s="6" t="inlineStr">
        <x:is>
          <x:t xml:space="preserve">15/02/2025</x:t>
        </x:is>
      </x:c>
      <x:c r="C343" s="6" t="inlineStr">
        <x:is>
          <x:t xml:space="preserve">February</x:t>
        </x:is>
      </x:c>
      <x:c r="D343" s="6" t="inlineStr">
        <x:is>
          <x:t xml:space="preserve">Stampede Park Infrastructure Upgrade</x:t>
        </x:is>
      </x:c>
      <x:c r="E343" s="6" t="inlineStr">
        <x:is>
          <x:t xml:space="preserve">Calgary NE</x:t>
        </x:is>
      </x:c>
      <x:c r="F343" s="6" t="inlineStr">
        <x:is>
          <x:t xml:space="preserve">Priya Sharma</x:t>
        </x:is>
      </x:c>
      <x:c r="G343" s="6" t="inlineStr">
        <x:is>
          <x:t xml:space="preserve">Finishing</x:t>
        </x:is>
      </x:c>
      <x:c r="H343" s="6" t="inlineStr">
        <x:is>
          <x:t xml:space="preserve">Drywall &amp; Framing</x:t>
        </x:is>
      </x:c>
      <x:c r="I343" s="6" t="inlineStr">
        <x:is>
          <x:t xml:space="preserve">Dryvit Systems Canada</x:t>
        </x:is>
      </x:c>
      <x:c r="J343" s="6" t="inlineStr">
        <x:is>
          <x:t xml:space="preserve">Standing Offer Agreement</x:t>
        </x:is>
      </x:c>
      <x:c r="K343" s="7" t="n">
        <x:v>110</x:v>
      </x:c>
      <x:c r="L343" s="6" t="inlineStr">
        <x:is>
          <x:t xml:space="preserve">m²</x:t>
        </x:is>
      </x:c>
      <x:c r="M343" s="8" t="n">
        <x:v>448.73</x:v>
      </x:c>
      <x:c r="N343" s="8" t="n">
        <x:v>446.57</x:v>
      </x:c>
      <x:c r="O343" s="8" t="n">
        <x:v>49360.3</x:v>
      </x:c>
      <x:c r="P343" s="8" t="n">
        <x:v>49122.7</x:v>
      </x:c>
      <x:c r="Q343" s="8" t="n">
        <x:v>237.6</x:v>
      </x:c>
      <x:c r="R343" s="9" t="n">
        <x:v>0.5</x:v>
      </x:c>
      <x:c r="S343" s="7" t="n">
        <x:v>60</x:v>
      </x:c>
      <x:c r="T343" s="6" t="inlineStr">
        <x:is>
          <x:t xml:space="preserve">Yes</x:t>
        </x:is>
      </x:c>
      <x:c r="U343" s="6" t="inlineStr">
        <x:is>
          <x:t xml:space="preserve">Delivered</x:t>
        </x:is>
      </x:c>
    </x:row>
    <x:row r="344">
      <x:c r="A344" s="2" t="inlineStr">
        <x:is>
          <x:t xml:space="preserve">PO-2025-0343</x:t>
        </x:is>
      </x:c>
      <x:c r="B344" s="2" t="inlineStr">
        <x:is>
          <x:t xml:space="preserve">11/11/2025</x:t>
        </x:is>
      </x:c>
      <x:c r="C344" s="2" t="inlineStr">
        <x:is>
          <x:t xml:space="preserve">November</x:t>
        </x:is>
      </x:c>
      <x:c r="D344" s="2" t="inlineStr">
        <x:is>
          <x:t xml:space="preserve">Deerfoot Trail Widening - North</x:t>
        </x:is>
      </x:c>
      <x:c r="E344" s="2" t="inlineStr">
        <x:is>
          <x:t xml:space="preserve">Rocky View County</x:t>
        </x:is>
      </x:c>
      <x:c r="F344" s="2" t="inlineStr">
        <x:is>
          <x:t xml:space="preserve">Linda Tran</x:t>
        </x:is>
      </x:c>
      <x:c r="G344" s="2" t="inlineStr">
        <x:is>
          <x:t xml:space="preserve">Finishing</x:t>
        </x:is>
      </x:c>
      <x:c r="H344" s="2" t="inlineStr">
        <x:is>
          <x:t xml:space="preserve">Ceramic Floor Tile</x:t>
        </x:is>
      </x:c>
      <x:c r="I344" s="2" t="inlineStr">
        <x:is>
          <x:t xml:space="preserve">Dryvit Systems Canada</x:t>
        </x:is>
      </x:c>
      <x:c r="J344" s="2" t="inlineStr">
        <x:is>
          <x:t xml:space="preserve">3-Quote Comparison</x:t>
        </x:is>
      </x:c>
      <x:c r="K344" s="3" t="n">
        <x:v>77</x:v>
      </x:c>
      <x:c r="L344" s="2" t="inlineStr">
        <x:is>
          <x:t xml:space="preserve">m²</x:t>
        </x:is>
      </x:c>
      <x:c r="M344" s="4" t="n">
        <x:v>441.88</x:v>
      </x:c>
      <x:c r="N344" s="4" t="n">
        <x:v>494.66</x:v>
      </x:c>
      <x:c r="O344" s="4" t="n">
        <x:v>34024.76</x:v>
      </x:c>
      <x:c r="P344" s="4" t="n">
        <x:v>38088.82</x:v>
      </x:c>
      <x:c r="Q344" s="4" t="n">
        <x:v>-4064.06</x:v>
      </x:c>
      <x:c r="R344" s="5" t="n">
        <x:v>-10.7</x:v>
      </x:c>
      <x:c r="S344" s="3" t="n">
        <x:v>47</x:v>
      </x:c>
      <x:c r="T344" s="2" t="inlineStr">
        <x:is>
          <x:t xml:space="preserve">Yes</x:t>
        </x:is>
      </x:c>
      <x:c r="U344" s="2" t="inlineStr">
        <x:is>
          <x:t xml:space="preserve">Pending</x:t>
        </x:is>
      </x:c>
    </x:row>
    <x:row r="345">
      <x:c r="A345" s="6" t="inlineStr">
        <x:is>
          <x:t xml:space="preserve">PO-2025-0344</x:t>
        </x:is>
      </x:c>
      <x:c r="B345" s="6" t="inlineStr">
        <x:is>
          <x:t xml:space="preserve">24/01/2025</x:t>
        </x:is>
      </x:c>
      <x:c r="C345" s="6" t="inlineStr">
        <x:is>
          <x:t xml:space="preserve">January</x:t>
        </x:is>
      </x:c>
      <x:c r="D345" s="6" t="inlineStr">
        <x:is>
          <x:t xml:space="preserve">Foothills Medical Centre Expansion</x:t>
        </x:is>
      </x:c>
      <x:c r="E345" s="6" t="inlineStr">
        <x:is>
          <x:t xml:space="preserve">Rocky View County</x:t>
        </x:is>
      </x:c>
      <x:c r="F345" s="6" t="inlineStr">
        <x:is>
          <x:t xml:space="preserve">James Okafor</x:t>
        </x:is>
      </x:c>
      <x:c r="G345" s="6" t="inlineStr">
        <x:is>
          <x:t xml:space="preserve">MEP - Electrical</x:t>
        </x:is>
      </x:c>
      <x:c r="H345" s="6" t="inlineStr">
        <x:is>
          <x:t xml:space="preserve">LED Site Lighting</x:t>
        </x:is>
      </x:c>
      <x:c r="I345" s="6" t="inlineStr">
        <x:is>
          <x:t xml:space="preserve">Flint Energy Services</x:t>
        </x:is>
      </x:c>
      <x:c r="J345" s="6" t="inlineStr">
        <x:is>
          <x:t xml:space="preserve">Standing Offer Agreement</x:t>
        </x:is>
      </x:c>
      <x:c r="K345" s="7" t="n">
        <x:v>57</x:v>
      </x:c>
      <x:c r="L345" s="6" t="inlineStr">
        <x:is>
          <x:t xml:space="preserve">lot</x:t>
        </x:is>
      </x:c>
      <x:c r="M345" s="8" t="n">
        <x:v>23011.33</x:v>
      </x:c>
      <x:c r="N345" s="8" t="n">
        <x:v>21808.11</x:v>
      </x:c>
      <x:c r="O345" s="8" t="n">
        <x:v>1311645.81</x:v>
      </x:c>
      <x:c r="P345" s="8" t="n">
        <x:v>1243062.27</x:v>
      </x:c>
      <x:c r="Q345" s="8" t="n">
        <x:v>68583.53999999999</x:v>
      </x:c>
      <x:c r="R345" s="9" t="n">
        <x:v>5.5</x:v>
      </x:c>
      <x:c r="S345" s="7" t="n">
        <x:v>48</x:v>
      </x:c>
      <x:c r="T345" s="6" t="inlineStr">
        <x:is>
          <x:t xml:space="preserve">Yes</x:t>
        </x:is>
      </x:c>
      <x:c r="U345" s="6" t="inlineStr">
        <x:is>
          <x:t xml:space="preserve">Delivered</x:t>
        </x:is>
      </x:c>
    </x:row>
    <x:row r="346">
      <x:c r="A346" s="2" t="inlineStr">
        <x:is>
          <x:t xml:space="preserve">PO-2025-0345</x:t>
        </x:is>
      </x:c>
      <x:c r="B346" s="2" t="inlineStr">
        <x:is>
          <x:t xml:space="preserve">27/08/2025</x:t>
        </x:is>
      </x:c>
      <x:c r="C346" s="2" t="inlineStr">
        <x:is>
          <x:t xml:space="preserve">August</x:t>
        </x:is>
      </x:c>
      <x:c r="D346" s="2" t="inlineStr">
        <x:is>
          <x:t xml:space="preserve">Springbank Off-Stream Reservoir</x:t>
        </x:is>
      </x:c>
      <x:c r="E346" s="2" t="inlineStr">
        <x:is>
          <x:t xml:space="preserve">Rocky View County</x:t>
        </x:is>
      </x:c>
      <x:c r="F346" s="2" t="inlineStr">
        <x:is>
          <x:t xml:space="preserve">Linda Tran</x:t>
        </x:is>
      </x:c>
      <x:c r="G346" s="2" t="inlineStr">
        <x:is>
          <x:t xml:space="preserve">Safety &amp; Temp Works</x:t>
        </x:is>
      </x:c>
      <x:c r="H346" s="2" t="inlineStr">
        <x:is>
          <x:t xml:space="preserve">Scaffolding System</x:t>
        </x:is>
      </x:c>
      <x:c r="I346" s="2" t="inlineStr">
        <x:is>
          <x:t xml:space="preserve">Safway Alberta</x:t>
        </x:is>
      </x:c>
      <x:c r="J346" s="2" t="inlineStr">
        <x:is>
          <x:t xml:space="preserve">Tender – Open</x:t>
        </x:is>
      </x:c>
      <x:c r="K346" s="3" t="n">
        <x:v>92</x:v>
      </x:c>
      <x:c r="L346" s="2" t="inlineStr">
        <x:is>
          <x:t xml:space="preserve">lot</x:t>
        </x:is>
      </x:c>
      <x:c r="M346" s="4" t="n">
        <x:v>5762.54</x:v>
      </x:c>
      <x:c r="N346" s="4" t="n">
        <x:v>7117.19</x:v>
      </x:c>
      <x:c r="O346" s="4" t="n">
        <x:v>530153.6800000001</x:v>
      </x:c>
      <x:c r="P346" s="4" t="n">
        <x:v>654781.48</x:v>
      </x:c>
      <x:c r="Q346" s="4" t="n">
        <x:v>-124627.8</x:v>
      </x:c>
      <x:c r="R346" s="5" t="n">
        <x:v>-19</x:v>
      </x:c>
      <x:c r="S346" s="3" t="n">
        <x:v>67</x:v>
      </x:c>
      <x:c r="T346" s="2" t="inlineStr">
        <x:is>
          <x:t xml:space="preserve">Yes</x:t>
        </x:is>
      </x:c>
      <x:c r="U346" s="2" t="inlineStr">
        <x:is>
          <x:t xml:space="preserve">Delivered</x:t>
        </x:is>
      </x:c>
    </x:row>
    <x:row r="347">
      <x:c r="A347" s="6" t="inlineStr">
        <x:is>
          <x:t xml:space="preserve">PO-2025-0346</x:t>
        </x:is>
      </x:c>
      <x:c r="B347" s="6" t="inlineStr">
        <x:is>
          <x:t xml:space="preserve">08/11/2025</x:t>
        </x:is>
      </x:c>
      <x:c r="C347" s="6" t="inlineStr">
        <x:is>
          <x:t xml:space="preserve">November</x:t>
        </x:is>
      </x:c>
      <x:c r="D347" s="6" t="inlineStr">
        <x:is>
          <x:t xml:space="preserve">Springbank Off-Stream Reservoir</x:t>
        </x:is>
      </x:c>
      <x:c r="E347" s="6" t="inlineStr">
        <x:is>
          <x:t xml:space="preserve">Calgary SE</x:t>
        </x:is>
      </x:c>
      <x:c r="F347" s="6" t="inlineStr">
        <x:is>
          <x:t xml:space="preserve">Derek McLean</x:t>
        </x:is>
      </x:c>
      <x:c r="G347" s="6" t="inlineStr">
        <x:is>
          <x:t xml:space="preserve">Civil Works</x:t>
        </x:is>
      </x:c>
      <x:c r="H347" s="6" t="inlineStr">
        <x:is>
          <x:t xml:space="preserve">Curb &amp; Gutter Concrete</x:t>
        </x:is>
      </x:c>
      <x:c r="I347" s="6" t="inlineStr">
        <x:is>
          <x:t xml:space="preserve">EllisDon Civil</x:t>
        </x:is>
      </x:c>
      <x:c r="J347" s="6" t="inlineStr">
        <x:is>
          <x:t xml:space="preserve">Standing Offer Agreement</x:t>
        </x:is>
      </x:c>
      <x:c r="K347" s="7" t="n">
        <x:v>67</x:v>
      </x:c>
      <x:c r="L347" s="6" t="inlineStr">
        <x:is>
          <x:t xml:space="preserve">m³</x:t>
        </x:is>
      </x:c>
      <x:c r="M347" s="8" t="n">
        <x:v>202.28</x:v>
      </x:c>
      <x:c r="N347" s="8" t="n">
        <x:v>244.25</x:v>
      </x:c>
      <x:c r="O347" s="8" t="n">
        <x:v>13552.76</x:v>
      </x:c>
      <x:c r="P347" s="8" t="n">
        <x:v>16364.75</x:v>
      </x:c>
      <x:c r="Q347" s="8" t="n">
        <x:v>-2811.99</x:v>
      </x:c>
      <x:c r="R347" s="9" t="n">
        <x:v>-17.2</x:v>
      </x:c>
      <x:c r="S347" s="7" t="n">
        <x:v>59</x:v>
      </x:c>
      <x:c r="T347" s="6" t="inlineStr">
        <x:is>
          <x:t xml:space="preserve">Yes</x:t>
        </x:is>
      </x:c>
      <x:c r="U347" s="6" t="inlineStr">
        <x:is>
          <x:t xml:space="preserve">Delivered</x:t>
        </x:is>
      </x:c>
    </x:row>
    <x:row r="348">
      <x:c r="A348" s="2" t="inlineStr">
        <x:is>
          <x:t xml:space="preserve">PO-2025-0347</x:t>
        </x:is>
      </x:c>
      <x:c r="B348" s="2" t="inlineStr">
        <x:is>
          <x:t xml:space="preserve">10/04/2025</x:t>
        </x:is>
      </x:c>
      <x:c r="C348" s="2" t="inlineStr">
        <x:is>
          <x:t xml:space="preserve">April</x:t>
        </x:is>
      </x:c>
      <x:c r="D348" s="2" t="inlineStr">
        <x:is>
          <x:t xml:space="preserve">Calgary SE Ring Road Extension</x:t>
        </x:is>
      </x:c>
      <x:c r="E348" s="2" t="inlineStr">
        <x:is>
          <x:t xml:space="preserve">Calgary SE</x:t>
        </x:is>
      </x:c>
      <x:c r="F348" s="2" t="inlineStr">
        <x:is>
          <x:t xml:space="preserve">Mohammed Siddiqui</x:t>
        </x:is>
      </x:c>
      <x:c r="G348" s="2" t="inlineStr">
        <x:is>
          <x:t xml:space="preserve">Concrete &amp; Structural</x:t>
        </x:is>
      </x:c>
      <x:c r="H348" s="2" t="inlineStr">
        <x:is>
          <x:t xml:space="preserve">Ready-Mix Concrete</x:t>
        </x:is>
      </x:c>
      <x:c r="I348" s="2" t="inlineStr">
        <x:is>
          <x:t xml:space="preserve">Lafarge Canada - Calgary</x:t>
        </x:is>
      </x:c>
      <x:c r="J348" s="2" t="inlineStr">
        <x:is>
          <x:t xml:space="preserve">LPO – Direct Award</x:t>
        </x:is>
      </x:c>
      <x:c r="K348" s="3" t="n">
        <x:v>119</x:v>
      </x:c>
      <x:c r="L348" s="2" t="inlineStr">
        <x:is>
          <x:t xml:space="preserve">m³</x:t>
        </x:is>
      </x:c>
      <x:c r="M348" s="4" t="n">
        <x:v>580.78</x:v>
      </x:c>
      <x:c r="N348" s="4" t="n">
        <x:v>608.77</x:v>
      </x:c>
      <x:c r="O348" s="4" t="n">
        <x:v>69112.82000000001</x:v>
      </x:c>
      <x:c r="P348" s="4" t="n">
        <x:v>72443.63</x:v>
      </x:c>
      <x:c r="Q348" s="4" t="n">
        <x:v>-3330.81</x:v>
      </x:c>
      <x:c r="R348" s="5" t="n">
        <x:v>-4.6</x:v>
      </x:c>
      <x:c r="S348" s="3" t="n">
        <x:v>63</x:v>
      </x:c>
      <x:c r="T348" s="2" t="inlineStr">
        <x:is>
          <x:t xml:space="preserve">No</x:t>
        </x:is>
      </x:c>
      <x:c r="U348" s="2" t="inlineStr">
        <x:is>
          <x:t xml:space="preserve">Delivered</x:t>
        </x:is>
      </x:c>
    </x:row>
    <x:row r="349">
      <x:c r="A349" s="6" t="inlineStr">
        <x:is>
          <x:t xml:space="preserve">PO-2025-0348</x:t>
        </x:is>
      </x:c>
      <x:c r="B349" s="6" t="inlineStr">
        <x:is>
          <x:t xml:space="preserve">17/06/2025</x:t>
        </x:is>
      </x:c>
      <x:c r="C349" s="6" t="inlineStr">
        <x:is>
          <x:t xml:space="preserve">June</x:t>
        </x:is>
      </x:c>
      <x:c r="D349" s="6" t="inlineStr">
        <x:is>
          <x:t xml:space="preserve">Bow River Crossing Overpass</x:t>
        </x:is>
      </x:c>
      <x:c r="E349" s="6" t="inlineStr">
        <x:is>
          <x:t xml:space="preserve">Calgary NE</x:t>
        </x:is>
      </x:c>
      <x:c r="F349" s="6" t="inlineStr">
        <x:is>
          <x:t xml:space="preserve">Aisha Nkosi</x:t>
        </x:is>
      </x:c>
      <x:c r="G349" s="6" t="inlineStr">
        <x:is>
          <x:t xml:space="preserve">Civil Works</x:t>
        </x:is>
      </x:c>
      <x:c r="H349" s="6" t="inlineStr">
        <x:is>
          <x:t xml:space="preserve">Road Base Aggregate</x:t>
        </x:is>
      </x:c>
      <x:c r="I349" s="6" t="inlineStr">
        <x:is>
          <x:t xml:space="preserve">EllisDon Civil</x:t>
        </x:is>
      </x:c>
      <x:c r="J349" s="6" t="inlineStr">
        <x:is>
          <x:t xml:space="preserve">Emergency Procurement</x:t>
        </x:is>
      </x:c>
      <x:c r="K349" s="7" t="n">
        <x:v>110</x:v>
      </x:c>
      <x:c r="L349" s="6" t="inlineStr">
        <x:is>
          <x:t xml:space="preserve">m³</x:t>
        </x:is>
      </x:c>
      <x:c r="M349" s="8" t="n">
        <x:v>220.28</x:v>
      </x:c>
      <x:c r="N349" s="8" t="n">
        <x:v>209.54</x:v>
      </x:c>
      <x:c r="O349" s="8" t="n">
        <x:v>24230.8</x:v>
      </x:c>
      <x:c r="P349" s="8" t="n">
        <x:v>23049.4</x:v>
      </x:c>
      <x:c r="Q349" s="8" t="n">
        <x:v>1181.4</x:v>
      </x:c>
      <x:c r="R349" s="9" t="n">
        <x:v>5.1</x:v>
      </x:c>
      <x:c r="S349" s="7" t="n">
        <x:v>17</x:v>
      </x:c>
      <x:c r="T349" s="6" t="inlineStr">
        <x:is>
          <x:t xml:space="preserve">Yes</x:t>
        </x:is>
      </x:c>
      <x:c r="U349" s="6" t="inlineStr">
        <x:is>
          <x:t xml:space="preserve">Cancelled</x:t>
        </x:is>
      </x:c>
    </x:row>
    <x:row r="350">
      <x:c r="A350" s="2" t="inlineStr">
        <x:is>
          <x:t xml:space="preserve">PO-2025-0349</x:t>
        </x:is>
      </x:c>
      <x:c r="B350" s="2" t="inlineStr">
        <x:is>
          <x:t xml:space="preserve">03/11/2025</x:t>
        </x:is>
      </x:c>
      <x:c r="C350" s="2" t="inlineStr">
        <x:is>
          <x:t xml:space="preserve">November</x:t>
        </x:is>
      </x:c>
      <x:c r="D350" s="2" t="inlineStr">
        <x:is>
          <x:t xml:space="preserve">Foothills Medical Centre Expansion</x:t>
        </x:is>
      </x:c>
      <x:c r="E350" s="2" t="inlineStr">
        <x:is>
          <x:t xml:space="preserve">Rocky View County</x:t>
        </x:is>
      </x:c>
      <x:c r="F350" s="2" t="inlineStr">
        <x:is>
          <x:t xml:space="preserve">Priya Sharma</x:t>
        </x:is>
      </x:c>
      <x:c r="G350" s="2" t="inlineStr">
        <x:is>
          <x:t xml:space="preserve">MEP - Electrical</x:t>
        </x:is>
      </x:c>
      <x:c r="H350" s="2" t="inlineStr">
        <x:is>
          <x:t xml:space="preserve">LED Site Lighting</x:t>
        </x:is>
      </x:c>
      <x:c r="I350" s="2" t="inlineStr">
        <x:is>
          <x:t xml:space="preserve">Flint Energy Services</x:t>
        </x:is>
      </x:c>
      <x:c r="J350" s="2" t="inlineStr">
        <x:is>
          <x:t xml:space="preserve">Standing Offer Agreement</x:t>
        </x:is>
      </x:c>
      <x:c r="K350" s="3" t="n">
        <x:v>62</x:v>
      </x:c>
      <x:c r="L350" s="2" t="inlineStr">
        <x:is>
          <x:t xml:space="preserve">lot</x:t>
        </x:is>
      </x:c>
      <x:c r="M350" s="4" t="n">
        <x:v>83387.60000000001</x:v>
      </x:c>
      <x:c r="N350" s="4" t="n">
        <x:v>78818.11</x:v>
      </x:c>
      <x:c r="O350" s="4" t="n">
        <x:v>5170031.2</x:v>
      </x:c>
      <x:c r="P350" s="4" t="n">
        <x:v>4886722.82</x:v>
      </x:c>
      <x:c r="Q350" s="4" t="n">
        <x:v>283308.38</x:v>
      </x:c>
      <x:c r="R350" s="5" t="n">
        <x:v>5.8</x:v>
      </x:c>
      <x:c r="S350" s="3" t="n">
        <x:v>24</x:v>
      </x:c>
      <x:c r="T350" s="2" t="inlineStr">
        <x:is>
          <x:t xml:space="preserve">Yes</x:t>
        </x:is>
      </x:c>
      <x:c r="U350" s="2" t="inlineStr">
        <x:is>
          <x:t xml:space="preserve">Partially Delivered</x:t>
        </x:is>
      </x:c>
    </x:row>
    <x:row r="351">
      <x:c r="A351" s="6" t="inlineStr">
        <x:is>
          <x:t xml:space="preserve">PO-2025-0350</x:t>
        </x:is>
      </x:c>
      <x:c r="B351" s="6" t="inlineStr">
        <x:is>
          <x:t xml:space="preserve">20/05/2025</x:t>
        </x:is>
      </x:c>
      <x:c r="C351" s="6" t="inlineStr">
        <x:is>
          <x:t xml:space="preserve">May</x:t>
        </x:is>
      </x:c>
      <x:c r="D351" s="6" t="inlineStr">
        <x:is>
          <x:t xml:space="preserve">Foothills Medical Centre Expansion</x:t>
        </x:is>
      </x:c>
      <x:c r="E351" s="6" t="inlineStr">
        <x:is>
          <x:t xml:space="preserve">Calgary NE</x:t>
        </x:is>
      </x:c>
      <x:c r="F351" s="6" t="inlineStr">
        <x:is>
          <x:t xml:space="preserve">Liam Kowalski</x:t>
        </x:is>
      </x:c>
      <x:c r="G351" s="6" t="inlineStr">
        <x:is>
          <x:t xml:space="preserve">Concrete &amp; Structural</x:t>
        </x:is>
      </x:c>
      <x:c r="H351" s="6" t="inlineStr">
        <x:is>
          <x:t xml:space="preserve">Post-Tension Cables</x:t>
        </x:is>
      </x:c>
      <x:c r="I351" s="6" t="inlineStr">
        <x:is>
          <x:t xml:space="preserve">Inland Concrete</x:t>
        </x:is>
      </x:c>
      <x:c r="J351" s="6" t="inlineStr">
        <x:is>
          <x:t xml:space="preserve">3-Quote Comparison</x:t>
        </x:is>
      </x:c>
      <x:c r="K351" s="7" t="n">
        <x:v>51</x:v>
      </x:c>
      <x:c r="L351" s="6" t="inlineStr">
        <x:is>
          <x:t xml:space="preserve">m³</x:t>
        </x:is>
      </x:c>
      <x:c r="M351" s="8" t="n">
        <x:v>365.5</x:v>
      </x:c>
      <x:c r="N351" s="8" t="n">
        <x:v>409.84</x:v>
      </x:c>
      <x:c r="O351" s="8" t="n">
        <x:v>18640.5</x:v>
      </x:c>
      <x:c r="P351" s="8" t="n">
        <x:v>20901.84</x:v>
      </x:c>
      <x:c r="Q351" s="8" t="n">
        <x:v>-2261.34</x:v>
      </x:c>
      <x:c r="R351" s="9" t="n">
        <x:v>-10.8</x:v>
      </x:c>
      <x:c r="S351" s="7" t="n">
        <x:v>33</x:v>
      </x:c>
      <x:c r="T351" s="6" t="inlineStr">
        <x:is>
          <x:t xml:space="preserve">No</x:t>
        </x:is>
      </x:c>
      <x:c r="U351" s="6" t="inlineStr">
        <x:is>
          <x:t xml:space="preserve">Pending</x:t>
        </x:is>
      </x:c>
    </x:row>
    <x:row r="352">
      <x:c r="A352" s="2" t="inlineStr">
        <x:is>
          <x:t xml:space="preserve">PO-2025-0351</x:t>
        </x:is>
      </x:c>
      <x:c r="B352" s="2" t="inlineStr">
        <x:is>
          <x:t xml:space="preserve">15/05/2025</x:t>
        </x:is>
      </x:c>
      <x:c r="C352" s="2" t="inlineStr">
        <x:is>
          <x:t xml:space="preserve">May</x:t>
        </x:is>
      </x:c>
      <x:c r="D352" s="2" t="inlineStr">
        <x:is>
          <x:t xml:space="preserve">Bow River Crossing Overpass</x:t>
        </x:is>
      </x:c>
      <x:c r="E352" s="2" t="inlineStr">
        <x:is>
          <x:t xml:space="preserve">Calgary SE</x:t>
        </x:is>
      </x:c>
      <x:c r="F352" s="2" t="inlineStr">
        <x:is>
          <x:t xml:space="preserve">Sarah Bouchard</x:t>
        </x:is>
      </x:c>
      <x:c r="G352" s="2" t="inlineStr">
        <x:is>
          <x:t xml:space="preserve">MEP - Mechanical</x:t>
        </x:is>
      </x:c>
      <x:c r="H352" s="2" t="inlineStr">
        <x:is>
          <x:t xml:space="preserve">Heat Pump Assembly</x:t>
        </x:is>
      </x:c>
      <x:c r="I352" s="2" t="inlineStr">
        <x:is>
          <x:t xml:space="preserve">Stantec MEP</x:t>
        </x:is>
      </x:c>
      <x:c r="J352" s="2" t="inlineStr">
        <x:is>
          <x:t xml:space="preserve">Emergency Procurement</x:t>
        </x:is>
      </x:c>
      <x:c r="K352" s="3" t="n">
        <x:v>33</x:v>
      </x:c>
      <x:c r="L352" s="2" t="inlineStr">
        <x:is>
          <x:t xml:space="preserve">lot</x:t>
        </x:is>
      </x:c>
      <x:c r="M352" s="4" t="n">
        <x:v>63488.66</x:v>
      </x:c>
      <x:c r="N352" s="4" t="n">
        <x:v>56648.81</x:v>
      </x:c>
      <x:c r="O352" s="4" t="n">
        <x:v>2095125.78</x:v>
      </x:c>
      <x:c r="P352" s="4" t="n">
        <x:v>1869410.73</x:v>
      </x:c>
      <x:c r="Q352" s="4" t="n">
        <x:v>225715.05</x:v>
      </x:c>
      <x:c r="R352" s="5" t="n">
        <x:v>12.1</x:v>
      </x:c>
      <x:c r="S352" s="3" t="n">
        <x:v>17</x:v>
      </x:c>
      <x:c r="T352" s="2" t="inlineStr">
        <x:is>
          <x:t xml:space="preserve">Yes</x:t>
        </x:is>
      </x:c>
      <x:c r="U352" s="2" t="inlineStr">
        <x:is>
          <x:t xml:space="preserve">Delivered</x:t>
        </x:is>
      </x:c>
    </x:row>
    <x:row r="353">
      <x:c r="A353" s="6" t="inlineStr">
        <x:is>
          <x:t xml:space="preserve">PO-2025-0352</x:t>
        </x:is>
      </x:c>
      <x:c r="B353" s="6" t="inlineStr">
        <x:is>
          <x:t xml:space="preserve">13/02/2025</x:t>
        </x:is>
      </x:c>
      <x:c r="C353" s="6" t="inlineStr">
        <x:is>
          <x:t xml:space="preserve">February</x:t>
        </x:is>
      </x:c>
      <x:c r="D353" s="6" t="inlineStr">
        <x:is>
          <x:t xml:space="preserve">Bow River Crossing Overpass</x:t>
        </x:is>
      </x:c>
      <x:c r="E353" s="6" t="inlineStr">
        <x:is>
          <x:t xml:space="preserve">Calgary NE</x:t>
        </x:is>
      </x:c>
      <x:c r="F353" s="6" t="inlineStr">
        <x:is>
          <x:t xml:space="preserve">Linda Tran</x:t>
        </x:is>
      </x:c>
      <x:c r="G353" s="6" t="inlineStr">
        <x:is>
          <x:t xml:space="preserve">MEP - Mechanical</x:t>
        </x:is>
      </x:c>
      <x:c r="H353" s="6" t="inlineStr">
        <x:is>
          <x:t xml:space="preserve">Air Handling Unit</x:t>
        </x:is>
      </x:c>
      <x:c r="I353" s="6" t="inlineStr">
        <x:is>
          <x:t xml:space="preserve">Stantec MEP</x:t>
        </x:is>
      </x:c>
      <x:c r="J353" s="6" t="inlineStr">
        <x:is>
          <x:t xml:space="preserve">3-Quote Comparison</x:t>
        </x:is>
      </x:c>
      <x:c r="K353" s="7" t="n">
        <x:v>111</x:v>
      </x:c>
      <x:c r="L353" s="6" t="inlineStr">
        <x:is>
          <x:t xml:space="preserve">lot</x:t>
        </x:is>
      </x:c>
      <x:c r="M353" s="8" t="n">
        <x:v>48256.83</x:v>
      </x:c>
      <x:c r="N353" s="8" t="n">
        <x:v>59742.58</x:v>
      </x:c>
      <x:c r="O353" s="8" t="n">
        <x:v>5356508.13</x:v>
      </x:c>
      <x:c r="P353" s="8" t="n">
        <x:v>6631426.38</x:v>
      </x:c>
      <x:c r="Q353" s="8" t="n">
        <x:v>-1274918.25</x:v>
      </x:c>
      <x:c r="R353" s="9" t="n">
        <x:v>-19.2</x:v>
      </x:c>
      <x:c r="S353" s="7" t="n">
        <x:v>83</x:v>
      </x:c>
      <x:c r="T353" s="6" t="inlineStr">
        <x:is>
          <x:t xml:space="preserve">No</x:t>
        </x:is>
      </x:c>
      <x:c r="U353" s="6" t="inlineStr">
        <x:is>
          <x:t xml:space="preserve">Cancelled</x:t>
        </x:is>
      </x:c>
    </x:row>
    <x:row r="354">
      <x:c r="A354" s="2" t="inlineStr">
        <x:is>
          <x:t xml:space="preserve">PO-2025-0353</x:t>
        </x:is>
      </x:c>
      <x:c r="B354" s="2" t="inlineStr">
        <x:is>
          <x:t xml:space="preserve">03/10/2025</x:t>
        </x:is>
      </x:c>
      <x:c r="C354" s="2" t="inlineStr">
        <x:is>
          <x:t xml:space="preserve">October</x:t>
        </x:is>
      </x:c>
      <x:c r="D354" s="2" t="inlineStr">
        <x:is>
          <x:t xml:space="preserve">Foothills Medical Centre Expansion</x:t>
        </x:is>
      </x:c>
      <x:c r="E354" s="2" t="inlineStr">
        <x:is>
          <x:t xml:space="preserve">Rocky View County</x:t>
        </x:is>
      </x:c>
      <x:c r="F354" s="2" t="inlineStr">
        <x:is>
          <x:t xml:space="preserve">Priya Sharma</x:t>
        </x:is>
      </x:c>
      <x:c r="G354" s="2" t="inlineStr">
        <x:is>
          <x:t xml:space="preserve">Finishing</x:t>
        </x:is>
      </x:c>
      <x:c r="H354" s="2" t="inlineStr">
        <x:is>
          <x:t xml:space="preserve">Drywall &amp; Framing</x:t>
        </x:is>
      </x:c>
      <x:c r="I354" s="2" t="inlineStr">
        <x:is>
          <x:t xml:space="preserve">Centura Tile Calgary</x:t>
        </x:is>
      </x:c>
      <x:c r="J354" s="2" t="inlineStr">
        <x:is>
          <x:t xml:space="preserve">3-Quote Comparison</x:t>
        </x:is>
      </x:c>
      <x:c r="K354" s="3" t="n">
        <x:v>29</x:v>
      </x:c>
      <x:c r="L354" s="2" t="inlineStr">
        <x:is>
          <x:t xml:space="preserve">m²</x:t>
        </x:is>
      </x:c>
      <x:c r="M354" s="4" t="n">
        <x:v>92.97</x:v>
      </x:c>
      <x:c r="N354" s="4" t="n">
        <x:v>86.47</x:v>
      </x:c>
      <x:c r="O354" s="4" t="n">
        <x:v>2696.13</x:v>
      </x:c>
      <x:c r="P354" s="4" t="n">
        <x:v>2507.63</x:v>
      </x:c>
      <x:c r="Q354" s="4" t="n">
        <x:v>188.5</x:v>
      </x:c>
      <x:c r="R354" s="5" t="n">
        <x:v>7.5</x:v>
      </x:c>
      <x:c r="S354" s="3" t="n">
        <x:v>75</x:v>
      </x:c>
      <x:c r="T354" s="2" t="inlineStr">
        <x:is>
          <x:t xml:space="preserve">No</x:t>
        </x:is>
      </x:c>
      <x:c r="U354" s="2" t="inlineStr">
        <x:is>
          <x:t xml:space="preserve">Delivered</x:t>
        </x:is>
      </x:c>
    </x:row>
    <x:row r="355">
      <x:c r="A355" s="6" t="inlineStr">
        <x:is>
          <x:t xml:space="preserve">PO-2025-0354</x:t>
        </x:is>
      </x:c>
      <x:c r="B355" s="6" t="inlineStr">
        <x:is>
          <x:t xml:space="preserve">09/07/2025</x:t>
        </x:is>
      </x:c>
      <x:c r="C355" s="6" t="inlineStr">
        <x:is>
          <x:t xml:space="preserve">July</x:t>
        </x:is>
      </x:c>
      <x:c r="D355" s="6" t="inlineStr">
        <x:is>
          <x:t xml:space="preserve">University District Residential Phase 3</x:t>
        </x:is>
      </x:c>
      <x:c r="E355" s="6" t="inlineStr">
        <x:is>
          <x:t xml:space="preserve">Rocky View County</x:t>
        </x:is>
      </x:c>
      <x:c r="F355" s="6" t="inlineStr">
        <x:is>
          <x:t xml:space="preserve">Derek McLean</x:t>
        </x:is>
      </x:c>
      <x:c r="G355" s="6" t="inlineStr">
        <x:is>
          <x:t xml:space="preserve">MEP - Electrical</x:t>
        </x:is>
      </x:c>
      <x:c r="H355" s="6" t="inlineStr">
        <x:is>
          <x:t xml:space="preserve">MV Distribution Cable</x:t>
        </x:is>
      </x:c>
      <x:c r="I355" s="6" t="inlineStr">
        <x:is>
          <x:t xml:space="preserve">Flint Energy Services</x:t>
        </x:is>
      </x:c>
      <x:c r="J355" s="6" t="inlineStr">
        <x:is>
          <x:t xml:space="preserve">Tender – Open</x:t>
        </x:is>
      </x:c>
      <x:c r="K355" s="7" t="n">
        <x:v>85</x:v>
      </x:c>
      <x:c r="L355" s="6" t="inlineStr">
        <x:is>
          <x:t xml:space="preserve">lot</x:t>
        </x:is>
      </x:c>
      <x:c r="M355" s="8" t="n">
        <x:v>13636.46</x:v>
      </x:c>
      <x:c r="N355" s="8" t="n">
        <x:v>15729.18</x:v>
      </x:c>
      <x:c r="O355" s="8" t="n">
        <x:v>1159099.1</x:v>
      </x:c>
      <x:c r="P355" s="8" t="n">
        <x:v>1336980.3</x:v>
      </x:c>
      <x:c r="Q355" s="8" t="n">
        <x:v>-177881.2</x:v>
      </x:c>
      <x:c r="R355" s="9" t="n">
        <x:v>-13.3</x:v>
      </x:c>
      <x:c r="S355" s="7" t="n">
        <x:v>45</x:v>
      </x:c>
      <x:c r="T355" s="6" t="inlineStr">
        <x:is>
          <x:t xml:space="preserve">Yes</x:t>
        </x:is>
      </x:c>
      <x:c r="U355" s="6" t="inlineStr">
        <x:is>
          <x:t xml:space="preserve">Delivered</x:t>
        </x:is>
      </x:c>
    </x:row>
    <x:row r="356">
      <x:c r="A356" s="2" t="inlineStr">
        <x:is>
          <x:t xml:space="preserve">PO-2025-0355</x:t>
        </x:is>
      </x:c>
      <x:c r="B356" s="2" t="inlineStr">
        <x:is>
          <x:t xml:space="preserve">05/02/2025</x:t>
        </x:is>
      </x:c>
      <x:c r="C356" s="2" t="inlineStr">
        <x:is>
          <x:t xml:space="preserve">February</x:t>
        </x:is>
      </x:c>
      <x:c r="D356" s="2" t="inlineStr">
        <x:is>
          <x:t xml:space="preserve">Deerfoot Trail Widening - North</x:t>
        </x:is>
      </x:c>
      <x:c r="E356" s="2" t="inlineStr">
        <x:is>
          <x:t xml:space="preserve">Calgary SE</x:t>
        </x:is>
      </x:c>
      <x:c r="F356" s="2" t="inlineStr">
        <x:is>
          <x:t xml:space="preserve">Liam Kowalski</x:t>
        </x:is>
      </x:c>
      <x:c r="G356" s="2" t="inlineStr">
        <x:is>
          <x:t xml:space="preserve">Civil Works</x:t>
        </x:is>
      </x:c>
      <x:c r="H356" s="2" t="inlineStr">
        <x:is>
          <x:t xml:space="preserve">Granular Backfill</x:t>
        </x:is>
      </x:c>
      <x:c r="I356" s="2" t="inlineStr">
        <x:is>
          <x:t xml:space="preserve">Kiewit Infrastructure</x:t>
        </x:is>
      </x:c>
      <x:c r="J356" s="2" t="inlineStr">
        <x:is>
          <x:t xml:space="preserve">Standing Offer Agreement</x:t>
        </x:is>
      </x:c>
      <x:c r="K356" s="3" t="n">
        <x:v>107</x:v>
      </x:c>
      <x:c r="L356" s="2" t="inlineStr">
        <x:is>
          <x:t xml:space="preserve">m³</x:t>
        </x:is>
      </x:c>
      <x:c r="M356" s="4" t="n">
        <x:v>131.5</x:v>
      </x:c>
      <x:c r="N356" s="4" t="n">
        <x:v>120.44</x:v>
      </x:c>
      <x:c r="O356" s="4" t="n">
        <x:v>14070.5</x:v>
      </x:c>
      <x:c r="P356" s="4" t="n">
        <x:v>12887.08</x:v>
      </x:c>
      <x:c r="Q356" s="4" t="n">
        <x:v>1183.42</x:v>
      </x:c>
      <x:c r="R356" s="5" t="n">
        <x:v>9.199999999999999</x:v>
      </x:c>
      <x:c r="S356" s="3" t="n">
        <x:v>78</x:v>
      </x:c>
      <x:c r="T356" s="2" t="inlineStr">
        <x:is>
          <x:t xml:space="preserve">No</x:t>
        </x:is>
      </x:c>
      <x:c r="U356" s="2" t="inlineStr">
        <x:is>
          <x:t xml:space="preserve">Partially Delivered</x:t>
        </x:is>
      </x:c>
    </x:row>
    <x:row r="357">
      <x:c r="A357" s="6" t="inlineStr">
        <x:is>
          <x:t xml:space="preserve">PO-2025-0356</x:t>
        </x:is>
      </x:c>
      <x:c r="B357" s="6" t="inlineStr">
        <x:is>
          <x:t xml:space="preserve">10/01/2025</x:t>
        </x:is>
      </x:c>
      <x:c r="C357" s="6" t="inlineStr">
        <x:is>
          <x:t xml:space="preserve">January</x:t>
        </x:is>
      </x:c>
      <x:c r="D357" s="6" t="inlineStr">
        <x:is>
          <x:t xml:space="preserve">Foothills Medical Centre Expansion</x:t>
        </x:is>
      </x:c>
      <x:c r="E357" s="6" t="inlineStr">
        <x:is>
          <x:t xml:space="preserve">Calgary SE</x:t>
        </x:is>
      </x:c>
      <x:c r="F357" s="6" t="inlineStr">
        <x:is>
          <x:t xml:space="preserve">Derek McLean</x:t>
        </x:is>
      </x:c>
      <x:c r="G357" s="6" t="inlineStr">
        <x:is>
          <x:t xml:space="preserve">Finishing</x:t>
        </x:is>
      </x:c>
      <x:c r="H357" s="6" t="inlineStr">
        <x:is>
          <x:t xml:space="preserve">Waterproofing Membrane</x:t>
        </x:is>
      </x:c>
      <x:c r="I357" s="6" t="inlineStr">
        <x:is>
          <x:t xml:space="preserve">Dryvit Systems Canada</x:t>
        </x:is>
      </x:c>
      <x:c r="J357" s="6" t="inlineStr">
        <x:is>
          <x:t xml:space="preserve">Emergency Procurement</x:t>
        </x:is>
      </x:c>
      <x:c r="K357" s="7" t="n">
        <x:v>71</x:v>
      </x:c>
      <x:c r="L357" s="6" t="inlineStr">
        <x:is>
          <x:t xml:space="preserve">m²</x:t>
        </x:is>
      </x:c>
      <x:c r="M357" s="8" t="n">
        <x:v>373.45</x:v>
      </x:c>
      <x:c r="N357" s="8" t="n">
        <x:v>422.52</x:v>
      </x:c>
      <x:c r="O357" s="8" t="n">
        <x:v>26514.95</x:v>
      </x:c>
      <x:c r="P357" s="8" t="n">
        <x:v>29998.92</x:v>
      </x:c>
      <x:c r="Q357" s="8" t="n">
        <x:v>-3483.97</x:v>
      </x:c>
      <x:c r="R357" s="9" t="n">
        <x:v>-11.6</x:v>
      </x:c>
      <x:c r="S357" s="7" t="n">
        <x:v>66</x:v>
      </x:c>
      <x:c r="T357" s="6" t="inlineStr">
        <x:is>
          <x:t xml:space="preserve">Yes</x:t>
        </x:is>
      </x:c>
      <x:c r="U357" s="6" t="inlineStr">
        <x:is>
          <x:t xml:space="preserve">Delivered</x:t>
        </x:is>
      </x:c>
    </x:row>
    <x:row r="358">
      <x:c r="A358" s="2" t="inlineStr">
        <x:is>
          <x:t xml:space="preserve">PO-2025-0357</x:t>
        </x:is>
      </x:c>
      <x:c r="B358" s="2" t="inlineStr">
        <x:is>
          <x:t xml:space="preserve">02/06/2025</x:t>
        </x:is>
      </x:c>
      <x:c r="C358" s="2" t="inlineStr">
        <x:is>
          <x:t xml:space="preserve">June</x:t>
        </x:is>
      </x:c>
      <x:c r="D358" s="2" t="inlineStr">
        <x:is>
          <x:t xml:space="preserve">University District Residential Phase 3</x:t>
        </x:is>
      </x:c>
      <x:c r="E358" s="2" t="inlineStr">
        <x:is>
          <x:t xml:space="preserve">Rocky View County</x:t>
        </x:is>
      </x:c>
      <x:c r="F358" s="2" t="inlineStr">
        <x:is>
          <x:t xml:space="preserve">Priya Sharma</x:t>
        </x:is>
      </x:c>
      <x:c r="G358" s="2" t="inlineStr">
        <x:is>
          <x:t xml:space="preserve">Concrete &amp; Structural</x:t>
        </x:is>
      </x:c>
      <x:c r="H358" s="2" t="inlineStr">
        <x:is>
          <x:t xml:space="preserve">Rebar Steel</x:t>
        </x:is>
      </x:c>
      <x:c r="I358" s="2" t="inlineStr">
        <x:is>
          <x:t xml:space="preserve">Inland Concrete</x:t>
        </x:is>
      </x:c>
      <x:c r="J358" s="2" t="inlineStr">
        <x:is>
          <x:t xml:space="preserve">Standing Offer Agreement</x:t>
        </x:is>
      </x:c>
      <x:c r="K358" s="3" t="n">
        <x:v>17</x:v>
      </x:c>
      <x:c r="L358" s="2" t="inlineStr">
        <x:is>
          <x:t xml:space="preserve">m³</x:t>
        </x:is>
      </x:c>
      <x:c r="M358" s="4" t="n">
        <x:v>314.14</x:v>
      </x:c>
      <x:c r="N358" s="4" t="n">
        <x:v>359.66</x:v>
      </x:c>
      <x:c r="O358" s="4" t="n">
        <x:v>5340.38</x:v>
      </x:c>
      <x:c r="P358" s="4" t="n">
        <x:v>6114.22</x:v>
      </x:c>
      <x:c r="Q358" s="4" t="n">
        <x:v>-773.84</x:v>
      </x:c>
      <x:c r="R358" s="5" t="n">
        <x:v>-12.7</x:v>
      </x:c>
      <x:c r="S358" s="3" t="n">
        <x:v>21</x:v>
      </x:c>
      <x:c r="T358" s="2" t="inlineStr">
        <x:is>
          <x:t xml:space="preserve">Yes</x:t>
        </x:is>
      </x:c>
      <x:c r="U358" s="2" t="inlineStr">
        <x:is>
          <x:t xml:space="preserve">Delivered</x:t>
        </x:is>
      </x:c>
    </x:row>
    <x:row r="359">
      <x:c r="A359" s="6" t="inlineStr">
        <x:is>
          <x:t xml:space="preserve">PO-2025-0358</x:t>
        </x:is>
      </x:c>
      <x:c r="B359" s="6" t="inlineStr">
        <x:is>
          <x:t xml:space="preserve">08/07/2025</x:t>
        </x:is>
      </x:c>
      <x:c r="C359" s="6" t="inlineStr">
        <x:is>
          <x:t xml:space="preserve">July</x:t>
        </x:is>
      </x:c>
      <x:c r="D359" s="6" t="inlineStr">
        <x:is>
          <x:t xml:space="preserve">Bow River Crossing Overpass</x:t>
        </x:is>
      </x:c>
      <x:c r="E359" s="6" t="inlineStr">
        <x:is>
          <x:t xml:space="preserve">Rocky View County</x:t>
        </x:is>
      </x:c>
      <x:c r="F359" s="6" t="inlineStr">
        <x:is>
          <x:t xml:space="preserve">Aisha Nkosi</x:t>
        </x:is>
      </x:c>
      <x:c r="G359" s="6" t="inlineStr">
        <x:is>
          <x:t xml:space="preserve">Safety &amp; Temp Works</x:t>
        </x:is>
      </x:c>
      <x:c r="H359" s="6" t="inlineStr">
        <x:is>
          <x:t xml:space="preserve">Scaffolding System</x:t>
        </x:is>
      </x:c>
      <x:c r="I359" s="6" t="inlineStr">
        <x:is>
          <x:t xml:space="preserve">BrandSafway Canada</x:t>
        </x:is>
      </x:c>
      <x:c r="J359" s="6" t="inlineStr">
        <x:is>
          <x:t xml:space="preserve">LPO – Direct Award</x:t>
        </x:is>
      </x:c>
      <x:c r="K359" s="7" t="n">
        <x:v>3</x:v>
      </x:c>
      <x:c r="L359" s="6" t="inlineStr">
        <x:is>
          <x:t xml:space="preserve">lot</x:t>
        </x:is>
      </x:c>
      <x:c r="M359" s="8" t="n">
        <x:v>9510.620000000001</x:v>
      </x:c>
      <x:c r="N359" s="8" t="n">
        <x:v>10993.44</x:v>
      </x:c>
      <x:c r="O359" s="8" t="n">
        <x:v>28531.86</x:v>
      </x:c>
      <x:c r="P359" s="8" t="n">
        <x:v>32980.32</x:v>
      </x:c>
      <x:c r="Q359" s="8" t="n">
        <x:v>-4448.46</x:v>
      </x:c>
      <x:c r="R359" s="9" t="n">
        <x:v>-13.5</x:v>
      </x:c>
      <x:c r="S359" s="7" t="n">
        <x:v>33</x:v>
      </x:c>
      <x:c r="T359" s="6" t="inlineStr">
        <x:is>
          <x:t xml:space="preserve">Yes</x:t>
        </x:is>
      </x:c>
      <x:c r="U359" s="6" t="inlineStr">
        <x:is>
          <x:t xml:space="preserve">Delivered</x:t>
        </x:is>
      </x:c>
    </x:row>
    <x:row r="360">
      <x:c r="A360" s="2" t="inlineStr">
        <x:is>
          <x:t xml:space="preserve">PO-2025-0359</x:t>
        </x:is>
      </x:c>
      <x:c r="B360" s="2" t="inlineStr">
        <x:is>
          <x:t xml:space="preserve">19/10/2025</x:t>
        </x:is>
      </x:c>
      <x:c r="C360" s="2" t="inlineStr">
        <x:is>
          <x:t xml:space="preserve">October</x:t>
        </x:is>
      </x:c>
      <x:c r="D360" s="2" t="inlineStr">
        <x:is>
          <x:t xml:space="preserve">Springbank Off-Stream Reservoir</x:t>
        </x:is>
      </x:c>
      <x:c r="E360" s="2" t="inlineStr">
        <x:is>
          <x:t xml:space="preserve">Calgary SW</x:t>
        </x:is>
      </x:c>
      <x:c r="F360" s="2" t="inlineStr">
        <x:is>
          <x:t xml:space="preserve">Sarah Bouchard</x:t>
        </x:is>
      </x:c>
      <x:c r="G360" s="2" t="inlineStr">
        <x:is>
          <x:t xml:space="preserve">Finishing</x:t>
        </x:is>
      </x:c>
      <x:c r="H360" s="2" t="inlineStr">
        <x:is>
          <x:t xml:space="preserve">Waterproofing Membrane</x:t>
        </x:is>
      </x:c>
      <x:c r="I360" s="2" t="inlineStr">
        <x:is>
          <x:t xml:space="preserve">Armstrong World Industries</x:t>
        </x:is>
      </x:c>
      <x:c r="J360" s="2" t="inlineStr">
        <x:is>
          <x:t xml:space="preserve">LPO – Direct Award</x:t>
        </x:is>
      </x:c>
      <x:c r="K360" s="3" t="n">
        <x:v>37</x:v>
      </x:c>
      <x:c r="L360" s="2" t="inlineStr">
        <x:is>
          <x:t xml:space="preserve">m²</x:t>
        </x:is>
      </x:c>
      <x:c r="M360" s="4" t="n">
        <x:v>367.87</x:v>
      </x:c>
      <x:c r="N360" s="4" t="n">
        <x:v>389.68</x:v>
      </x:c>
      <x:c r="O360" s="4" t="n">
        <x:v>13611.19</x:v>
      </x:c>
      <x:c r="P360" s="4" t="n">
        <x:v>14418.16</x:v>
      </x:c>
      <x:c r="Q360" s="4" t="n">
        <x:v>-806.97</x:v>
      </x:c>
      <x:c r="R360" s="5" t="n">
        <x:v>-5.6</x:v>
      </x:c>
      <x:c r="S360" s="3" t="n">
        <x:v>80</x:v>
      </x:c>
      <x:c r="T360" s="2" t="inlineStr">
        <x:is>
          <x:t xml:space="preserve">Yes</x:t>
        </x:is>
      </x:c>
      <x:c r="U360" s="2" t="inlineStr">
        <x:is>
          <x:t xml:space="preserve">Partially Delivered</x:t>
        </x:is>
      </x:c>
    </x:row>
    <x:row r="361">
      <x:c r="A361" s="6" t="inlineStr">
        <x:is>
          <x:t xml:space="preserve">PO-2025-0360</x:t>
        </x:is>
      </x:c>
      <x:c r="B361" s="6" t="inlineStr">
        <x:is>
          <x:t xml:space="preserve">22/11/2025</x:t>
        </x:is>
      </x:c>
      <x:c r="C361" s="6" t="inlineStr">
        <x:is>
          <x:t xml:space="preserve">November</x:t>
        </x:is>
      </x:c>
      <x:c r="D361" s="6" t="inlineStr">
        <x:is>
          <x:t xml:space="preserve">Springbank Off-Stream Reservoir</x:t>
        </x:is>
      </x:c>
      <x:c r="E361" s="6" t="inlineStr">
        <x:is>
          <x:t xml:space="preserve">Rocky View County</x:t>
        </x:is>
      </x:c>
      <x:c r="F361" s="6" t="inlineStr">
        <x:is>
          <x:t xml:space="preserve">Sarah Bouchard</x:t>
        </x:is>
      </x:c>
      <x:c r="G361" s="6" t="inlineStr">
        <x:is>
          <x:t xml:space="preserve">Civil Works</x:t>
        </x:is>
      </x:c>
      <x:c r="H361" s="6" t="inlineStr">
        <x:is>
          <x:t xml:space="preserve">Curb &amp; Gutter Concrete</x:t>
        </x:is>
      </x:c>
      <x:c r="I361" s="6" t="inlineStr">
        <x:is>
          <x:t xml:space="preserve">Kiewit Infrastructure</x:t>
        </x:is>
      </x:c>
      <x:c r="J361" s="6" t="inlineStr">
        <x:is>
          <x:t xml:space="preserve">LPO – Direct Award</x:t>
        </x:is>
      </x:c>
      <x:c r="K361" s="7" t="n">
        <x:v>99</x:v>
      </x:c>
      <x:c r="L361" s="6" t="inlineStr">
        <x:is>
          <x:t xml:space="preserve">m³</x:t>
        </x:is>
      </x:c>
      <x:c r="M361" s="8" t="n">
        <x:v>266.09</x:v>
      </x:c>
      <x:c r="N361" s="8" t="n">
        <x:v>319.23</x:v>
      </x:c>
      <x:c r="O361" s="8" t="n">
        <x:v>26342.91</x:v>
      </x:c>
      <x:c r="P361" s="8" t="n">
        <x:v>31603.77</x:v>
      </x:c>
      <x:c r="Q361" s="8" t="n">
        <x:v>-5260.86</x:v>
      </x:c>
      <x:c r="R361" s="9" t="n">
        <x:v>-16.6</x:v>
      </x:c>
      <x:c r="S361" s="7" t="n">
        <x:v>74</x:v>
      </x:c>
      <x:c r="T361" s="6" t="inlineStr">
        <x:is>
          <x:t xml:space="preserve">Yes</x:t>
        </x:is>
      </x:c>
      <x:c r="U361" s="6" t="inlineStr">
        <x:is>
          <x:t xml:space="preserve">Pending</x:t>
        </x:is>
      </x:c>
    </x:row>
    <x:row r="362">
      <x:c r="A362" s="2" t="inlineStr">
        <x:is>
          <x:t xml:space="preserve">PO-2025-0361</x:t>
        </x:is>
      </x:c>
      <x:c r="B362" s="2" t="inlineStr">
        <x:is>
          <x:t xml:space="preserve">22/02/2025</x:t>
        </x:is>
      </x:c>
      <x:c r="C362" s="2" t="inlineStr">
        <x:is>
          <x:t xml:space="preserve">February</x:t>
        </x:is>
      </x:c>
      <x:c r="D362" s="2" t="inlineStr">
        <x:is>
          <x:t xml:space="preserve">Calgary SE Ring Road Extension</x:t>
        </x:is>
      </x:c>
      <x:c r="E362" s="2" t="inlineStr">
        <x:is>
          <x:t xml:space="preserve">Calgary SE</x:t>
        </x:is>
      </x:c>
      <x:c r="F362" s="2" t="inlineStr">
        <x:is>
          <x:t xml:space="preserve">Derek McLean</x:t>
        </x:is>
      </x:c>
      <x:c r="G362" s="2" t="inlineStr">
        <x:is>
          <x:t xml:space="preserve">MEP - Mechanical</x:t>
        </x:is>
      </x:c>
      <x:c r="H362" s="2" t="inlineStr">
        <x:is>
          <x:t xml:space="preserve">Insulated Pipework</x:t>
        </x:is>
      </x:c>
      <x:c r="I362" s="2" t="inlineStr">
        <x:is>
          <x:t xml:space="preserve">Ainsworth Inc.</x:t>
        </x:is>
      </x:c>
      <x:c r="J362" s="2" t="inlineStr">
        <x:is>
          <x:t xml:space="preserve">Emergency Procurement</x:t>
        </x:is>
      </x:c>
      <x:c r="K362" s="3" t="n">
        <x:v>116</x:v>
      </x:c>
      <x:c r="L362" s="2" t="inlineStr">
        <x:is>
          <x:t xml:space="preserve">lot</x:t>
        </x:is>
      </x:c>
      <x:c r="M362" s="4" t="n">
        <x:v>38172.57</x:v>
      </x:c>
      <x:c r="N362" s="4" t="n">
        <x:v>36301.69</x:v>
      </x:c>
      <x:c r="O362" s="4" t="n">
        <x:v>4428018.12</x:v>
      </x:c>
      <x:c r="P362" s="4" t="n">
        <x:v>4210996.04</x:v>
      </x:c>
      <x:c r="Q362" s="4" t="n">
        <x:v>217022.08</x:v>
      </x:c>
      <x:c r="R362" s="5" t="n">
        <x:v>5.2</x:v>
      </x:c>
      <x:c r="S362" s="3" t="n">
        <x:v>42</x:v>
      </x:c>
      <x:c r="T362" s="2" t="inlineStr">
        <x:is>
          <x:t xml:space="preserve">Yes</x:t>
        </x:is>
      </x:c>
      <x:c r="U362" s="2" t="inlineStr">
        <x:is>
          <x:t xml:space="preserve">Delivered</x:t>
        </x:is>
      </x:c>
    </x:row>
    <x:row r="363">
      <x:c r="A363" s="6" t="inlineStr">
        <x:is>
          <x:t xml:space="preserve">PO-2025-0362</x:t>
        </x:is>
      </x:c>
      <x:c r="B363" s="6" t="inlineStr">
        <x:is>
          <x:t xml:space="preserve">12/03/2025</x:t>
        </x:is>
      </x:c>
      <x:c r="C363" s="6" t="inlineStr">
        <x:is>
          <x:t xml:space="preserve">March</x:t>
        </x:is>
      </x:c>
      <x:c r="D363" s="6" t="inlineStr">
        <x:is>
          <x:t xml:space="preserve">Rocky View Industrial Logistics Hub</x:t>
        </x:is>
      </x:c>
      <x:c r="E363" s="6" t="inlineStr">
        <x:is>
          <x:t xml:space="preserve">Rocky View County</x:t>
        </x:is>
      </x:c>
      <x:c r="F363" s="6" t="inlineStr">
        <x:is>
          <x:t xml:space="preserve">Priya Sharma</x:t>
        </x:is>
      </x:c>
      <x:c r="G363" s="6" t="inlineStr">
        <x:is>
          <x:t xml:space="preserve">MEP - Electrical</x:t>
        </x:is>
      </x:c>
      <x:c r="H363" s="6" t="inlineStr">
        <x:is>
          <x:t xml:space="preserve">Standby Generator</x:t>
        </x:is>
      </x:c>
      <x:c r="I363" s="6" t="inlineStr">
        <x:is>
          <x:t xml:space="preserve">Flint Energy Services</x:t>
        </x:is>
      </x:c>
      <x:c r="J363" s="6" t="inlineStr">
        <x:is>
          <x:t xml:space="preserve">Standing Offer Agreement</x:t>
        </x:is>
      </x:c>
      <x:c r="K363" s="7" t="n">
        <x:v>116</x:v>
      </x:c>
      <x:c r="L363" s="6" t="inlineStr">
        <x:is>
          <x:t xml:space="preserve">lot</x:t>
        </x:is>
      </x:c>
      <x:c r="M363" s="8" t="n">
        <x:v>52908.44</x:v>
      </x:c>
      <x:c r="N363" s="8" t="n">
        <x:v>60699.1</x:v>
      </x:c>
      <x:c r="O363" s="8" t="n">
        <x:v>6137379.04</x:v>
      </x:c>
      <x:c r="P363" s="8" t="n">
        <x:v>7041095.6</x:v>
      </x:c>
      <x:c r="Q363" s="8" t="n">
        <x:v>-903716.5600000001</x:v>
      </x:c>
      <x:c r="R363" s="9" t="n">
        <x:v>-12.8</x:v>
      </x:c>
      <x:c r="S363" s="7" t="n">
        <x:v>74</x:v>
      </x:c>
      <x:c r="T363" s="6" t="inlineStr">
        <x:is>
          <x:t xml:space="preserve">Yes</x:t>
        </x:is>
      </x:c>
      <x:c r="U363" s="6" t="inlineStr">
        <x:is>
          <x:t xml:space="preserve">Cancelled</x:t>
        </x:is>
      </x:c>
    </x:row>
    <x:row r="364">
      <x:c r="A364" s="2" t="inlineStr">
        <x:is>
          <x:t xml:space="preserve">PO-2025-0363</x:t>
        </x:is>
      </x:c>
      <x:c r="B364" s="2" t="inlineStr">
        <x:is>
          <x:t xml:space="preserve">27/10/2025</x:t>
        </x:is>
      </x:c>
      <x:c r="C364" s="2" t="inlineStr">
        <x:is>
          <x:t xml:space="preserve">October</x:t>
        </x:is>
      </x:c>
      <x:c r="D364" s="2" t="inlineStr">
        <x:is>
          <x:t xml:space="preserve">University District Residential Phase 3</x:t>
        </x:is>
      </x:c>
      <x:c r="E364" s="2" t="inlineStr">
        <x:is>
          <x:t xml:space="preserve">Rocky View County</x:t>
        </x:is>
      </x:c>
      <x:c r="F364" s="2" t="inlineStr">
        <x:is>
          <x:t xml:space="preserve">Linda Tran</x:t>
        </x:is>
      </x:c>
      <x:c r="G364" s="2" t="inlineStr">
        <x:is>
          <x:t xml:space="preserve">Safety &amp; Temp Works</x:t>
        </x:is>
      </x:c>
      <x:c r="H364" s="2" t="inlineStr">
        <x:is>
          <x:t xml:space="preserve">PPE Bulk Supply</x:t>
        </x:is>
      </x:c>
      <x:c r="I364" s="2" t="inlineStr">
        <x:is>
          <x:t xml:space="preserve">Levitt-Safety Calgary</x:t>
        </x:is>
      </x:c>
      <x:c r="J364" s="2" t="inlineStr">
        <x:is>
          <x:t xml:space="preserve">3-Quote Comparison</x:t>
        </x:is>
      </x:c>
      <x:c r="K364" s="3" t="n">
        <x:v>54</x:v>
      </x:c>
      <x:c r="L364" s="2" t="inlineStr">
        <x:is>
          <x:t xml:space="preserve">lot</x:t>
        </x:is>
      </x:c>
      <x:c r="M364" s="4" t="n">
        <x:v>16741.15</x:v>
      </x:c>
      <x:c r="N364" s="4" t="n">
        <x:v>15876.85</x:v>
      </x:c>
      <x:c r="O364" s="4" t="n">
        <x:v>904022.1</x:v>
      </x:c>
      <x:c r="P364" s="4" t="n">
        <x:v>857349.9</x:v>
      </x:c>
      <x:c r="Q364" s="4" t="n">
        <x:v>46672.2</x:v>
      </x:c>
      <x:c r="R364" s="5" t="n">
        <x:v>5.4</x:v>
      </x:c>
      <x:c r="S364" s="3" t="n">
        <x:v>70</x:v>
      </x:c>
      <x:c r="T364" s="2" t="inlineStr">
        <x:is>
          <x:t xml:space="preserve">Yes</x:t>
        </x:is>
      </x:c>
      <x:c r="U364" s="2" t="inlineStr">
        <x:is>
          <x:t xml:space="preserve">Delivered</x:t>
        </x:is>
      </x:c>
    </x:row>
    <x:row r="365">
      <x:c r="A365" s="6" t="inlineStr">
        <x:is>
          <x:t xml:space="preserve">PO-2025-0364</x:t>
        </x:is>
      </x:c>
      <x:c r="B365" s="6" t="inlineStr">
        <x:is>
          <x:t xml:space="preserve">06/01/2025</x:t>
        </x:is>
      </x:c>
      <x:c r="C365" s="6" t="inlineStr">
        <x:is>
          <x:t xml:space="preserve">January</x:t>
        </x:is>
      </x:c>
      <x:c r="D365" s="6" t="inlineStr">
        <x:is>
          <x:t xml:space="preserve">Quarry Park Mixed-Use Development</x:t>
        </x:is>
      </x:c>
      <x:c r="E365" s="6" t="inlineStr">
        <x:is>
          <x:t xml:space="preserve">Rocky View County</x:t>
        </x:is>
      </x:c>
      <x:c r="F365" s="6" t="inlineStr">
        <x:is>
          <x:t xml:space="preserve">Priya Sharma</x:t>
        </x:is>
      </x:c>
      <x:c r="G365" s="6" t="inlineStr">
        <x:is>
          <x:t xml:space="preserve">Finishing</x:t>
        </x:is>
      </x:c>
      <x:c r="H365" s="6" t="inlineStr">
        <x:is>
          <x:t xml:space="preserve">Drywall &amp; Framing</x:t>
        </x:is>
      </x:c>
      <x:c r="I365" s="6" t="inlineStr">
        <x:is>
          <x:t xml:space="preserve">Centura Tile Calgary</x:t>
        </x:is>
      </x:c>
      <x:c r="J365" s="6" t="inlineStr">
        <x:is>
          <x:t xml:space="preserve">Tender – Open</x:t>
        </x:is>
      </x:c>
      <x:c r="K365" s="7" t="n">
        <x:v>84</x:v>
      </x:c>
      <x:c r="L365" s="6" t="inlineStr">
        <x:is>
          <x:t xml:space="preserve">m²</x:t>
        </x:is>
      </x:c>
      <x:c r="M365" s="8" t="n">
        <x:v>378.07</x:v>
      </x:c>
      <x:c r="N365" s="8" t="n">
        <x:v>451.64</x:v>
      </x:c>
      <x:c r="O365" s="8" t="n">
        <x:v>31757.88</x:v>
      </x:c>
      <x:c r="P365" s="8" t="n">
        <x:v>37937.76</x:v>
      </x:c>
      <x:c r="Q365" s="8" t="n">
        <x:v>-6179.88</x:v>
      </x:c>
      <x:c r="R365" s="9" t="n">
        <x:v>-16.3</x:v>
      </x:c>
      <x:c r="S365" s="7" t="n">
        <x:v>12</x:v>
      </x:c>
      <x:c r="T365" s="6" t="inlineStr">
        <x:is>
          <x:t xml:space="preserve">Yes</x:t>
        </x:is>
      </x:c>
      <x:c r="U365" s="6" t="inlineStr">
        <x:is>
          <x:t xml:space="preserve">Delivered</x:t>
        </x:is>
      </x:c>
    </x:row>
    <x:row r="366">
      <x:c r="A366" s="2" t="inlineStr">
        <x:is>
          <x:t xml:space="preserve">PO-2025-0365</x:t>
        </x:is>
      </x:c>
      <x:c r="B366" s="2" t="inlineStr">
        <x:is>
          <x:t xml:space="preserve">25/11/2025</x:t>
        </x:is>
      </x:c>
      <x:c r="C366" s="2" t="inlineStr">
        <x:is>
          <x:t xml:space="preserve">November</x:t>
        </x:is>
      </x:c>
      <x:c r="D366" s="2" t="inlineStr">
        <x:is>
          <x:t xml:space="preserve">Deerfoot Trail Widening - North</x:t>
        </x:is>
      </x:c>
      <x:c r="E366" s="2" t="inlineStr">
        <x:is>
          <x:t xml:space="preserve">Calgary SW</x:t>
        </x:is>
      </x:c>
      <x:c r="F366" s="2" t="inlineStr">
        <x:is>
          <x:t xml:space="preserve">Sarah Bouchard</x:t>
        </x:is>
      </x:c>
      <x:c r="G366" s="2" t="inlineStr">
        <x:is>
          <x:t xml:space="preserve">Finishing</x:t>
        </x:is>
      </x:c>
      <x:c r="H366" s="2" t="inlineStr">
        <x:is>
          <x:t xml:space="preserve">Ceramic Floor Tile</x:t>
        </x:is>
      </x:c>
      <x:c r="I366" s="2" t="inlineStr">
        <x:is>
          <x:t xml:space="preserve">Dryvit Systems Canada</x:t>
        </x:is>
      </x:c>
      <x:c r="J366" s="2" t="inlineStr">
        <x:is>
          <x:t xml:space="preserve">Standing Offer Agreement</x:t>
        </x:is>
      </x:c>
      <x:c r="K366" s="3" t="n">
        <x:v>95</x:v>
      </x:c>
      <x:c r="L366" s="2" t="inlineStr">
        <x:is>
          <x:t xml:space="preserve">m²</x:t>
        </x:is>
      </x:c>
      <x:c r="M366" s="4" t="n">
        <x:v>193.25</x:v>
      </x:c>
      <x:c r="N366" s="4" t="n">
        <x:v>187.43</x:v>
      </x:c>
      <x:c r="O366" s="4" t="n">
        <x:v>18358.75</x:v>
      </x:c>
      <x:c r="P366" s="4" t="n">
        <x:v>17805.85</x:v>
      </x:c>
      <x:c r="Q366" s="4" t="n">
        <x:v>552.9</x:v>
      </x:c>
      <x:c r="R366" s="5" t="n">
        <x:v>3.1</x:v>
      </x:c>
      <x:c r="S366" s="3" t="n">
        <x:v>22</x:v>
      </x:c>
      <x:c r="T366" s="2" t="inlineStr">
        <x:is>
          <x:t xml:space="preserve">Yes</x:t>
        </x:is>
      </x:c>
      <x:c r="U366" s="2" t="inlineStr">
        <x:is>
          <x:t xml:space="preserve">Delivered</x:t>
        </x:is>
      </x:c>
    </x:row>
    <x:row r="367">
      <x:c r="A367" s="6" t="inlineStr">
        <x:is>
          <x:t xml:space="preserve">PO-2025-0366</x:t>
        </x:is>
      </x:c>
      <x:c r="B367" s="6" t="inlineStr">
        <x:is>
          <x:t xml:space="preserve">25/10/2025</x:t>
        </x:is>
      </x:c>
      <x:c r="C367" s="6" t="inlineStr">
        <x:is>
          <x:t xml:space="preserve">October</x:t>
        </x:is>
      </x:c>
      <x:c r="D367" s="6" t="inlineStr">
        <x:is>
          <x:t xml:space="preserve">Springbank Off-Stream Reservoir</x:t>
        </x:is>
      </x:c>
      <x:c r="E367" s="6" t="inlineStr">
        <x:is>
          <x:t xml:space="preserve">Rocky View County</x:t>
        </x:is>
      </x:c>
      <x:c r="F367" s="6" t="inlineStr">
        <x:is>
          <x:t xml:space="preserve">James Okafor</x:t>
        </x:is>
      </x:c>
      <x:c r="G367" s="6" t="inlineStr">
        <x:is>
          <x:t xml:space="preserve">Civil Works</x:t>
        </x:is>
      </x:c>
      <x:c r="H367" s="6" t="inlineStr">
        <x:is>
          <x:t xml:space="preserve">Curb &amp; Gutter Concrete</x:t>
        </x:is>
      </x:c>
      <x:c r="I367" s="6" t="inlineStr">
        <x:is>
          <x:t xml:space="preserve">Ledcor Civil Alberta</x:t>
        </x:is>
      </x:c>
      <x:c r="J367" s="6" t="inlineStr">
        <x:is>
          <x:t xml:space="preserve">Emergency Procurement</x:t>
        </x:is>
      </x:c>
      <x:c r="K367" s="7" t="n">
        <x:v>71</x:v>
      </x:c>
      <x:c r="L367" s="6" t="inlineStr">
        <x:is>
          <x:t xml:space="preserve">m³</x:t>
        </x:is>
      </x:c>
      <x:c r="M367" s="8" t="n">
        <x:v>129.5</x:v>
      </x:c>
      <x:c r="N367" s="8" t="n">
        <x:v>114.51</x:v>
      </x:c>
      <x:c r="O367" s="8" t="n">
        <x:v>9194.5</x:v>
      </x:c>
      <x:c r="P367" s="8" t="n">
        <x:v>8130.21</x:v>
      </x:c>
      <x:c r="Q367" s="8" t="n">
        <x:v>1064.29</x:v>
      </x:c>
      <x:c r="R367" s="9" t="n">
        <x:v>13.1</x:v>
      </x:c>
      <x:c r="S367" s="7" t="n">
        <x:v>51</x:v>
      </x:c>
      <x:c r="T367" s="6" t="inlineStr">
        <x:is>
          <x:t xml:space="preserve">Yes</x:t>
        </x:is>
      </x:c>
      <x:c r="U367" s="6" t="inlineStr">
        <x:is>
          <x:t xml:space="preserve">Delivered</x:t>
        </x:is>
      </x:c>
    </x:row>
    <x:row r="368">
      <x:c r="A368" s="2" t="inlineStr">
        <x:is>
          <x:t xml:space="preserve">PO-2025-0367</x:t>
        </x:is>
      </x:c>
      <x:c r="B368" s="2" t="inlineStr">
        <x:is>
          <x:t xml:space="preserve">25/06/2025</x:t>
        </x:is>
      </x:c>
      <x:c r="C368" s="2" t="inlineStr">
        <x:is>
          <x:t xml:space="preserve">June</x:t>
        </x:is>
      </x:c>
      <x:c r="D368" s="2" t="inlineStr">
        <x:is>
          <x:t xml:space="preserve">Stampede Park Infrastructure Upgrade</x:t>
        </x:is>
      </x:c>
      <x:c r="E368" s="2" t="inlineStr">
        <x:is>
          <x:t xml:space="preserve">Calgary SW</x:t>
        </x:is>
      </x:c>
      <x:c r="F368" s="2" t="inlineStr">
        <x:is>
          <x:t xml:space="preserve">Mohammed Siddiqui</x:t>
        </x:is>
      </x:c>
      <x:c r="G368" s="2" t="inlineStr">
        <x:is>
          <x:t xml:space="preserve">MEP - Mechanical</x:t>
        </x:is>
      </x:c>
      <x:c r="H368" s="2" t="inlineStr">
        <x:is>
          <x:t xml:space="preserve">Insulated Pipework</x:t>
        </x:is>
      </x:c>
      <x:c r="I368" s="2" t="inlineStr">
        <x:is>
          <x:t xml:space="preserve">Ainsworth Inc.</x:t>
        </x:is>
      </x:c>
      <x:c r="J368" s="2" t="inlineStr">
        <x:is>
          <x:t xml:space="preserve">Tender – Open</x:t>
        </x:is>
      </x:c>
      <x:c r="K368" s="3" t="n">
        <x:v>31</x:v>
      </x:c>
      <x:c r="L368" s="2" t="inlineStr">
        <x:is>
          <x:t xml:space="preserve">lot</x:t>
        </x:is>
      </x:c>
      <x:c r="M368" s="4" t="n">
        <x:v>59278.28</x:v>
      </x:c>
      <x:c r="N368" s="4" t="n">
        <x:v>61480.84</x:v>
      </x:c>
      <x:c r="O368" s="4" t="n">
        <x:v>1837626.68</x:v>
      </x:c>
      <x:c r="P368" s="4" t="n">
        <x:v>1905906.04</x:v>
      </x:c>
      <x:c r="Q368" s="4" t="n">
        <x:v>-68279.36</x:v>
      </x:c>
      <x:c r="R368" s="5" t="n">
        <x:v>-3.6</x:v>
      </x:c>
      <x:c r="S368" s="3" t="n">
        <x:v>49</x:v>
      </x:c>
      <x:c r="T368" s="2" t="inlineStr">
        <x:is>
          <x:t xml:space="preserve">Yes</x:t>
        </x:is>
      </x:c>
      <x:c r="U368" s="2" t="inlineStr">
        <x:is>
          <x:t xml:space="preserve">Partially Delivered</x:t>
        </x:is>
      </x:c>
    </x:row>
    <x:row r="369">
      <x:c r="A369" s="6" t="inlineStr">
        <x:is>
          <x:t xml:space="preserve">PO-2025-0368</x:t>
        </x:is>
      </x:c>
      <x:c r="B369" s="6" t="inlineStr">
        <x:is>
          <x:t xml:space="preserve">18/03/2025</x:t>
        </x:is>
      </x:c>
      <x:c r="C369" s="6" t="inlineStr">
        <x:is>
          <x:t xml:space="preserve">March</x:t>
        </x:is>
      </x:c>
      <x:c r="D369" s="6" t="inlineStr">
        <x:is>
          <x:t xml:space="preserve">Quarry Park Mixed-Use Development</x:t>
        </x:is>
      </x:c>
      <x:c r="E369" s="6" t="inlineStr">
        <x:is>
          <x:t xml:space="preserve">Calgary SW</x:t>
        </x:is>
      </x:c>
      <x:c r="F369" s="6" t="inlineStr">
        <x:is>
          <x:t xml:space="preserve">Aisha Nkosi</x:t>
        </x:is>
      </x:c>
      <x:c r="G369" s="6" t="inlineStr">
        <x:is>
          <x:t xml:space="preserve">Concrete &amp; Structural</x:t>
        </x:is>
      </x:c>
      <x:c r="H369" s="6" t="inlineStr">
        <x:is>
          <x:t xml:space="preserve">Structural Formwork</x:t>
        </x:is>
      </x:c>
      <x:c r="I369" s="6" t="inlineStr">
        <x:is>
          <x:t xml:space="preserve">Lafarge Canada - Calgary</x:t>
        </x:is>
      </x:c>
      <x:c r="J369" s="6" t="inlineStr">
        <x:is>
          <x:t xml:space="preserve">Standing Offer Agreement</x:t>
        </x:is>
      </x:c>
      <x:c r="K369" s="7" t="n">
        <x:v>18</x:v>
      </x:c>
      <x:c r="L369" s="6" t="inlineStr">
        <x:is>
          <x:t xml:space="preserve">m³</x:t>
        </x:is>
      </x:c>
      <x:c r="M369" s="8" t="n">
        <x:v>595.77</x:v>
      </x:c>
      <x:c r="N369" s="8" t="n">
        <x:v>650.1</x:v>
      </x:c>
      <x:c r="O369" s="8" t="n">
        <x:v>10723.86</x:v>
      </x:c>
      <x:c r="P369" s="8" t="n">
        <x:v>11701.8</x:v>
      </x:c>
      <x:c r="Q369" s="8" t="n">
        <x:v>-977.9400000000001</x:v>
      </x:c>
      <x:c r="R369" s="9" t="n">
        <x:v>-8.4</x:v>
      </x:c>
      <x:c r="S369" s="7" t="n">
        <x:v>45</x:v>
      </x:c>
      <x:c r="T369" s="6" t="inlineStr">
        <x:is>
          <x:t xml:space="preserve">Yes</x:t>
        </x:is>
      </x:c>
      <x:c r="U369" s="6" t="inlineStr">
        <x:is>
          <x:t xml:space="preserve">Delivered</x:t>
        </x:is>
      </x:c>
    </x:row>
    <x:row r="370">
      <x:c r="A370" s="2" t="inlineStr">
        <x:is>
          <x:t xml:space="preserve">PO-2025-0369</x:t>
        </x:is>
      </x:c>
      <x:c r="B370" s="2" t="inlineStr">
        <x:is>
          <x:t xml:space="preserve">05/05/2025</x:t>
        </x:is>
      </x:c>
      <x:c r="C370" s="2" t="inlineStr">
        <x:is>
          <x:t xml:space="preserve">May</x:t>
        </x:is>
      </x:c>
      <x:c r="D370" s="2" t="inlineStr">
        <x:is>
          <x:t xml:space="preserve">Foothills Medical Centre Expansion</x:t>
        </x:is>
      </x:c>
      <x:c r="E370" s="2" t="inlineStr">
        <x:is>
          <x:t xml:space="preserve">Rocky View County</x:t>
        </x:is>
      </x:c>
      <x:c r="F370" s="2" t="inlineStr">
        <x:is>
          <x:t xml:space="preserve">Priya Sharma</x:t>
        </x:is>
      </x:c>
      <x:c r="G370" s="2" t="inlineStr">
        <x:is>
          <x:t xml:space="preserve">Safety &amp; Temp Works</x:t>
        </x:is>
      </x:c>
      <x:c r="H370" s="2" t="inlineStr">
        <x:is>
          <x:t xml:space="preserve">PPE Bulk Supply</x:t>
        </x:is>
      </x:c>
      <x:c r="I370" s="2" t="inlineStr">
        <x:is>
          <x:t xml:space="preserve">Safway Alberta</x:t>
        </x:is>
      </x:c>
      <x:c r="J370" s="2" t="inlineStr">
        <x:is>
          <x:t xml:space="preserve">LPO – Direct Award</x:t>
        </x:is>
      </x:c>
      <x:c r="K370" s="3" t="n">
        <x:v>50</x:v>
      </x:c>
      <x:c r="L370" s="2" t="inlineStr">
        <x:is>
          <x:t xml:space="preserve">lot</x:t>
        </x:is>
      </x:c>
      <x:c r="M370" s="4" t="n">
        <x:v>3870.62</x:v>
      </x:c>
      <x:c r="N370" s="4" t="n">
        <x:v>3870.74</x:v>
      </x:c>
      <x:c r="O370" s="4" t="n">
        <x:v>193531</x:v>
      </x:c>
      <x:c r="P370" s="4" t="n">
        <x:v>193537</x:v>
      </x:c>
      <x:c r="Q370" s="4" t="n">
        <x:v>-6</x:v>
      </x:c>
      <x:c r="R370" s="5" t="n">
        <x:v>-0</x:v>
      </x:c>
      <x:c r="S370" s="3" t="n">
        <x:v>35</x:v>
      </x:c>
      <x:c r="T370" s="2" t="inlineStr">
        <x:is>
          <x:t xml:space="preserve">Yes</x:t>
        </x:is>
      </x:c>
      <x:c r="U370" s="2" t="inlineStr">
        <x:is>
          <x:t xml:space="preserve">Delivered</x:t>
        </x:is>
      </x:c>
    </x:row>
    <x:row r="371">
      <x:c r="A371" s="6" t="inlineStr">
        <x:is>
          <x:t xml:space="preserve">PO-2025-0370</x:t>
        </x:is>
      </x:c>
      <x:c r="B371" s="6" t="inlineStr">
        <x:is>
          <x:t xml:space="preserve">05/05/2025</x:t>
        </x:is>
      </x:c>
      <x:c r="C371" s="6" t="inlineStr">
        <x:is>
          <x:t xml:space="preserve">May</x:t>
        </x:is>
      </x:c>
      <x:c r="D371" s="6" t="inlineStr">
        <x:is>
          <x:t xml:space="preserve">Saddledome Arena Retrofit</x:t>
        </x:is>
      </x:c>
      <x:c r="E371" s="6" t="inlineStr">
        <x:is>
          <x:t xml:space="preserve">Calgary SW</x:t>
        </x:is>
      </x:c>
      <x:c r="F371" s="6" t="inlineStr">
        <x:is>
          <x:t xml:space="preserve">Linda Tran</x:t>
        </x:is>
      </x:c>
      <x:c r="G371" s="6" t="inlineStr">
        <x:is>
          <x:t xml:space="preserve">Civil Works</x:t>
        </x:is>
      </x:c>
      <x:c r="H371" s="6" t="inlineStr">
        <x:is>
          <x:t xml:space="preserve">Bulk Excavation</x:t>
        </x:is>
      </x:c>
      <x:c r="I371" s="6" t="inlineStr">
        <x:is>
          <x:t xml:space="preserve">Kiewit Infrastructure</x:t>
        </x:is>
      </x:c>
      <x:c r="J371" s="6" t="inlineStr">
        <x:is>
          <x:t xml:space="preserve">Tender – Open</x:t>
        </x:is>
      </x:c>
      <x:c r="K371" s="7" t="n">
        <x:v>55</x:v>
      </x:c>
      <x:c r="L371" s="6" t="inlineStr">
        <x:is>
          <x:t xml:space="preserve">m³</x:t>
        </x:is>
      </x:c>
      <x:c r="M371" s="8" t="n">
        <x:v>236.6</x:v>
      </x:c>
      <x:c r="N371" s="8" t="n">
        <x:v>286.48</x:v>
      </x:c>
      <x:c r="O371" s="8" t="n">
        <x:v>13013</x:v>
      </x:c>
      <x:c r="P371" s="8" t="n">
        <x:v>15756.4</x:v>
      </x:c>
      <x:c r="Q371" s="8" t="n">
        <x:v>-2743.4</x:v>
      </x:c>
      <x:c r="R371" s="9" t="n">
        <x:v>-17.4</x:v>
      </x:c>
      <x:c r="S371" s="7" t="n">
        <x:v>30</x:v>
      </x:c>
      <x:c r="T371" s="6" t="inlineStr">
        <x:is>
          <x:t xml:space="preserve">Yes</x:t>
        </x:is>
      </x:c>
      <x:c r="U371" s="6" t="inlineStr">
        <x:is>
          <x:t xml:space="preserve">Cancelled</x:t>
        </x:is>
      </x:c>
    </x:row>
    <x:row r="372">
      <x:c r="A372" s="2" t="inlineStr">
        <x:is>
          <x:t xml:space="preserve">PO-2025-0371</x:t>
        </x:is>
      </x:c>
      <x:c r="B372" s="2" t="inlineStr">
        <x:is>
          <x:t xml:space="preserve">11/09/2025</x:t>
        </x:is>
      </x:c>
      <x:c r="C372" s="2" t="inlineStr">
        <x:is>
          <x:t xml:space="preserve">September</x:t>
        </x:is>
      </x:c>
      <x:c r="D372" s="2" t="inlineStr">
        <x:is>
          <x:t xml:space="preserve">Quarry Park Mixed-Use Development</x:t>
        </x:is>
      </x:c>
      <x:c r="E372" s="2" t="inlineStr">
        <x:is>
          <x:t xml:space="preserve">Rocky View County</x:t>
        </x:is>
      </x:c>
      <x:c r="F372" s="2" t="inlineStr">
        <x:is>
          <x:t xml:space="preserve">Aisha Nkosi</x:t>
        </x:is>
      </x:c>
      <x:c r="G372" s="2" t="inlineStr">
        <x:is>
          <x:t xml:space="preserve">Civil Works</x:t>
        </x:is>
      </x:c>
      <x:c r="H372" s="2" t="inlineStr">
        <x:is>
          <x:t xml:space="preserve">Curb &amp; Gutter Concrete</x:t>
        </x:is>
      </x:c>
      <x:c r="I372" s="2" t="inlineStr">
        <x:is>
          <x:t xml:space="preserve">Graham Construction</x:t>
        </x:is>
      </x:c>
      <x:c r="J372" s="2" t="inlineStr">
        <x:is>
          <x:t xml:space="preserve">LPO – Direct Award</x:t>
        </x:is>
      </x:c>
      <x:c r="K372" s="3" t="n">
        <x:v>73</x:v>
      </x:c>
      <x:c r="L372" s="2" t="inlineStr">
        <x:is>
          <x:t xml:space="preserve">m³</x:t>
        </x:is>
      </x:c>
      <x:c r="M372" s="4" t="n">
        <x:v>62.08</x:v>
      </x:c>
      <x:c r="N372" s="4" t="n">
        <x:v>61.13</x:v>
      </x:c>
      <x:c r="O372" s="4" t="n">
        <x:v>4531.84</x:v>
      </x:c>
      <x:c r="P372" s="4" t="n">
        <x:v>4462.49</x:v>
      </x:c>
      <x:c r="Q372" s="4" t="n">
        <x:v>69.34999999999999</x:v>
      </x:c>
      <x:c r="R372" s="5" t="n">
        <x:v>1.6</x:v>
      </x:c>
      <x:c r="S372" s="3" t="n">
        <x:v>83</x:v>
      </x:c>
      <x:c r="T372" s="2" t="inlineStr">
        <x:is>
          <x:t xml:space="preserve">Yes</x:t>
        </x:is>
      </x:c>
      <x:c r="U372" s="2" t="inlineStr">
        <x:is>
          <x:t xml:space="preserve">Partially Delivered</x:t>
        </x:is>
      </x:c>
    </x:row>
    <x:row r="373">
      <x:c r="A373" s="6" t="inlineStr">
        <x:is>
          <x:t xml:space="preserve">PO-2025-0372</x:t>
        </x:is>
      </x:c>
      <x:c r="B373" s="6" t="inlineStr">
        <x:is>
          <x:t xml:space="preserve">08/02/2025</x:t>
        </x:is>
      </x:c>
      <x:c r="C373" s="6" t="inlineStr">
        <x:is>
          <x:t xml:space="preserve">February</x:t>
        </x:is>
      </x:c>
      <x:c r="D373" s="6" t="inlineStr">
        <x:is>
          <x:t xml:space="preserve">University District Residential Phase 3</x:t>
        </x:is>
      </x:c>
      <x:c r="E373" s="6" t="inlineStr">
        <x:is>
          <x:t xml:space="preserve">Calgary NE</x:t>
        </x:is>
      </x:c>
      <x:c r="F373" s="6" t="inlineStr">
        <x:is>
          <x:t xml:space="preserve">James Okafor</x:t>
        </x:is>
      </x:c>
      <x:c r="G373" s="6" t="inlineStr">
        <x:is>
          <x:t xml:space="preserve">Civil Works</x:t>
        </x:is>
      </x:c>
      <x:c r="H373" s="6" t="inlineStr">
        <x:is>
          <x:t xml:space="preserve">Bulk Excavation</x:t>
        </x:is>
      </x:c>
      <x:c r="I373" s="6" t="inlineStr">
        <x:is>
          <x:t xml:space="preserve">Ledcor Civil Alberta</x:t>
        </x:is>
      </x:c>
      <x:c r="J373" s="6" t="inlineStr">
        <x:is>
          <x:t xml:space="preserve">Tender – Open</x:t>
        </x:is>
      </x:c>
      <x:c r="K373" s="7" t="n">
        <x:v>79</x:v>
      </x:c>
      <x:c r="L373" s="6" t="inlineStr">
        <x:is>
          <x:t xml:space="preserve">m³</x:t>
        </x:is>
      </x:c>
      <x:c r="M373" s="8" t="n">
        <x:v>114.95</x:v>
      </x:c>
      <x:c r="N373" s="8" t="n">
        <x:v>105.64</x:v>
      </x:c>
      <x:c r="O373" s="8" t="n">
        <x:v>9081.049999999999</x:v>
      </x:c>
      <x:c r="P373" s="8" t="n">
        <x:v>8345.559999999999</x:v>
      </x:c>
      <x:c r="Q373" s="8" t="n">
        <x:v>735.49</x:v>
      </x:c>
      <x:c r="R373" s="9" t="n">
        <x:v>8.800000000000001</x:v>
      </x:c>
      <x:c r="S373" s="7" t="n">
        <x:v>77</x:v>
      </x:c>
      <x:c r="T373" s="6" t="inlineStr">
        <x:is>
          <x:t xml:space="preserve">Yes</x:t>
        </x:is>
      </x:c>
      <x:c r="U373" s="6" t="inlineStr">
        <x:is>
          <x:t xml:space="preserve">Partially Delivered</x:t>
        </x:is>
      </x:c>
    </x:row>
    <x:row r="374">
      <x:c r="A374" s="2" t="inlineStr">
        <x:is>
          <x:t xml:space="preserve">PO-2025-0373</x:t>
        </x:is>
      </x:c>
      <x:c r="B374" s="2" t="inlineStr">
        <x:is>
          <x:t xml:space="preserve">05/05/2025</x:t>
        </x:is>
      </x:c>
      <x:c r="C374" s="2" t="inlineStr">
        <x:is>
          <x:t xml:space="preserve">May</x:t>
        </x:is>
      </x:c>
      <x:c r="D374" s="2" t="inlineStr">
        <x:is>
          <x:t xml:space="preserve">Quarry Park Mixed-Use Development</x:t>
        </x:is>
      </x:c>
      <x:c r="E374" s="2" t="inlineStr">
        <x:is>
          <x:t xml:space="preserve">Calgary SE</x:t>
        </x:is>
      </x:c>
      <x:c r="F374" s="2" t="inlineStr">
        <x:is>
          <x:t xml:space="preserve">Sarah Bouchard</x:t>
        </x:is>
      </x:c>
      <x:c r="G374" s="2" t="inlineStr">
        <x:is>
          <x:t xml:space="preserve">MEP - Electrical</x:t>
        </x:is>
      </x:c>
      <x:c r="H374" s="2" t="inlineStr">
        <x:is>
          <x:t xml:space="preserve">LED Site Lighting</x:t>
        </x:is>
      </x:c>
      <x:c r="I374" s="2" t="inlineStr">
        <x:is>
          <x:t xml:space="preserve">Stuart Olson Electrical</x:t>
        </x:is>
      </x:c>
      <x:c r="J374" s="2" t="inlineStr">
        <x:is>
          <x:t xml:space="preserve">LPO – Direct Award</x:t>
        </x:is>
      </x:c>
      <x:c r="K374" s="3" t="n">
        <x:v>86</x:v>
      </x:c>
      <x:c r="L374" s="2" t="inlineStr">
        <x:is>
          <x:t xml:space="preserve">lot</x:t>
        </x:is>
      </x:c>
      <x:c r="M374" s="4" t="n">
        <x:v>49456.88</x:v>
      </x:c>
      <x:c r="N374" s="4" t="n">
        <x:v>54890.29</x:v>
      </x:c>
      <x:c r="O374" s="4" t="n">
        <x:v>4253291.68</x:v>
      </x:c>
      <x:c r="P374" s="4" t="n">
        <x:v>4720564.94</x:v>
      </x:c>
      <x:c r="Q374" s="4" t="n">
        <x:v>-467273.26</x:v>
      </x:c>
      <x:c r="R374" s="5" t="n">
        <x:v>-9.9</x:v>
      </x:c>
      <x:c r="S374" s="3" t="n">
        <x:v>14</x:v>
      </x:c>
      <x:c r="T374" s="2" t="inlineStr">
        <x:is>
          <x:t xml:space="preserve">Yes</x:t>
        </x:is>
      </x:c>
      <x:c r="U374" s="2" t="inlineStr">
        <x:is>
          <x:t xml:space="preserve">Cancelled</x:t>
        </x:is>
      </x:c>
    </x:row>
    <x:row r="375">
      <x:c r="A375" s="6" t="inlineStr">
        <x:is>
          <x:t xml:space="preserve">PO-2025-0374</x:t>
        </x:is>
      </x:c>
      <x:c r="B375" s="6" t="inlineStr">
        <x:is>
          <x:t xml:space="preserve">11/09/2025</x:t>
        </x:is>
      </x:c>
      <x:c r="C375" s="6" t="inlineStr">
        <x:is>
          <x:t xml:space="preserve">September</x:t>
        </x:is>
      </x:c>
      <x:c r="D375" s="6" t="inlineStr">
        <x:is>
          <x:t xml:space="preserve">Calgary SE Ring Road Extension</x:t>
        </x:is>
      </x:c>
      <x:c r="E375" s="6" t="inlineStr">
        <x:is>
          <x:t xml:space="preserve">Calgary NE</x:t>
        </x:is>
      </x:c>
      <x:c r="F375" s="6" t="inlineStr">
        <x:is>
          <x:t xml:space="preserve">Mohammed Siddiqui</x:t>
        </x:is>
      </x:c>
      <x:c r="G375" s="6" t="inlineStr">
        <x:is>
          <x:t xml:space="preserve">Safety &amp; Temp Works</x:t>
        </x:is>
      </x:c>
      <x:c r="H375" s="6" t="inlineStr">
        <x:is>
          <x:t xml:space="preserve">Scaffolding System</x:t>
        </x:is>
      </x:c>
      <x:c r="I375" s="6" t="inlineStr">
        <x:is>
          <x:t xml:space="preserve">Sunbelt Rentals Canada</x:t>
        </x:is>
      </x:c>
      <x:c r="J375" s="6" t="inlineStr">
        <x:is>
          <x:t xml:space="preserve">3-Quote Comparison</x:t>
        </x:is>
      </x:c>
      <x:c r="K375" s="7" t="n">
        <x:v>37</x:v>
      </x:c>
      <x:c r="L375" s="6" t="inlineStr">
        <x:is>
          <x:t xml:space="preserve">lot</x:t>
        </x:is>
      </x:c>
      <x:c r="M375" s="8" t="n">
        <x:v>4380.35</x:v>
      </x:c>
      <x:c r="N375" s="8" t="n">
        <x:v>4924.68</x:v>
      </x:c>
      <x:c r="O375" s="8" t="n">
        <x:v>162072.95</x:v>
      </x:c>
      <x:c r="P375" s="8" t="n">
        <x:v>182213.16</x:v>
      </x:c>
      <x:c r="Q375" s="8" t="n">
        <x:v>-20140.21</x:v>
      </x:c>
      <x:c r="R375" s="9" t="n">
        <x:v>-11.1</x:v>
      </x:c>
      <x:c r="S375" s="7" t="n">
        <x:v>51</x:v>
      </x:c>
      <x:c r="T375" s="6" t="inlineStr">
        <x:is>
          <x:t xml:space="preserve">No</x:t>
        </x:is>
      </x:c>
      <x:c r="U375" s="6" t="inlineStr">
        <x:is>
          <x:t xml:space="preserve">Pending</x:t>
        </x:is>
      </x:c>
    </x:row>
    <x:row r="376">
      <x:c r="A376" s="2" t="inlineStr">
        <x:is>
          <x:t xml:space="preserve">PO-2025-0375</x:t>
        </x:is>
      </x:c>
      <x:c r="B376" s="2" t="inlineStr">
        <x:is>
          <x:t xml:space="preserve">23/03/2025</x:t>
        </x:is>
      </x:c>
      <x:c r="C376" s="2" t="inlineStr">
        <x:is>
          <x:t xml:space="preserve">March</x:t>
        </x:is>
      </x:c>
      <x:c r="D376" s="2" t="inlineStr">
        <x:is>
          <x:t xml:space="preserve">Calgary SE Ring Road Extension</x:t>
        </x:is>
      </x:c>
      <x:c r="E376" s="2" t="inlineStr">
        <x:is>
          <x:t xml:space="preserve">Rocky View County</x:t>
        </x:is>
      </x:c>
      <x:c r="F376" s="2" t="inlineStr">
        <x:is>
          <x:t xml:space="preserve">Aisha Nkosi</x:t>
        </x:is>
      </x:c>
      <x:c r="G376" s="2" t="inlineStr">
        <x:is>
          <x:t xml:space="preserve">Concrete &amp; Structural</x:t>
        </x:is>
      </x:c>
      <x:c r="H376" s="2" t="inlineStr">
        <x:is>
          <x:t xml:space="preserve">Post-Tension Cables</x:t>
        </x:is>
      </x:c>
      <x:c r="I376" s="2" t="inlineStr">
        <x:is>
          <x:t xml:space="preserve">Inland Concrete</x:t>
        </x:is>
      </x:c>
      <x:c r="J376" s="2" t="inlineStr">
        <x:is>
          <x:t xml:space="preserve">3-Quote Comparison</x:t>
        </x:is>
      </x:c>
      <x:c r="K376" s="3" t="n">
        <x:v>101</x:v>
      </x:c>
      <x:c r="L376" s="2" t="inlineStr">
        <x:is>
          <x:t xml:space="preserve">m³</x:t>
        </x:is>
      </x:c>
      <x:c r="M376" s="4" t="n">
        <x:v>349.65</x:v>
      </x:c>
      <x:c r="N376" s="4" t="n">
        <x:v>369.13</x:v>
      </x:c>
      <x:c r="O376" s="4" t="n">
        <x:v>35314.65</x:v>
      </x:c>
      <x:c r="P376" s="4" t="n">
        <x:v>37282.13</x:v>
      </x:c>
      <x:c r="Q376" s="4" t="n">
        <x:v>-1967.48</x:v>
      </x:c>
      <x:c r="R376" s="5" t="n">
        <x:v>-5.3</x:v>
      </x:c>
      <x:c r="S376" s="3" t="n">
        <x:v>70</x:v>
      </x:c>
      <x:c r="T376" s="2" t="inlineStr">
        <x:is>
          <x:t xml:space="preserve">Yes</x:t>
        </x:is>
      </x:c>
      <x:c r="U376" s="2" t="inlineStr">
        <x:is>
          <x:t xml:space="preserve">Delivered</x:t>
        </x:is>
      </x:c>
    </x:row>
    <x:row r="377">
      <x:c r="A377" s="6" t="inlineStr">
        <x:is>
          <x:t xml:space="preserve">PO-2025-0376</x:t>
        </x:is>
      </x:c>
      <x:c r="B377" s="6" t="inlineStr">
        <x:is>
          <x:t xml:space="preserve">15/01/2025</x:t>
        </x:is>
      </x:c>
      <x:c r="C377" s="6" t="inlineStr">
        <x:is>
          <x:t xml:space="preserve">January</x:t>
        </x:is>
      </x:c>
      <x:c r="D377" s="6" t="inlineStr">
        <x:is>
          <x:t xml:space="preserve">Bow River Crossing Overpass</x:t>
        </x:is>
      </x:c>
      <x:c r="E377" s="6" t="inlineStr">
        <x:is>
          <x:t xml:space="preserve">Rocky View County</x:t>
        </x:is>
      </x:c>
      <x:c r="F377" s="6" t="inlineStr">
        <x:is>
          <x:t xml:space="preserve">James Okafor</x:t>
        </x:is>
      </x:c>
      <x:c r="G377" s="6" t="inlineStr">
        <x:is>
          <x:t xml:space="preserve">MEP - Mechanical</x:t>
        </x:is>
      </x:c>
      <x:c r="H377" s="6" t="inlineStr">
        <x:is>
          <x:t xml:space="preserve">HVAC Rooftop Unit</x:t>
        </x:is>
      </x:c>
      <x:c r="I377" s="6" t="inlineStr">
        <x:is>
          <x:t xml:space="preserve">Stantec MEP</x:t>
        </x:is>
      </x:c>
      <x:c r="J377" s="6" t="inlineStr">
        <x:is>
          <x:t xml:space="preserve">LPO – Direct Award</x:t>
        </x:is>
      </x:c>
      <x:c r="K377" s="7" t="n">
        <x:v>109</x:v>
      </x:c>
      <x:c r="L377" s="6" t="inlineStr">
        <x:is>
          <x:t xml:space="preserve">lot</x:t>
        </x:is>
      </x:c>
      <x:c r="M377" s="8" t="n">
        <x:v>47636.53</x:v>
      </x:c>
      <x:c r="N377" s="8" t="n">
        <x:v>57956.01</x:v>
      </x:c>
      <x:c r="O377" s="8" t="n">
        <x:v>5192381.77</x:v>
      </x:c>
      <x:c r="P377" s="8" t="n">
        <x:v>6317205.09</x:v>
      </x:c>
      <x:c r="Q377" s="8" t="n">
        <x:v>-1124823.32</x:v>
      </x:c>
      <x:c r="R377" s="9" t="n">
        <x:v>-17.8</x:v>
      </x:c>
      <x:c r="S377" s="7" t="n">
        <x:v>59</x:v>
      </x:c>
      <x:c r="T377" s="6" t="inlineStr">
        <x:is>
          <x:t xml:space="preserve">Yes</x:t>
        </x:is>
      </x:c>
      <x:c r="U377" s="6" t="inlineStr">
        <x:is>
          <x:t xml:space="preserve">Cancelled</x:t>
        </x:is>
      </x:c>
    </x:row>
    <x:row r="378">
      <x:c r="A378" s="2" t="inlineStr">
        <x:is>
          <x:t xml:space="preserve">PO-2025-0377</x:t>
        </x:is>
      </x:c>
      <x:c r="B378" s="2" t="inlineStr">
        <x:is>
          <x:t xml:space="preserve">17/05/2025</x:t>
        </x:is>
      </x:c>
      <x:c r="C378" s="2" t="inlineStr">
        <x:is>
          <x:t xml:space="preserve">May</x:t>
        </x:is>
      </x:c>
      <x:c r="D378" s="2" t="inlineStr">
        <x:is>
          <x:t xml:space="preserve">Springbank Off-Stream Reservoir</x:t>
        </x:is>
      </x:c>
      <x:c r="E378" s="2" t="inlineStr">
        <x:is>
          <x:t xml:space="preserve">Calgary SW</x:t>
        </x:is>
      </x:c>
      <x:c r="F378" s="2" t="inlineStr">
        <x:is>
          <x:t xml:space="preserve">Aisha Nkosi</x:t>
        </x:is>
      </x:c>
      <x:c r="G378" s="2" t="inlineStr">
        <x:is>
          <x:t xml:space="preserve">Civil Works</x:t>
        </x:is>
      </x:c>
      <x:c r="H378" s="2" t="inlineStr">
        <x:is>
          <x:t xml:space="preserve">Bulk Excavation</x:t>
        </x:is>
      </x:c>
      <x:c r="I378" s="2" t="inlineStr">
        <x:is>
          <x:t xml:space="preserve">Graham Construction</x:t>
        </x:is>
      </x:c>
      <x:c r="J378" s="2" t="inlineStr">
        <x:is>
          <x:t xml:space="preserve">Standing Offer Agreement</x:t>
        </x:is>
      </x:c>
      <x:c r="K378" s="3" t="n">
        <x:v>69</x:v>
      </x:c>
      <x:c r="L378" s="2" t="inlineStr">
        <x:is>
          <x:t xml:space="preserve">m³</x:t>
        </x:is>
      </x:c>
      <x:c r="M378" s="4" t="n">
        <x:v>309.65</x:v>
      </x:c>
      <x:c r="N378" s="4" t="n">
        <x:v>271.24</x:v>
      </x:c>
      <x:c r="O378" s="4" t="n">
        <x:v>21365.85</x:v>
      </x:c>
      <x:c r="P378" s="4" t="n">
        <x:v>18715.56</x:v>
      </x:c>
      <x:c r="Q378" s="4" t="n">
        <x:v>2650.29</x:v>
      </x:c>
      <x:c r="R378" s="5" t="n">
        <x:v>14.2</x:v>
      </x:c>
      <x:c r="S378" s="3" t="n">
        <x:v>41</x:v>
      </x:c>
      <x:c r="T378" s="2" t="inlineStr">
        <x:is>
          <x:t xml:space="preserve">Yes</x:t>
        </x:is>
      </x:c>
      <x:c r="U378" s="2" t="inlineStr">
        <x:is>
          <x:t xml:space="preserve">Partially Delivered</x:t>
        </x:is>
      </x:c>
    </x:row>
    <x:row r="379">
      <x:c r="A379" s="6" t="inlineStr">
        <x:is>
          <x:t xml:space="preserve">PO-2025-0378</x:t>
        </x:is>
      </x:c>
      <x:c r="B379" s="6" t="inlineStr">
        <x:is>
          <x:t xml:space="preserve">03/09/2025</x:t>
        </x:is>
      </x:c>
      <x:c r="C379" s="6" t="inlineStr">
        <x:is>
          <x:t xml:space="preserve">September</x:t>
        </x:is>
      </x:c>
      <x:c r="D379" s="6" t="inlineStr">
        <x:is>
          <x:t xml:space="preserve">Rocky View Industrial Logistics Hub</x:t>
        </x:is>
      </x:c>
      <x:c r="E379" s="6" t="inlineStr">
        <x:is>
          <x:t xml:space="preserve">Calgary SE</x:t>
        </x:is>
      </x:c>
      <x:c r="F379" s="6" t="inlineStr">
        <x:is>
          <x:t xml:space="preserve">Linda Tran</x:t>
        </x:is>
      </x:c>
      <x:c r="G379" s="6" t="inlineStr">
        <x:is>
          <x:t xml:space="preserve">MEP - Mechanical</x:t>
        </x:is>
      </x:c>
      <x:c r="H379" s="6" t="inlineStr">
        <x:is>
          <x:t xml:space="preserve">Air Handling Unit</x:t>
        </x:is>
      </x:c>
      <x:c r="I379" s="6" t="inlineStr">
        <x:is>
          <x:t xml:space="preserve">PCL Mechanical</x:t>
        </x:is>
      </x:c>
      <x:c r="J379" s="6" t="inlineStr">
        <x:is>
          <x:t xml:space="preserve">Standing Offer Agreement</x:t>
        </x:is>
      </x:c>
      <x:c r="K379" s="7" t="n">
        <x:v>47</x:v>
      </x:c>
      <x:c r="L379" s="6" t="inlineStr">
        <x:is>
          <x:t xml:space="preserve">lot</x:t>
        </x:is>
      </x:c>
      <x:c r="M379" s="8" t="n">
        <x:v>48738.72</x:v>
      </x:c>
      <x:c r="N379" s="8" t="n">
        <x:v>43034.93</x:v>
      </x:c>
      <x:c r="O379" s="8" t="n">
        <x:v>2290719.84</x:v>
      </x:c>
      <x:c r="P379" s="8" t="n">
        <x:v>2022641.71</x:v>
      </x:c>
      <x:c r="Q379" s="8" t="n">
        <x:v>268078.13</x:v>
      </x:c>
      <x:c r="R379" s="9" t="n">
        <x:v>13.3</x:v>
      </x:c>
      <x:c r="S379" s="7" t="n">
        <x:v>8</x:v>
      </x:c>
      <x:c r="T379" s="6" t="inlineStr">
        <x:is>
          <x:t xml:space="preserve">Yes</x:t>
        </x:is>
      </x:c>
      <x:c r="U379" s="6" t="inlineStr">
        <x:is>
          <x:t xml:space="preserve">Delivered</x:t>
        </x:is>
      </x:c>
    </x:row>
    <x:row r="380">
      <x:c r="A380" s="2" t="inlineStr">
        <x:is>
          <x:t xml:space="preserve">PO-2025-0379</x:t>
        </x:is>
      </x:c>
      <x:c r="B380" s="2" t="inlineStr">
        <x:is>
          <x:t xml:space="preserve">06/10/2025</x:t>
        </x:is>
      </x:c>
      <x:c r="C380" s="2" t="inlineStr">
        <x:is>
          <x:t xml:space="preserve">October</x:t>
        </x:is>
      </x:c>
      <x:c r="D380" s="2" t="inlineStr">
        <x:is>
          <x:t xml:space="preserve">Bow River Crossing Overpass</x:t>
        </x:is>
      </x:c>
      <x:c r="E380" s="2" t="inlineStr">
        <x:is>
          <x:t xml:space="preserve">Calgary NE</x:t>
        </x:is>
      </x:c>
      <x:c r="F380" s="2" t="inlineStr">
        <x:is>
          <x:t xml:space="preserve">Priya Sharma</x:t>
        </x:is>
      </x:c>
      <x:c r="G380" s="2" t="inlineStr">
        <x:is>
          <x:t xml:space="preserve">Finishing</x:t>
        </x:is>
      </x:c>
      <x:c r="H380" s="2" t="inlineStr">
        <x:is>
          <x:t xml:space="preserve">Exterior Cladding Panel</x:t>
        </x:is>
      </x:c>
      <x:c r="I380" s="2" t="inlineStr">
        <x:is>
          <x:t xml:space="preserve">Dryvit Systems Canada</x:t>
        </x:is>
      </x:c>
      <x:c r="J380" s="2" t="inlineStr">
        <x:is>
          <x:t xml:space="preserve">Tender – Open</x:t>
        </x:is>
      </x:c>
      <x:c r="K380" s="3" t="n">
        <x:v>87</x:v>
      </x:c>
      <x:c r="L380" s="2" t="inlineStr">
        <x:is>
          <x:t xml:space="preserve">m²</x:t>
        </x:is>
      </x:c>
      <x:c r="M380" s="4" t="n">
        <x:v>239.76</x:v>
      </x:c>
      <x:c r="N380" s="4" t="n">
        <x:v>225.15</x:v>
      </x:c>
      <x:c r="O380" s="4" t="n">
        <x:v>20859.12</x:v>
      </x:c>
      <x:c r="P380" s="4" t="n">
        <x:v>19588.05</x:v>
      </x:c>
      <x:c r="Q380" s="4" t="n">
        <x:v>1271.07</x:v>
      </x:c>
      <x:c r="R380" s="5" t="n">
        <x:v>6.5</x:v>
      </x:c>
      <x:c r="S380" s="3" t="n">
        <x:v>66</x:v>
      </x:c>
      <x:c r="T380" s="2" t="inlineStr">
        <x:is>
          <x:t xml:space="preserve">Yes</x:t>
        </x:is>
      </x:c>
      <x:c r="U380" s="2" t="inlineStr">
        <x:is>
          <x:t xml:space="preserve">Delivered</x:t>
        </x:is>
      </x:c>
    </x:row>
    <x:row r="381">
      <x:c r="A381" s="6" t="inlineStr">
        <x:is>
          <x:t xml:space="preserve">PO-2025-0380</x:t>
        </x:is>
      </x:c>
      <x:c r="B381" s="6" t="inlineStr">
        <x:is>
          <x:t xml:space="preserve">27/09/2025</x:t>
        </x:is>
      </x:c>
      <x:c r="C381" s="6" t="inlineStr">
        <x:is>
          <x:t xml:space="preserve">September</x:t>
        </x:is>
      </x:c>
      <x:c r="D381" s="6" t="inlineStr">
        <x:is>
          <x:t xml:space="preserve">Bow River Crossing Overpass</x:t>
        </x:is>
      </x:c>
      <x:c r="E381" s="6" t="inlineStr">
        <x:is>
          <x:t xml:space="preserve">Calgary SW</x:t>
        </x:is>
      </x:c>
      <x:c r="F381" s="6" t="inlineStr">
        <x:is>
          <x:t xml:space="preserve">Aisha Nkosi</x:t>
        </x:is>
      </x:c>
      <x:c r="G381" s="6" t="inlineStr">
        <x:is>
          <x:t xml:space="preserve">Safety &amp; Temp Works</x:t>
        </x:is>
      </x:c>
      <x:c r="H381" s="6" t="inlineStr">
        <x:is>
          <x:t xml:space="preserve">Site Office Trailer</x:t>
        </x:is>
      </x:c>
      <x:c r="I381" s="6" t="inlineStr">
        <x:is>
          <x:t xml:space="preserve">Safway Alberta</x:t>
        </x:is>
      </x:c>
      <x:c r="J381" s="6" t="inlineStr">
        <x:is>
          <x:t xml:space="preserve">Emergency Procurement</x:t>
        </x:is>
      </x:c>
      <x:c r="K381" s="7" t="n">
        <x:v>66</x:v>
      </x:c>
      <x:c r="L381" s="6" t="inlineStr">
        <x:is>
          <x:t xml:space="preserve">lot</x:t>
        </x:is>
      </x:c>
      <x:c r="M381" s="8" t="n">
        <x:v>7220.09</x:v>
      </x:c>
      <x:c r="N381" s="8" t="n">
        <x:v>8324.15</x:v>
      </x:c>
      <x:c r="O381" s="8" t="n">
        <x:v>476525.94</x:v>
      </x:c>
      <x:c r="P381" s="8" t="n">
        <x:v>549393.9</x:v>
      </x:c>
      <x:c r="Q381" s="8" t="n">
        <x:v>-72867.96000000001</x:v>
      </x:c>
      <x:c r="R381" s="9" t="n">
        <x:v>-13.3</x:v>
      </x:c>
      <x:c r="S381" s="7" t="n">
        <x:v>53</x:v>
      </x:c>
      <x:c r="T381" s="6" t="inlineStr">
        <x:is>
          <x:t xml:space="preserve">Yes</x:t>
        </x:is>
      </x:c>
      <x:c r="U381" s="6" t="inlineStr">
        <x:is>
          <x:t xml:space="preserve">Partially Delivered</x:t>
        </x:is>
      </x:c>
    </x:row>
    <x:row r="382">
      <x:c r="A382" s="2" t="inlineStr">
        <x:is>
          <x:t xml:space="preserve">PO-2025-0381</x:t>
        </x:is>
      </x:c>
      <x:c r="B382" s="2" t="inlineStr">
        <x:is>
          <x:t xml:space="preserve">14/01/2025</x:t>
        </x:is>
      </x:c>
      <x:c r="C382" s="2" t="inlineStr">
        <x:is>
          <x:t xml:space="preserve">January</x:t>
        </x:is>
      </x:c>
      <x:c r="D382" s="2" t="inlineStr">
        <x:is>
          <x:t xml:space="preserve">Stampede Park Infrastructure Upgrade</x:t>
        </x:is>
      </x:c>
      <x:c r="E382" s="2" t="inlineStr">
        <x:is>
          <x:t xml:space="preserve">Calgary SW</x:t>
        </x:is>
      </x:c>
      <x:c r="F382" s="2" t="inlineStr">
        <x:is>
          <x:t xml:space="preserve">Priya Sharma</x:t>
        </x:is>
      </x:c>
      <x:c r="G382" s="2" t="inlineStr">
        <x:is>
          <x:t xml:space="preserve">MEP - Electrical</x:t>
        </x:is>
      </x:c>
      <x:c r="H382" s="2" t="inlineStr">
        <x:is>
          <x:t xml:space="preserve">Standby Generator</x:t>
        </x:is>
      </x:c>
      <x:c r="I382" s="2" t="inlineStr">
        <x:is>
          <x:t xml:space="preserve">Houle Electric</x:t>
        </x:is>
      </x:c>
      <x:c r="J382" s="2" t="inlineStr">
        <x:is>
          <x:t xml:space="preserve">Emergency Procurement</x:t>
        </x:is>
      </x:c>
      <x:c r="K382" s="3" t="n">
        <x:v>59</x:v>
      </x:c>
      <x:c r="L382" s="2" t="inlineStr">
        <x:is>
          <x:t xml:space="preserve">lot</x:t>
        </x:is>
      </x:c>
      <x:c r="M382" s="4" t="n">
        <x:v>56471.83</x:v>
      </x:c>
      <x:c r="N382" s="4" t="n">
        <x:v>50265.08</x:v>
      </x:c>
      <x:c r="O382" s="4" t="n">
        <x:v>3331837.97</x:v>
      </x:c>
      <x:c r="P382" s="4" t="n">
        <x:v>2965639.72</x:v>
      </x:c>
      <x:c r="Q382" s="4" t="n">
        <x:v>366198.25</x:v>
      </x:c>
      <x:c r="R382" s="5" t="n">
        <x:v>12.3</x:v>
      </x:c>
      <x:c r="S382" s="3" t="n">
        <x:v>9</x:v>
      </x:c>
      <x:c r="T382" s="2" t="inlineStr">
        <x:is>
          <x:t xml:space="preserve">Yes</x:t>
        </x:is>
      </x:c>
      <x:c r="U382" s="2" t="inlineStr">
        <x:is>
          <x:t xml:space="preserve">Pending</x:t>
        </x:is>
      </x:c>
    </x:row>
    <x:row r="383">
      <x:c r="A383" s="6" t="inlineStr">
        <x:is>
          <x:t xml:space="preserve">PO-2025-0382</x:t>
        </x:is>
      </x:c>
      <x:c r="B383" s="6" t="inlineStr">
        <x:is>
          <x:t xml:space="preserve">09/09/2025</x:t>
        </x:is>
      </x:c>
      <x:c r="C383" s="6" t="inlineStr">
        <x:is>
          <x:t xml:space="preserve">September</x:t>
        </x:is>
      </x:c>
      <x:c r="D383" s="6" t="inlineStr">
        <x:is>
          <x:t xml:space="preserve">Quarry Park Mixed-Use Development</x:t>
        </x:is>
      </x:c>
      <x:c r="E383" s="6" t="inlineStr">
        <x:is>
          <x:t xml:space="preserve">Calgary NE</x:t>
        </x:is>
      </x:c>
      <x:c r="F383" s="6" t="inlineStr">
        <x:is>
          <x:t xml:space="preserve">Sarah Bouchard</x:t>
        </x:is>
      </x:c>
      <x:c r="G383" s="6" t="inlineStr">
        <x:is>
          <x:t xml:space="preserve">Civil Works</x:t>
        </x:is>
      </x:c>
      <x:c r="H383" s="6" t="inlineStr">
        <x:is>
          <x:t xml:space="preserve">Granular Backfill</x:t>
        </x:is>
      </x:c>
      <x:c r="I383" s="6" t="inlineStr">
        <x:is>
          <x:t xml:space="preserve">Kiewit Infrastructure</x:t>
        </x:is>
      </x:c>
      <x:c r="J383" s="6" t="inlineStr">
        <x:is>
          <x:t xml:space="preserve">Standing Offer Agreement</x:t>
        </x:is>
      </x:c>
      <x:c r="K383" s="7" t="n">
        <x:v>5</x:v>
      </x:c>
      <x:c r="L383" s="6" t="inlineStr">
        <x:is>
          <x:t xml:space="preserve">m³</x:t>
        </x:is>
      </x:c>
      <x:c r="M383" s="8" t="n">
        <x:v>186.51</x:v>
      </x:c>
      <x:c r="N383" s="8" t="n">
        <x:v>220.2</x:v>
      </x:c>
      <x:c r="O383" s="8" t="n">
        <x:v>932.55</x:v>
      </x:c>
      <x:c r="P383" s="8" t="n">
        <x:v>1101</x:v>
      </x:c>
      <x:c r="Q383" s="8" t="n">
        <x:v>-168.45</x:v>
      </x:c>
      <x:c r="R383" s="9" t="n">
        <x:v>-15.3</x:v>
      </x:c>
      <x:c r="S383" s="7" t="n">
        <x:v>53</x:v>
      </x:c>
      <x:c r="T383" s="6" t="inlineStr">
        <x:is>
          <x:t xml:space="preserve">Yes</x:t>
        </x:is>
      </x:c>
      <x:c r="U383" s="6" t="inlineStr">
        <x:is>
          <x:t xml:space="preserve">Delivered</x:t>
        </x:is>
      </x:c>
    </x:row>
    <x:row r="384">
      <x:c r="A384" s="2" t="inlineStr">
        <x:is>
          <x:t xml:space="preserve">PO-2025-0383</x:t>
        </x:is>
      </x:c>
      <x:c r="B384" s="2" t="inlineStr">
        <x:is>
          <x:t xml:space="preserve">31/08/2025</x:t>
        </x:is>
      </x:c>
      <x:c r="C384" s="2" t="inlineStr">
        <x:is>
          <x:t xml:space="preserve">August</x:t>
        </x:is>
      </x:c>
      <x:c r="D384" s="2" t="inlineStr">
        <x:is>
          <x:t xml:space="preserve">Calgary SE Ring Road Extension</x:t>
        </x:is>
      </x:c>
      <x:c r="E384" s="2" t="inlineStr">
        <x:is>
          <x:t xml:space="preserve">Calgary SW</x:t>
        </x:is>
      </x:c>
      <x:c r="F384" s="2" t="inlineStr">
        <x:is>
          <x:t xml:space="preserve">Sarah Bouchard</x:t>
        </x:is>
      </x:c>
      <x:c r="G384" s="2" t="inlineStr">
        <x:is>
          <x:t xml:space="preserve">Finishing</x:t>
        </x:is>
      </x:c>
      <x:c r="H384" s="2" t="inlineStr">
        <x:is>
          <x:t xml:space="preserve">Drywall &amp; Framing</x:t>
        </x:is>
      </x:c>
      <x:c r="I384" s="2" t="inlineStr">
        <x:is>
          <x:t xml:space="preserve">Dryvit Systems Canada</x:t>
        </x:is>
      </x:c>
      <x:c r="J384" s="2" t="inlineStr">
        <x:is>
          <x:t xml:space="preserve">3-Quote Comparison</x:t>
        </x:is>
      </x:c>
      <x:c r="K384" s="3" t="n">
        <x:v>64</x:v>
      </x:c>
      <x:c r="L384" s="2" t="inlineStr">
        <x:is>
          <x:t xml:space="preserve">m²</x:t>
        </x:is>
      </x:c>
      <x:c r="M384" s="4" t="n">
        <x:v>242.98</x:v>
      </x:c>
      <x:c r="N384" s="4" t="n">
        <x:v>226.17</x:v>
      </x:c>
      <x:c r="O384" s="4" t="n">
        <x:v>15550.72</x:v>
      </x:c>
      <x:c r="P384" s="4" t="n">
        <x:v>14474.88</x:v>
      </x:c>
      <x:c r="Q384" s="4" t="n">
        <x:v>1075.84</x:v>
      </x:c>
      <x:c r="R384" s="5" t="n">
        <x:v>7.4</x:v>
      </x:c>
      <x:c r="S384" s="3" t="n">
        <x:v>25</x:v>
      </x:c>
      <x:c r="T384" s="2" t="inlineStr">
        <x:is>
          <x:t xml:space="preserve">Yes</x:t>
        </x:is>
      </x:c>
      <x:c r="U384" s="2" t="inlineStr">
        <x:is>
          <x:t xml:space="preserve">Cancelled</x:t>
        </x:is>
      </x:c>
    </x:row>
    <x:row r="385">
      <x:c r="A385" s="6" t="inlineStr">
        <x:is>
          <x:t xml:space="preserve">PO-2025-0384</x:t>
        </x:is>
      </x:c>
      <x:c r="B385" s="6" t="inlineStr">
        <x:is>
          <x:t xml:space="preserve">31/01/2025</x:t>
        </x:is>
      </x:c>
      <x:c r="C385" s="6" t="inlineStr">
        <x:is>
          <x:t xml:space="preserve">January</x:t>
        </x:is>
      </x:c>
      <x:c r="D385" s="6" t="inlineStr">
        <x:is>
          <x:t xml:space="preserve">Foothills Medical Centre Expansion</x:t>
        </x:is>
      </x:c>
      <x:c r="E385" s="6" t="inlineStr">
        <x:is>
          <x:t xml:space="preserve">Calgary SE</x:t>
        </x:is>
      </x:c>
      <x:c r="F385" s="6" t="inlineStr">
        <x:is>
          <x:t xml:space="preserve">James Okafor</x:t>
        </x:is>
      </x:c>
      <x:c r="G385" s="6" t="inlineStr">
        <x:is>
          <x:t xml:space="preserve">Safety &amp; Temp Works</x:t>
        </x:is>
      </x:c>
      <x:c r="H385" s="6" t="inlineStr">
        <x:is>
          <x:t xml:space="preserve">PPE Bulk Supply</x:t>
        </x:is>
      </x:c>
      <x:c r="I385" s="6" t="inlineStr">
        <x:is>
          <x:t xml:space="preserve">Sunbelt Rentals Canada</x:t>
        </x:is>
      </x:c>
      <x:c r="J385" s="6" t="inlineStr">
        <x:is>
          <x:t xml:space="preserve">LPO – Direct Award</x:t>
        </x:is>
      </x:c>
      <x:c r="K385" s="7" t="n">
        <x:v>60</x:v>
      </x:c>
      <x:c r="L385" s="6" t="inlineStr">
        <x:is>
          <x:t xml:space="preserve">lot</x:t>
        </x:is>
      </x:c>
      <x:c r="M385" s="8" t="n">
        <x:v>13297.48</x:v>
      </x:c>
      <x:c r="N385" s="8" t="n">
        <x:v>16305.71</x:v>
      </x:c>
      <x:c r="O385" s="8" t="n">
        <x:v>797848.8</x:v>
      </x:c>
      <x:c r="P385" s="8" t="n">
        <x:v>978342.6</x:v>
      </x:c>
      <x:c r="Q385" s="8" t="n">
        <x:v>-180493.8</x:v>
      </x:c>
      <x:c r="R385" s="9" t="n">
        <x:v>-18.4</x:v>
      </x:c>
      <x:c r="S385" s="7" t="n">
        <x:v>43</x:v>
      </x:c>
      <x:c r="T385" s="6" t="inlineStr">
        <x:is>
          <x:t xml:space="preserve">Yes</x:t>
        </x:is>
      </x:c>
      <x:c r="U385" s="6" t="inlineStr">
        <x:is>
          <x:t xml:space="preserve">Delivered</x:t>
        </x:is>
      </x:c>
    </x:row>
    <x:row r="386">
      <x:c r="A386" s="2" t="inlineStr">
        <x:is>
          <x:t xml:space="preserve">PO-2025-0385</x:t>
        </x:is>
      </x:c>
      <x:c r="B386" s="2" t="inlineStr">
        <x:is>
          <x:t xml:space="preserve">13/02/2025</x:t>
        </x:is>
      </x:c>
      <x:c r="C386" s="2" t="inlineStr">
        <x:is>
          <x:t xml:space="preserve">February</x:t>
        </x:is>
      </x:c>
      <x:c r="D386" s="2" t="inlineStr">
        <x:is>
          <x:t xml:space="preserve">Springbank Off-Stream Reservoir</x:t>
        </x:is>
      </x:c>
      <x:c r="E386" s="2" t="inlineStr">
        <x:is>
          <x:t xml:space="preserve">Calgary NE</x:t>
        </x:is>
      </x:c>
      <x:c r="F386" s="2" t="inlineStr">
        <x:is>
          <x:t xml:space="preserve">James Okafor</x:t>
        </x:is>
      </x:c>
      <x:c r="G386" s="2" t="inlineStr">
        <x:is>
          <x:t xml:space="preserve">Concrete &amp; Structural</x:t>
        </x:is>
      </x:c>
      <x:c r="H386" s="2" t="inlineStr">
        <x:is>
          <x:t xml:space="preserve">Precast Deck Panels</x:t>
        </x:is>
      </x:c>
      <x:c r="I386" s="2" t="inlineStr">
        <x:is>
          <x:t xml:space="preserve">Alberta Precast</x:t>
        </x:is>
      </x:c>
      <x:c r="J386" s="2" t="inlineStr">
        <x:is>
          <x:t xml:space="preserve">LPO – Direct Award</x:t>
        </x:is>
      </x:c>
      <x:c r="K386" s="3" t="n">
        <x:v>80</x:v>
      </x:c>
      <x:c r="L386" s="2" t="inlineStr">
        <x:is>
          <x:t xml:space="preserve">m³</x:t>
        </x:is>
      </x:c>
      <x:c r="M386" s="4" t="n">
        <x:v>584.9400000000001</x:v>
      </x:c>
      <x:c r="N386" s="4" t="n">
        <x:v>543.21</x:v>
      </x:c>
      <x:c r="O386" s="4" t="n">
        <x:v>46795.2</x:v>
      </x:c>
      <x:c r="P386" s="4" t="n">
        <x:v>43456.8</x:v>
      </x:c>
      <x:c r="Q386" s="4" t="n">
        <x:v>3338.4</x:v>
      </x:c>
      <x:c r="R386" s="5" t="n">
        <x:v>7.7</x:v>
      </x:c>
      <x:c r="S386" s="3" t="n">
        <x:v>13</x:v>
      </x:c>
      <x:c r="T386" s="2" t="inlineStr">
        <x:is>
          <x:t xml:space="preserve">Yes</x:t>
        </x:is>
      </x:c>
      <x:c r="U386" s="2" t="inlineStr">
        <x:is>
          <x:t xml:space="preserve">Cancelled</x:t>
        </x:is>
      </x:c>
    </x:row>
    <x:row r="387">
      <x:c r="A387" s="6" t="inlineStr">
        <x:is>
          <x:t xml:space="preserve">PO-2025-0386</x:t>
        </x:is>
      </x:c>
      <x:c r="B387" s="6" t="inlineStr">
        <x:is>
          <x:t xml:space="preserve">17/10/2025</x:t>
        </x:is>
      </x:c>
      <x:c r="C387" s="6" t="inlineStr">
        <x:is>
          <x:t xml:space="preserve">October</x:t>
        </x:is>
      </x:c>
      <x:c r="D387" s="6" t="inlineStr">
        <x:is>
          <x:t xml:space="preserve">Calgary SE Ring Road Extension</x:t>
        </x:is>
      </x:c>
      <x:c r="E387" s="6" t="inlineStr">
        <x:is>
          <x:t xml:space="preserve">Calgary NE</x:t>
        </x:is>
      </x:c>
      <x:c r="F387" s="6" t="inlineStr">
        <x:is>
          <x:t xml:space="preserve">Sarah Bouchard</x:t>
        </x:is>
      </x:c>
      <x:c r="G387" s="6" t="inlineStr">
        <x:is>
          <x:t xml:space="preserve">Civil Works</x:t>
        </x:is>
      </x:c>
      <x:c r="H387" s="6" t="inlineStr">
        <x:is>
          <x:t xml:space="preserve">Curb &amp; Gutter Concrete</x:t>
        </x:is>
      </x:c>
      <x:c r="I387" s="6" t="inlineStr">
        <x:is>
          <x:t xml:space="preserve">Ledcor Civil Alberta</x:t>
        </x:is>
      </x:c>
      <x:c r="J387" s="6" t="inlineStr">
        <x:is>
          <x:t xml:space="preserve">Tender – Open</x:t>
        </x:is>
      </x:c>
      <x:c r="K387" s="7" t="n">
        <x:v>108</x:v>
      </x:c>
      <x:c r="L387" s="6" t="inlineStr">
        <x:is>
          <x:t xml:space="preserve">m³</x:t>
        </x:is>
      </x:c>
      <x:c r="M387" s="8" t="n">
        <x:v>75.84</x:v>
      </x:c>
      <x:c r="N387" s="8" t="n">
        <x:v>90.11</x:v>
      </x:c>
      <x:c r="O387" s="8" t="n">
        <x:v>8190.72</x:v>
      </x:c>
      <x:c r="P387" s="8" t="n">
        <x:v>9731.879999999999</x:v>
      </x:c>
      <x:c r="Q387" s="8" t="n">
        <x:v>-1541.16</x:v>
      </x:c>
      <x:c r="R387" s="9" t="n">
        <x:v>-15.8</x:v>
      </x:c>
      <x:c r="S387" s="7" t="n">
        <x:v>53</x:v>
      </x:c>
      <x:c r="T387" s="6" t="inlineStr">
        <x:is>
          <x:t xml:space="preserve">Yes</x:t>
        </x:is>
      </x:c>
      <x:c r="U387" s="6" t="inlineStr">
        <x:is>
          <x:t xml:space="preserve">Delivered</x:t>
        </x:is>
      </x:c>
    </x:row>
    <x:row r="388">
      <x:c r="A388" s="2" t="inlineStr">
        <x:is>
          <x:t xml:space="preserve">PO-2025-0387</x:t>
        </x:is>
      </x:c>
      <x:c r="B388" s="2" t="inlineStr">
        <x:is>
          <x:t xml:space="preserve">19/07/2025</x:t>
        </x:is>
      </x:c>
      <x:c r="C388" s="2" t="inlineStr">
        <x:is>
          <x:t xml:space="preserve">July</x:t>
        </x:is>
      </x:c>
      <x:c r="D388" s="2" t="inlineStr">
        <x:is>
          <x:t xml:space="preserve">Stampede Park Infrastructure Upgrade</x:t>
        </x:is>
      </x:c>
      <x:c r="E388" s="2" t="inlineStr">
        <x:is>
          <x:t xml:space="preserve">Calgary NE</x:t>
        </x:is>
      </x:c>
      <x:c r="F388" s="2" t="inlineStr">
        <x:is>
          <x:t xml:space="preserve">James Okafor</x:t>
        </x:is>
      </x:c>
      <x:c r="G388" s="2" t="inlineStr">
        <x:is>
          <x:t xml:space="preserve">MEP - Mechanical</x:t>
        </x:is>
      </x:c>
      <x:c r="H388" s="2" t="inlineStr">
        <x:is>
          <x:t xml:space="preserve">Air Handling Unit</x:t>
        </x:is>
      </x:c>
      <x:c r="I388" s="2" t="inlineStr">
        <x:is>
          <x:t xml:space="preserve">Johnson Controls Alberta</x:t>
        </x:is>
      </x:c>
      <x:c r="J388" s="2" t="inlineStr">
        <x:is>
          <x:t xml:space="preserve">Standing Offer Agreement</x:t>
        </x:is>
      </x:c>
      <x:c r="K388" s="3" t="n">
        <x:v>98</x:v>
      </x:c>
      <x:c r="L388" s="2" t="inlineStr">
        <x:is>
          <x:t xml:space="preserve">lot</x:t>
        </x:is>
      </x:c>
      <x:c r="M388" s="4" t="n">
        <x:v>73393.39999999999</x:v>
      </x:c>
      <x:c r="N388" s="4" t="n">
        <x:v>75339.88</x:v>
      </x:c>
      <x:c r="O388" s="4" t="n">
        <x:v>7192553.2</x:v>
      </x:c>
      <x:c r="P388" s="4" t="n">
        <x:v>7383308.24</x:v>
      </x:c>
      <x:c r="Q388" s="4" t="n">
        <x:v>-190755.04</x:v>
      </x:c>
      <x:c r="R388" s="5" t="n">
        <x:v>-2.6</x:v>
      </x:c>
      <x:c r="S388" s="3" t="n">
        <x:v>24</x:v>
      </x:c>
      <x:c r="T388" s="2" t="inlineStr">
        <x:is>
          <x:t xml:space="preserve">No</x:t>
        </x:is>
      </x:c>
      <x:c r="U388" s="2" t="inlineStr">
        <x:is>
          <x:t xml:space="preserve">Delivered</x:t>
        </x:is>
      </x:c>
    </x:row>
    <x:row r="389">
      <x:c r="A389" s="6" t="inlineStr">
        <x:is>
          <x:t xml:space="preserve">PO-2025-0388</x:t>
        </x:is>
      </x:c>
      <x:c r="B389" s="6" t="inlineStr">
        <x:is>
          <x:t xml:space="preserve">12/05/2025</x:t>
        </x:is>
      </x:c>
      <x:c r="C389" s="6" t="inlineStr">
        <x:is>
          <x:t xml:space="preserve">May</x:t>
        </x:is>
      </x:c>
      <x:c r="D389" s="6" t="inlineStr">
        <x:is>
          <x:t xml:space="preserve">Calgary SE Ring Road Extension</x:t>
        </x:is>
      </x:c>
      <x:c r="E389" s="6" t="inlineStr">
        <x:is>
          <x:t xml:space="preserve">Calgary NE</x:t>
        </x:is>
      </x:c>
      <x:c r="F389" s="6" t="inlineStr">
        <x:is>
          <x:t xml:space="preserve">Aisha Nkosi</x:t>
        </x:is>
      </x:c>
      <x:c r="G389" s="6" t="inlineStr">
        <x:is>
          <x:t xml:space="preserve">Finishing</x:t>
        </x:is>
      </x:c>
      <x:c r="H389" s="6" t="inlineStr">
        <x:is>
          <x:t xml:space="preserve">Waterproofing Membrane</x:t>
        </x:is>
      </x:c>
      <x:c r="I389" s="6" t="inlineStr">
        <x:is>
          <x:t xml:space="preserve">Dryvit Systems Canada</x:t>
        </x:is>
      </x:c>
      <x:c r="J389" s="6" t="inlineStr">
        <x:is>
          <x:t xml:space="preserve">LPO – Direct Award</x:t>
        </x:is>
      </x:c>
      <x:c r="K389" s="7" t="n">
        <x:v>58</x:v>
      </x:c>
      <x:c r="L389" s="6" t="inlineStr">
        <x:is>
          <x:t xml:space="preserve">m²</x:t>
        </x:is>
      </x:c>
      <x:c r="M389" s="8" t="n">
        <x:v>244.73</x:v>
      </x:c>
      <x:c r="N389" s="8" t="n">
        <x:v>227.14</x:v>
      </x:c>
      <x:c r="O389" s="8" t="n">
        <x:v>14194.34</x:v>
      </x:c>
      <x:c r="P389" s="8" t="n">
        <x:v>13174.12</x:v>
      </x:c>
      <x:c r="Q389" s="8" t="n">
        <x:v>1020.22</x:v>
      </x:c>
      <x:c r="R389" s="9" t="n">
        <x:v>7.7</x:v>
      </x:c>
      <x:c r="S389" s="7" t="n">
        <x:v>46</x:v>
      </x:c>
      <x:c r="T389" s="6" t="inlineStr">
        <x:is>
          <x:t xml:space="preserve">Yes</x:t>
        </x:is>
      </x:c>
      <x:c r="U389" s="6" t="inlineStr">
        <x:is>
          <x:t xml:space="preserve">Delivered</x:t>
        </x:is>
      </x:c>
    </x:row>
    <x:row r="390">
      <x:c r="A390" s="2" t="inlineStr">
        <x:is>
          <x:t xml:space="preserve">PO-2025-0389</x:t>
        </x:is>
      </x:c>
      <x:c r="B390" s="2" t="inlineStr">
        <x:is>
          <x:t xml:space="preserve">20/05/2025</x:t>
        </x:is>
      </x:c>
      <x:c r="C390" s="2" t="inlineStr">
        <x:is>
          <x:t xml:space="preserve">May</x:t>
        </x:is>
      </x:c>
      <x:c r="D390" s="2" t="inlineStr">
        <x:is>
          <x:t xml:space="preserve">Stampede Park Infrastructure Upgrade</x:t>
        </x:is>
      </x:c>
      <x:c r="E390" s="2" t="inlineStr">
        <x:is>
          <x:t xml:space="preserve">Rocky View County</x:t>
        </x:is>
      </x:c>
      <x:c r="F390" s="2" t="inlineStr">
        <x:is>
          <x:t xml:space="preserve">Aisha Nkosi</x:t>
        </x:is>
      </x:c>
      <x:c r="G390" s="2" t="inlineStr">
        <x:is>
          <x:t xml:space="preserve">MEP - Electrical</x:t>
        </x:is>
      </x:c>
      <x:c r="H390" s="2" t="inlineStr">
        <x:is>
          <x:t xml:space="preserve">MV Distribution Cable</x:t>
        </x:is>
      </x:c>
      <x:c r="I390" s="2" t="inlineStr">
        <x:is>
          <x:t xml:space="preserve">Stuart Olson Electrical</x:t>
        </x:is>
      </x:c>
      <x:c r="J390" s="2" t="inlineStr">
        <x:is>
          <x:t xml:space="preserve">Emergency Procurement</x:t>
        </x:is>
      </x:c>
      <x:c r="K390" s="3" t="n">
        <x:v>85</x:v>
      </x:c>
      <x:c r="L390" s="2" t="inlineStr">
        <x:is>
          <x:t xml:space="preserve">lot</x:t>
        </x:is>
      </x:c>
      <x:c r="M390" s="4" t="n">
        <x:v>83738.55</x:v>
      </x:c>
      <x:c r="N390" s="4" t="n">
        <x:v>89776.42</x:v>
      </x:c>
      <x:c r="O390" s="4" t="n">
        <x:v>7117776.75</x:v>
      </x:c>
      <x:c r="P390" s="4" t="n">
        <x:v>7630995.7</x:v>
      </x:c>
      <x:c r="Q390" s="4" t="n">
        <x:v>-513218.95</x:v>
      </x:c>
      <x:c r="R390" s="5" t="n">
        <x:v>-6.7</x:v>
      </x:c>
      <x:c r="S390" s="3" t="n">
        <x:v>71</x:v>
      </x:c>
      <x:c r="T390" s="2" t="inlineStr">
        <x:is>
          <x:t xml:space="preserve">Yes</x:t>
        </x:is>
      </x:c>
      <x:c r="U390" s="2" t="inlineStr">
        <x:is>
          <x:t xml:space="preserve">Delivered</x:t>
        </x:is>
      </x:c>
    </x:row>
    <x:row r="391">
      <x:c r="A391" s="6" t="inlineStr">
        <x:is>
          <x:t xml:space="preserve">PO-2025-0390</x:t>
        </x:is>
      </x:c>
      <x:c r="B391" s="6" t="inlineStr">
        <x:is>
          <x:t xml:space="preserve">13/08/2025</x:t>
        </x:is>
      </x:c>
      <x:c r="C391" s="6" t="inlineStr">
        <x:is>
          <x:t xml:space="preserve">August</x:t>
        </x:is>
      </x:c>
      <x:c r="D391" s="6" t="inlineStr">
        <x:is>
          <x:t xml:space="preserve">Foothills Medical Centre Expansion</x:t>
        </x:is>
      </x:c>
      <x:c r="E391" s="6" t="inlineStr">
        <x:is>
          <x:t xml:space="preserve">Calgary SE</x:t>
        </x:is>
      </x:c>
      <x:c r="F391" s="6" t="inlineStr">
        <x:is>
          <x:t xml:space="preserve">Linda Tran</x:t>
        </x:is>
      </x:c>
      <x:c r="G391" s="6" t="inlineStr">
        <x:is>
          <x:t xml:space="preserve">MEP - Electrical</x:t>
        </x:is>
      </x:c>
      <x:c r="H391" s="6" t="inlineStr">
        <x:is>
          <x:t xml:space="preserve">LED Site Lighting</x:t>
        </x:is>
      </x:c>
      <x:c r="I391" s="6" t="inlineStr">
        <x:is>
          <x:t xml:space="preserve">Schneider Electric Canada</x:t>
        </x:is>
      </x:c>
      <x:c r="J391" s="6" t="inlineStr">
        <x:is>
          <x:t xml:space="preserve">LPO – Direct Award</x:t>
        </x:is>
      </x:c>
      <x:c r="K391" s="7" t="n">
        <x:v>86</x:v>
      </x:c>
      <x:c r="L391" s="6" t="inlineStr">
        <x:is>
          <x:t xml:space="preserve">lot</x:t>
        </x:is>
      </x:c>
      <x:c r="M391" s="8" t="n">
        <x:v>83610.45</x:v>
      </x:c>
      <x:c r="N391" s="8" t="n">
        <x:v>95855.92999999999</x:v>
      </x:c>
      <x:c r="O391" s="8" t="n">
        <x:v>7190498.7</x:v>
      </x:c>
      <x:c r="P391" s="8" t="n">
        <x:v>8243609.98</x:v>
      </x:c>
      <x:c r="Q391" s="8" t="n">
        <x:v>-1053111.28</x:v>
      </x:c>
      <x:c r="R391" s="9" t="n">
        <x:v>-12.8</x:v>
      </x:c>
      <x:c r="S391" s="7" t="n">
        <x:v>21</x:v>
      </x:c>
      <x:c r="T391" s="6" t="inlineStr">
        <x:is>
          <x:t xml:space="preserve">Yes</x:t>
        </x:is>
      </x:c>
      <x:c r="U391" s="6" t="inlineStr">
        <x:is>
          <x:t xml:space="preserve">Delivered</x:t>
        </x:is>
      </x:c>
    </x:row>
    <x:row r="392">
      <x:c r="A392" s="2" t="inlineStr">
        <x:is>
          <x:t xml:space="preserve">PO-2025-0391</x:t>
        </x:is>
      </x:c>
      <x:c r="B392" s="2" t="inlineStr">
        <x:is>
          <x:t xml:space="preserve">28/11/2025</x:t>
        </x:is>
      </x:c>
      <x:c r="C392" s="2" t="inlineStr">
        <x:is>
          <x:t xml:space="preserve">November</x:t>
        </x:is>
      </x:c>
      <x:c r="D392" s="2" t="inlineStr">
        <x:is>
          <x:t xml:space="preserve">Quarry Park Mixed-Use Development</x:t>
        </x:is>
      </x:c>
      <x:c r="E392" s="2" t="inlineStr">
        <x:is>
          <x:t xml:space="preserve">Rocky View County</x:t>
        </x:is>
      </x:c>
      <x:c r="F392" s="2" t="inlineStr">
        <x:is>
          <x:t xml:space="preserve">Sarah Bouchard</x:t>
        </x:is>
      </x:c>
      <x:c r="G392" s="2" t="inlineStr">
        <x:is>
          <x:t xml:space="preserve">Concrete &amp; Structural</x:t>
        </x:is>
      </x:c>
      <x:c r="H392" s="2" t="inlineStr">
        <x:is>
          <x:t xml:space="preserve">Rebar Steel</x:t>
        </x:is>
      </x:c>
      <x:c r="I392" s="2" t="inlineStr">
        <x:is>
          <x:t xml:space="preserve">Evraz Steel Calgary</x:t>
        </x:is>
      </x:c>
      <x:c r="J392" s="2" t="inlineStr">
        <x:is>
          <x:t xml:space="preserve">LPO – Direct Award</x:t>
        </x:is>
      </x:c>
      <x:c r="K392" s="3" t="n">
        <x:v>56</x:v>
      </x:c>
      <x:c r="L392" s="2" t="inlineStr">
        <x:is>
          <x:t xml:space="preserve">m³</x:t>
        </x:is>
      </x:c>
      <x:c r="M392" s="4" t="n">
        <x:v>378.81</x:v>
      </x:c>
      <x:c r="N392" s="4" t="n">
        <x:v>333.05</x:v>
      </x:c>
      <x:c r="O392" s="4" t="n">
        <x:v>21213.36</x:v>
      </x:c>
      <x:c r="P392" s="4" t="n">
        <x:v>18650.8</x:v>
      </x:c>
      <x:c r="Q392" s="4" t="n">
        <x:v>2562.56</x:v>
      </x:c>
      <x:c r="R392" s="5" t="n">
        <x:v>13.7</x:v>
      </x:c>
      <x:c r="S392" s="3" t="n">
        <x:v>7</x:v>
      </x:c>
      <x:c r="T392" s="2" t="inlineStr">
        <x:is>
          <x:t xml:space="preserve">Yes</x:t>
        </x:is>
      </x:c>
      <x:c r="U392" s="2" t="inlineStr">
        <x:is>
          <x:t xml:space="preserve">Pending</x:t>
        </x:is>
      </x:c>
    </x:row>
    <x:row r="393">
      <x:c r="A393" s="6" t="inlineStr">
        <x:is>
          <x:t xml:space="preserve">PO-2025-0392</x:t>
        </x:is>
      </x:c>
      <x:c r="B393" s="6" t="inlineStr">
        <x:is>
          <x:t xml:space="preserve">06/11/2025</x:t>
        </x:is>
      </x:c>
      <x:c r="C393" s="6" t="inlineStr">
        <x:is>
          <x:t xml:space="preserve">November</x:t>
        </x:is>
      </x:c>
      <x:c r="D393" s="6" t="inlineStr">
        <x:is>
          <x:t xml:space="preserve">Deerfoot Trail Widening - North</x:t>
        </x:is>
      </x:c>
      <x:c r="E393" s="6" t="inlineStr">
        <x:is>
          <x:t xml:space="preserve">Calgary NE</x:t>
        </x:is>
      </x:c>
      <x:c r="F393" s="6" t="inlineStr">
        <x:is>
          <x:t xml:space="preserve">Priya Sharma</x:t>
        </x:is>
      </x:c>
      <x:c r="G393" s="6" t="inlineStr">
        <x:is>
          <x:t xml:space="preserve">Civil Works</x:t>
        </x:is>
      </x:c>
      <x:c r="H393" s="6" t="inlineStr">
        <x:is>
          <x:t xml:space="preserve">Storm Drainage Pipe</x:t>
        </x:is>
      </x:c>
      <x:c r="I393" s="6" t="inlineStr">
        <x:is>
          <x:t xml:space="preserve">EllisDon Civil</x:t>
        </x:is>
      </x:c>
      <x:c r="J393" s="6" t="inlineStr">
        <x:is>
          <x:t xml:space="preserve">Tender – Open</x:t>
        </x:is>
      </x:c>
      <x:c r="K393" s="7" t="n">
        <x:v>72</x:v>
      </x:c>
      <x:c r="L393" s="6" t="inlineStr">
        <x:is>
          <x:t xml:space="preserve">m³</x:t>
        </x:is>
      </x:c>
      <x:c r="M393" s="8" t="n">
        <x:v>87.77</x:v>
      </x:c>
      <x:c r="N393" s="8" t="n">
        <x:v>80.68000000000001</x:v>
      </x:c>
      <x:c r="O393" s="8" t="n">
        <x:v>6319.44</x:v>
      </x:c>
      <x:c r="P393" s="8" t="n">
        <x:v>5808.96</x:v>
      </x:c>
      <x:c r="Q393" s="8" t="n">
        <x:v>510.48</x:v>
      </x:c>
      <x:c r="R393" s="9" t="n">
        <x:v>8.800000000000001</x:v>
      </x:c>
      <x:c r="S393" s="7" t="n">
        <x:v>65</x:v>
      </x:c>
      <x:c r="T393" s="6" t="inlineStr">
        <x:is>
          <x:t xml:space="preserve">No</x:t>
        </x:is>
      </x:c>
      <x:c r="U393" s="6" t="inlineStr">
        <x:is>
          <x:t xml:space="preserve">Partially Delivered</x:t>
        </x:is>
      </x:c>
    </x:row>
    <x:row r="394">
      <x:c r="A394" s="2" t="inlineStr">
        <x:is>
          <x:t xml:space="preserve">PO-2025-0393</x:t>
        </x:is>
      </x:c>
      <x:c r="B394" s="2" t="inlineStr">
        <x:is>
          <x:t xml:space="preserve">27/10/2025</x:t>
        </x:is>
      </x:c>
      <x:c r="C394" s="2" t="inlineStr">
        <x:is>
          <x:t xml:space="preserve">October</x:t>
        </x:is>
      </x:c>
      <x:c r="D394" s="2" t="inlineStr">
        <x:is>
          <x:t xml:space="preserve">Quarry Park Mixed-Use Development</x:t>
        </x:is>
      </x:c>
      <x:c r="E394" s="2" t="inlineStr">
        <x:is>
          <x:t xml:space="preserve">Calgary SW</x:t>
        </x:is>
      </x:c>
      <x:c r="F394" s="2" t="inlineStr">
        <x:is>
          <x:t xml:space="preserve">Linda Tran</x:t>
        </x:is>
      </x:c>
      <x:c r="G394" s="2" t="inlineStr">
        <x:is>
          <x:t xml:space="preserve">Finishing</x:t>
        </x:is>
      </x:c>
      <x:c r="H394" s="2" t="inlineStr">
        <x:is>
          <x:t xml:space="preserve">Exterior Cladding Panel</x:t>
        </x:is>
      </x:c>
      <x:c r="I394" s="2" t="inlineStr">
        <x:is>
          <x:t xml:space="preserve">Tremco Roofing</x:t>
        </x:is>
      </x:c>
      <x:c r="J394" s="2" t="inlineStr">
        <x:is>
          <x:t xml:space="preserve">3-Quote Comparison</x:t>
        </x:is>
      </x:c>
      <x:c r="K394" s="3" t="n">
        <x:v>65</x:v>
      </x:c>
      <x:c r="L394" s="2" t="inlineStr">
        <x:is>
          <x:t xml:space="preserve">m²</x:t>
        </x:is>
      </x:c>
      <x:c r="M394" s="4" t="n">
        <x:v>435.83</x:v>
      </x:c>
      <x:c r="N394" s="4" t="n">
        <x:v>496.74</x:v>
      </x:c>
      <x:c r="O394" s="4" t="n">
        <x:v>28328.95</x:v>
      </x:c>
      <x:c r="P394" s="4" t="n">
        <x:v>32288.1</x:v>
      </x:c>
      <x:c r="Q394" s="4" t="n">
        <x:v>-3959.15</x:v>
      </x:c>
      <x:c r="R394" s="5" t="n">
        <x:v>-12.3</x:v>
      </x:c>
      <x:c r="S394" s="3" t="n">
        <x:v>84</x:v>
      </x:c>
      <x:c r="T394" s="2" t="inlineStr">
        <x:is>
          <x:t xml:space="preserve">Yes</x:t>
        </x:is>
      </x:c>
      <x:c r="U394" s="2" t="inlineStr">
        <x:is>
          <x:t xml:space="preserve">Delivered</x:t>
        </x:is>
      </x:c>
    </x:row>
    <x:row r="395">
      <x:c r="A395" s="6" t="inlineStr">
        <x:is>
          <x:t xml:space="preserve">PO-2025-0394</x:t>
        </x:is>
      </x:c>
      <x:c r="B395" s="6" t="inlineStr">
        <x:is>
          <x:t xml:space="preserve">13/06/2025</x:t>
        </x:is>
      </x:c>
      <x:c r="C395" s="6" t="inlineStr">
        <x:is>
          <x:t xml:space="preserve">June</x:t>
        </x:is>
      </x:c>
      <x:c r="D395" s="6" t="inlineStr">
        <x:is>
          <x:t xml:space="preserve">Rocky View Industrial Logistics Hub</x:t>
        </x:is>
      </x:c>
      <x:c r="E395" s="6" t="inlineStr">
        <x:is>
          <x:t xml:space="preserve">Calgary NE</x:t>
        </x:is>
      </x:c>
      <x:c r="F395" s="6" t="inlineStr">
        <x:is>
          <x:t xml:space="preserve">James Okafor</x:t>
        </x:is>
      </x:c>
      <x:c r="G395" s="6" t="inlineStr">
        <x:is>
          <x:t xml:space="preserve">MEP - Electrical</x:t>
        </x:is>
      </x:c>
      <x:c r="H395" s="6" t="inlineStr">
        <x:is>
          <x:t xml:space="preserve">LED Site Lighting</x:t>
        </x:is>
      </x:c>
      <x:c r="I395" s="6" t="inlineStr">
        <x:is>
          <x:t xml:space="preserve">Houle Electric</x:t>
        </x:is>
      </x:c>
      <x:c r="J395" s="6" t="inlineStr">
        <x:is>
          <x:t xml:space="preserve">3-Quote Comparison</x:t>
        </x:is>
      </x:c>
      <x:c r="K395" s="7" t="n">
        <x:v>87</x:v>
      </x:c>
      <x:c r="L395" s="6" t="inlineStr">
        <x:is>
          <x:t xml:space="preserve">lot</x:t>
        </x:is>
      </x:c>
      <x:c r="M395" s="8" t="n">
        <x:v>82895.28999999999</x:v>
      </x:c>
      <x:c r="N395" s="8" t="n">
        <x:v>91792.78</x:v>
      </x:c>
      <x:c r="O395" s="8" t="n">
        <x:v>7211890.23</x:v>
      </x:c>
      <x:c r="P395" s="8" t="n">
        <x:v>7985971.86</x:v>
      </x:c>
      <x:c r="Q395" s="8" t="n">
        <x:v>-774081.63</x:v>
      </x:c>
      <x:c r="R395" s="9" t="n">
        <x:v>-9.699999999999999</x:v>
      </x:c>
      <x:c r="S395" s="7" t="n">
        <x:v>53</x:v>
      </x:c>
      <x:c r="T395" s="6" t="inlineStr">
        <x:is>
          <x:t xml:space="preserve">Yes</x:t>
        </x:is>
      </x:c>
      <x:c r="U395" s="6" t="inlineStr">
        <x:is>
          <x:t xml:space="preserve">Pending</x:t>
        </x:is>
      </x:c>
    </x:row>
    <x:row r="396">
      <x:c r="A396" s="2" t="inlineStr">
        <x:is>
          <x:t xml:space="preserve">PO-2025-0395</x:t>
        </x:is>
      </x:c>
      <x:c r="B396" s="2" t="inlineStr">
        <x:is>
          <x:t xml:space="preserve">30/09/2025</x:t>
        </x:is>
      </x:c>
      <x:c r="C396" s="2" t="inlineStr">
        <x:is>
          <x:t xml:space="preserve">September</x:t>
        </x:is>
      </x:c>
      <x:c r="D396" s="2" t="inlineStr">
        <x:is>
          <x:t xml:space="preserve">Stampede Park Infrastructure Upgrade</x:t>
        </x:is>
      </x:c>
      <x:c r="E396" s="2" t="inlineStr">
        <x:is>
          <x:t xml:space="preserve">Calgary SE</x:t>
        </x:is>
      </x:c>
      <x:c r="F396" s="2" t="inlineStr">
        <x:is>
          <x:t xml:space="preserve">Sarah Bouchard</x:t>
        </x:is>
      </x:c>
      <x:c r="G396" s="2" t="inlineStr">
        <x:is>
          <x:t xml:space="preserve">MEP - Electrical</x:t>
        </x:is>
      </x:c>
      <x:c r="H396" s="2" t="inlineStr">
        <x:is>
          <x:t xml:space="preserve">LED Site Lighting</x:t>
        </x:is>
      </x:c>
      <x:c r="I396" s="2" t="inlineStr">
        <x:is>
          <x:t xml:space="preserve">Schneider Electric Canada</x:t>
        </x:is>
      </x:c>
      <x:c r="J396" s="2" t="inlineStr">
        <x:is>
          <x:t xml:space="preserve">LPO – Direct Award</x:t>
        </x:is>
      </x:c>
      <x:c r="K396" s="3" t="n">
        <x:v>42</x:v>
      </x:c>
      <x:c r="L396" s="2" t="inlineStr">
        <x:is>
          <x:t xml:space="preserve">lot</x:t>
        </x:is>
      </x:c>
      <x:c r="M396" s="4" t="n">
        <x:v>35989.63</x:v>
      </x:c>
      <x:c r="N396" s="4" t="n">
        <x:v>35027.65</x:v>
      </x:c>
      <x:c r="O396" s="4" t="n">
        <x:v>1511564.46</x:v>
      </x:c>
      <x:c r="P396" s="4" t="n">
        <x:v>1471161.3</x:v>
      </x:c>
      <x:c r="Q396" s="4" t="n">
        <x:v>40403.16</x:v>
      </x:c>
      <x:c r="R396" s="5" t="n">
        <x:v>2.7</x:v>
      </x:c>
      <x:c r="S396" s="3" t="n">
        <x:v>5</x:v>
      </x:c>
      <x:c r="T396" s="2" t="inlineStr">
        <x:is>
          <x:t xml:space="preserve">Yes</x:t>
        </x:is>
      </x:c>
      <x:c r="U396" s="2" t="inlineStr">
        <x:is>
          <x:t xml:space="preserve">Delivered</x:t>
        </x:is>
      </x:c>
    </x:row>
    <x:row r="397">
      <x:c r="A397" s="6" t="inlineStr">
        <x:is>
          <x:t xml:space="preserve">PO-2025-0396</x:t>
        </x:is>
      </x:c>
      <x:c r="B397" s="6" t="inlineStr">
        <x:is>
          <x:t xml:space="preserve">14/07/2025</x:t>
        </x:is>
      </x:c>
      <x:c r="C397" s="6" t="inlineStr">
        <x:is>
          <x:t xml:space="preserve">July</x:t>
        </x:is>
      </x:c>
      <x:c r="D397" s="6" t="inlineStr">
        <x:is>
          <x:t xml:space="preserve">Deerfoot Trail Widening - North</x:t>
        </x:is>
      </x:c>
      <x:c r="E397" s="6" t="inlineStr">
        <x:is>
          <x:t xml:space="preserve">Calgary SW</x:t>
        </x:is>
      </x:c>
      <x:c r="F397" s="6" t="inlineStr">
        <x:is>
          <x:t xml:space="preserve">Aisha Nkosi</x:t>
        </x:is>
      </x:c>
      <x:c r="G397" s="6" t="inlineStr">
        <x:is>
          <x:t xml:space="preserve">Civil Works</x:t>
        </x:is>
      </x:c>
      <x:c r="H397" s="6" t="inlineStr">
        <x:is>
          <x:t xml:space="preserve">Bulk Excavation</x:t>
        </x:is>
      </x:c>
      <x:c r="I397" s="6" t="inlineStr">
        <x:is>
          <x:t xml:space="preserve">Kiewit Infrastructure</x:t>
        </x:is>
      </x:c>
      <x:c r="J397" s="6" t="inlineStr">
        <x:is>
          <x:t xml:space="preserve">LPO – Direct Award</x:t>
        </x:is>
      </x:c>
      <x:c r="K397" s="7" t="n">
        <x:v>4</x:v>
      </x:c>
      <x:c r="L397" s="6" t="inlineStr">
        <x:is>
          <x:t xml:space="preserve">m³</x:t>
        </x:is>
      </x:c>
      <x:c r="M397" s="8" t="n">
        <x:v>220.06</x:v>
      </x:c>
      <x:c r="N397" s="8" t="n">
        <x:v>268.74</x:v>
      </x:c>
      <x:c r="O397" s="8" t="n">
        <x:v>880.24</x:v>
      </x:c>
      <x:c r="P397" s="8" t="n">
        <x:v>1074.96</x:v>
      </x:c>
      <x:c r="Q397" s="8" t="n">
        <x:v>-194.72</x:v>
      </x:c>
      <x:c r="R397" s="9" t="n">
        <x:v>-18.1</x:v>
      </x:c>
      <x:c r="S397" s="7" t="n">
        <x:v>47</x:v>
      </x:c>
      <x:c r="T397" s="6" t="inlineStr">
        <x:is>
          <x:t xml:space="preserve">No</x:t>
        </x:is>
      </x:c>
      <x:c r="U397" s="6" t="inlineStr">
        <x:is>
          <x:t xml:space="preserve">Pending</x:t>
        </x:is>
      </x:c>
    </x:row>
    <x:row r="398">
      <x:c r="A398" s="2" t="inlineStr">
        <x:is>
          <x:t xml:space="preserve">PO-2025-0397</x:t>
        </x:is>
      </x:c>
      <x:c r="B398" s="2" t="inlineStr">
        <x:is>
          <x:t xml:space="preserve">10/02/2025</x:t>
        </x:is>
      </x:c>
      <x:c r="C398" s="2" t="inlineStr">
        <x:is>
          <x:t xml:space="preserve">February</x:t>
        </x:is>
      </x:c>
      <x:c r="D398" s="2" t="inlineStr">
        <x:is>
          <x:t xml:space="preserve">Calgary SE Ring Road Extension</x:t>
        </x:is>
      </x:c>
      <x:c r="E398" s="2" t="inlineStr">
        <x:is>
          <x:t xml:space="preserve">Calgary NE</x:t>
        </x:is>
      </x:c>
      <x:c r="F398" s="2" t="inlineStr">
        <x:is>
          <x:t xml:space="preserve">Priya Sharma</x:t>
        </x:is>
      </x:c>
      <x:c r="G398" s="2" t="inlineStr">
        <x:is>
          <x:t xml:space="preserve">Civil Works</x:t>
        </x:is>
      </x:c>
      <x:c r="H398" s="2" t="inlineStr">
        <x:is>
          <x:t xml:space="preserve">Granular Backfill</x:t>
        </x:is>
      </x:c>
      <x:c r="I398" s="2" t="inlineStr">
        <x:is>
          <x:t xml:space="preserve">Kiewit Infrastructure</x:t>
        </x:is>
      </x:c>
      <x:c r="J398" s="2" t="inlineStr">
        <x:is>
          <x:t xml:space="preserve">Tender – Open</x:t>
        </x:is>
      </x:c>
      <x:c r="K398" s="3" t="n">
        <x:v>65</x:v>
      </x:c>
      <x:c r="L398" s="2" t="inlineStr">
        <x:is>
          <x:t xml:space="preserve">m³</x:t>
        </x:is>
      </x:c>
      <x:c r="M398" s="4" t="n">
        <x:v>253.19</x:v>
      </x:c>
      <x:c r="N398" s="4" t="n">
        <x:v>224.71</x:v>
      </x:c>
      <x:c r="O398" s="4" t="n">
        <x:v>16457.35</x:v>
      </x:c>
      <x:c r="P398" s="4" t="n">
        <x:v>14606.15</x:v>
      </x:c>
      <x:c r="Q398" s="4" t="n">
        <x:v>1851.2</x:v>
      </x:c>
      <x:c r="R398" s="5" t="n">
        <x:v>12.7</x:v>
      </x:c>
      <x:c r="S398" s="3" t="n">
        <x:v>31</x:v>
      </x:c>
      <x:c r="T398" s="2" t="inlineStr">
        <x:is>
          <x:t xml:space="preserve">Yes</x:t>
        </x:is>
      </x:c>
      <x:c r="U398" s="2" t="inlineStr">
        <x:is>
          <x:t xml:space="preserve">Pending</x:t>
        </x:is>
      </x:c>
    </x:row>
    <x:row r="399">
      <x:c r="A399" s="6" t="inlineStr">
        <x:is>
          <x:t xml:space="preserve">PO-2025-0398</x:t>
        </x:is>
      </x:c>
      <x:c r="B399" s="6" t="inlineStr">
        <x:is>
          <x:t xml:space="preserve">29/03/2025</x:t>
        </x:is>
      </x:c>
      <x:c r="C399" s="6" t="inlineStr">
        <x:is>
          <x:t xml:space="preserve">March</x:t>
        </x:is>
      </x:c>
      <x:c r="D399" s="6" t="inlineStr">
        <x:is>
          <x:t xml:space="preserve">Springbank Off-Stream Reservoir</x:t>
        </x:is>
      </x:c>
      <x:c r="E399" s="6" t="inlineStr">
        <x:is>
          <x:t xml:space="preserve">Calgary SW</x:t>
        </x:is>
      </x:c>
      <x:c r="F399" s="6" t="inlineStr">
        <x:is>
          <x:t xml:space="preserve">Derek McLean</x:t>
        </x:is>
      </x:c>
      <x:c r="G399" s="6" t="inlineStr">
        <x:is>
          <x:t xml:space="preserve">Finishing</x:t>
        </x:is>
      </x:c>
      <x:c r="H399" s="6" t="inlineStr">
        <x:is>
          <x:t xml:space="preserve">Ceramic Floor Tile</x:t>
        </x:is>
      </x:c>
      <x:c r="I399" s="6" t="inlineStr">
        <x:is>
          <x:t xml:space="preserve">Dryvit Systems Canada</x:t>
        </x:is>
      </x:c>
      <x:c r="J399" s="6" t="inlineStr">
        <x:is>
          <x:t xml:space="preserve">Standing Offer Agreement</x:t>
        </x:is>
      </x:c>
      <x:c r="K399" s="7" t="n">
        <x:v>79</x:v>
      </x:c>
      <x:c r="L399" s="6" t="inlineStr">
        <x:is>
          <x:t xml:space="preserve">m²</x:t>
        </x:is>
      </x:c>
      <x:c r="M399" s="8" t="n">
        <x:v>175.58</x:v>
      </x:c>
      <x:c r="N399" s="8" t="n">
        <x:v>154.26</x:v>
      </x:c>
      <x:c r="O399" s="8" t="n">
        <x:v>13870.82</x:v>
      </x:c>
      <x:c r="P399" s="8" t="n">
        <x:v>12186.54</x:v>
      </x:c>
      <x:c r="Q399" s="8" t="n">
        <x:v>1684.28</x:v>
      </x:c>
      <x:c r="R399" s="9" t="n">
        <x:v>13.8</x:v>
      </x:c>
      <x:c r="S399" s="7" t="n">
        <x:v>18</x:v>
      </x:c>
      <x:c r="T399" s="6" t="inlineStr">
        <x:is>
          <x:t xml:space="preserve">No</x:t>
        </x:is>
      </x:c>
      <x:c r="U399" s="6" t="inlineStr">
        <x:is>
          <x:t xml:space="preserve">Delivered</x:t>
        </x:is>
      </x:c>
    </x:row>
    <x:row r="400">
      <x:c r="A400" s="2" t="inlineStr">
        <x:is>
          <x:t xml:space="preserve">PO-2025-0399</x:t>
        </x:is>
      </x:c>
      <x:c r="B400" s="2" t="inlineStr">
        <x:is>
          <x:t xml:space="preserve">31/08/2025</x:t>
        </x:is>
      </x:c>
      <x:c r="C400" s="2" t="inlineStr">
        <x:is>
          <x:t xml:space="preserve">August</x:t>
        </x:is>
      </x:c>
      <x:c r="D400" s="2" t="inlineStr">
        <x:is>
          <x:t xml:space="preserve">University District Residential Phase 3</x:t>
        </x:is>
      </x:c>
      <x:c r="E400" s="2" t="inlineStr">
        <x:is>
          <x:t xml:space="preserve">Calgary SW</x:t>
        </x:is>
      </x:c>
      <x:c r="F400" s="2" t="inlineStr">
        <x:is>
          <x:t xml:space="preserve">Derek McLean</x:t>
        </x:is>
      </x:c>
      <x:c r="G400" s="2" t="inlineStr">
        <x:is>
          <x:t xml:space="preserve">MEP - Mechanical</x:t>
        </x:is>
      </x:c>
      <x:c r="H400" s="2" t="inlineStr">
        <x:is>
          <x:t xml:space="preserve">Insulated Pipework</x:t>
        </x:is>
      </x:c>
      <x:c r="I400" s="2" t="inlineStr">
        <x:is>
          <x:t xml:space="preserve">Ainsworth Inc.</x:t>
        </x:is>
      </x:c>
      <x:c r="J400" s="2" t="inlineStr">
        <x:is>
          <x:t xml:space="preserve">3-Quote Comparison</x:t>
        </x:is>
      </x:c>
      <x:c r="K400" s="3" t="n">
        <x:v>18</x:v>
      </x:c>
      <x:c r="L400" s="2" t="inlineStr">
        <x:is>
          <x:t xml:space="preserve">lot</x:t>
        </x:is>
      </x:c>
      <x:c r="M400" s="4" t="n">
        <x:v>37874.89</x:v>
      </x:c>
      <x:c r="N400" s="4" t="n">
        <x:v>40612.06</x:v>
      </x:c>
      <x:c r="O400" s="4" t="n">
        <x:v>681748.02</x:v>
      </x:c>
      <x:c r="P400" s="4" t="n">
        <x:v>731017.08</x:v>
      </x:c>
      <x:c r="Q400" s="4" t="n">
        <x:v>-49269.06</x:v>
      </x:c>
      <x:c r="R400" s="5" t="n">
        <x:v>-6.7</x:v>
      </x:c>
      <x:c r="S400" s="3" t="n">
        <x:v>51</x:v>
      </x:c>
      <x:c r="T400" s="2" t="inlineStr">
        <x:is>
          <x:t xml:space="preserve">No</x:t>
        </x:is>
      </x:c>
      <x:c r="U400" s="2" t="inlineStr">
        <x:is>
          <x:t xml:space="preserve">Partially Delivered</x:t>
        </x:is>
      </x:c>
    </x:row>
    <x:row r="401">
      <x:c r="A401" s="6" t="inlineStr">
        <x:is>
          <x:t xml:space="preserve">PO-2025-0400</x:t>
        </x:is>
      </x:c>
      <x:c r="B401" s="6" t="inlineStr">
        <x:is>
          <x:t xml:space="preserve">08/02/2025</x:t>
        </x:is>
      </x:c>
      <x:c r="C401" s="6" t="inlineStr">
        <x:is>
          <x:t xml:space="preserve">February</x:t>
        </x:is>
      </x:c>
      <x:c r="D401" s="6" t="inlineStr">
        <x:is>
          <x:t xml:space="preserve">Calgary SE Ring Road Extension</x:t>
        </x:is>
      </x:c>
      <x:c r="E401" s="6" t="inlineStr">
        <x:is>
          <x:t xml:space="preserve">Rocky View County</x:t>
        </x:is>
      </x:c>
      <x:c r="F401" s="6" t="inlineStr">
        <x:is>
          <x:t xml:space="preserve">Aisha Nkosi</x:t>
        </x:is>
      </x:c>
      <x:c r="G401" s="6" t="inlineStr">
        <x:is>
          <x:t xml:space="preserve">Safety &amp; Temp Works</x:t>
        </x:is>
      </x:c>
      <x:c r="H401" s="6" t="inlineStr">
        <x:is>
          <x:t xml:space="preserve">Fall Protection Netting</x:t>
        </x:is>
      </x:c>
      <x:c r="I401" s="6" t="inlineStr">
        <x:is>
          <x:t xml:space="preserve">BrandSafway Canada</x:t>
        </x:is>
      </x:c>
      <x:c r="J401" s="6" t="inlineStr">
        <x:is>
          <x:t xml:space="preserve">3-Quote Comparison</x:t>
        </x:is>
      </x:c>
      <x:c r="K401" s="7" t="n">
        <x:v>19</x:v>
      </x:c>
      <x:c r="L401" s="6" t="inlineStr">
        <x:is>
          <x:t xml:space="preserve">lot</x:t>
        </x:is>
      </x:c>
      <x:c r="M401" s="8" t="n">
        <x:v>8278.85</x:v>
      </x:c>
      <x:c r="N401" s="8" t="n">
        <x:v>7165.64</x:v>
      </x:c>
      <x:c r="O401" s="8" t="n">
        <x:v>157298.15</x:v>
      </x:c>
      <x:c r="P401" s="8" t="n">
        <x:v>136147.16</x:v>
      </x:c>
      <x:c r="Q401" s="8" t="n">
        <x:v>21150.99</x:v>
      </x:c>
      <x:c r="R401" s="9" t="n">
        <x:v>15.5</x:v>
      </x:c>
      <x:c r="S401" s="7" t="n">
        <x:v>69</x:v>
      </x:c>
      <x:c r="T401" s="6" t="inlineStr">
        <x:is>
          <x:t xml:space="preserve">Yes</x:t>
        </x:is>
      </x:c>
      <x:c r="U401" s="6" t="inlineStr">
        <x:is>
          <x:t xml:space="preserve">Delivered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1" hidden="0" customWidth="1"/>
    <x:col min="4" max="4" width="32" hidden="0" customWidth="1"/>
    <x:col min="5" max="5" width="18" hidden="0" customWidth="1"/>
    <x:col min="6" max="6" width="20" hidden="0" customWidth="1"/>
    <x:col min="7" max="7" width="23" hidden="0" customWidth="1"/>
    <x:col min="8" max="8" width="27" hidden="0" customWidth="1"/>
    <x:col min="9" max="9" width="28" hidden="0" customWidth="1"/>
    <x:col min="10" max="10" width="25" hidden="0" customWidth="1"/>
    <x:col min="11" max="11" width="10" hidden="0" customWidth="1"/>
    <x:col min="12" max="12" width="9" hidden="0" customWidth="1"/>
    <x:col min="13" max="13" width="16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1" hidden="0" customWidth="1"/>
    <x:col min="19" max="19" width="13" hidden="0" customWidth="1"/>
    <x:col min="20" max="20" width="16" hidden="0" customWidth="1"/>
    <x:col min="21" max="21" width="20" hidden="0" customWidth="1"/>
  </x:cols>
  <x:sheetData>
    <x:row r="1" ht="30" customHeight="1">
      <x:c r="A1" s="23" t="str">
        <x:v>PO_Number</x:v>
      </x:c>
      <x:c r="B1" s="23" t="str">
        <x:v>PO_Date</x:v>
      </x:c>
      <x:c r="C1" s="23" t="str">
        <x:v>Month</x:v>
      </x:c>
      <x:c r="D1" s="23" t="str">
        <x:v>Project_Name</x:v>
      </x:c>
      <x:c r="E1" s="23" t="str">
        <x:v>Region</x:v>
      </x:c>
      <x:c r="F1" s="23" t="str">
        <x:v>Procurement_Officer</x:v>
      </x:c>
      <x:c r="G1" s="23" t="str">
        <x:v>Material_Category</x:v>
      </x:c>
      <x:c r="H1" s="23" t="str">
        <x:v>Item_Description</x:v>
      </x:c>
      <x:c r="I1" s="23" t="str">
        <x:v>Supplier_Name</x:v>
      </x:c>
      <x:c r="J1" s="23" t="str">
        <x:v>Procurement_Method</x:v>
      </x:c>
      <x:c r="K1" s="23" t="str">
        <x:v>Quantity</x:v>
      </x:c>
      <x:c r="L1" s="23" t="str">
        <x:v>Unit</x:v>
      </x:c>
      <x:c r="M1" s="23" t="str">
        <x:v>Unit_Rate_CAD</x:v>
      </x:c>
      <x:c r="N1" s="23" t="str">
        <x:v>Budgeted_Rate_CAD</x:v>
      </x:c>
      <x:c r="O1" s="23" t="str">
        <x:v>PO_Value_CAD</x:v>
      </x:c>
      <x:c r="P1" s="23" t="str">
        <x:v>Budget_Value_CAD</x:v>
      </x:c>
      <x:c r="Q1" s="23" t="str">
        <x:v>Cost_Variance_CAD</x:v>
      </x:c>
      <x:c r="R1" s="23" t="str">
        <x:v>Variance_%</x:v>
      </x:c>
      <x:c r="S1" s="23" t="str">
        <x:v>Lead_Time_Days</x:v>
      </x:c>
      <x:c r="T1" s="23" t="str">
        <x:v>On_Time_Delivery</x:v>
      </x:c>
      <x:c r="U1" s="23" t="str">
        <x:v>Delivery_Status</x:v>
      </x:c>
    </x:row>
    <x:row r="2">
      <x:c r="A2" s="30" t="str">
        <x:v>PO-2025-0001</x:v>
      </x:c>
      <x:c r="B2" s="31" t="n">
        <x:v>45889</x:v>
      </x:c>
      <x:c r="C2" s="30" t="str">
        <x:v>August</x:v>
      </x:c>
      <x:c r="D2" s="30" t="str">
        <x:v>Deerfoot Trail Widening - North</x:v>
      </x:c>
      <x:c r="E2" s="30" t="str">
        <x:v>Rocky View County</x:v>
      </x:c>
      <x:c r="F2" s="30" t="str">
        <x:v>James Okafor</x:v>
      </x:c>
      <x:c r="G2" s="30" t="str">
        <x:v>Civil Works</x:v>
      </x:c>
      <x:c r="H2" s="30" t="str">
        <x:v>Storm Drainage Pipe</x:v>
      </x:c>
      <x:c r="I2" s="30" t="str">
        <x:v>Graham Construction</x:v>
      </x:c>
      <x:c r="J2" s="30" t="str">
        <x:v>Emergency Procurement</x:v>
      </x:c>
      <x:c r="K2" s="32" t="n">
        <x:v>79</x:v>
      </x:c>
      <x:c r="L2" s="30" t="str">
        <x:v>m³</x:v>
      </x:c>
      <x:c r="M2" s="33" t="n">
        <x:v>176.32</x:v>
      </x:c>
      <x:c r="N2" s="33" t="n">
        <x:v>204.77</x:v>
      </x:c>
      <x:c r="O2" s="33" t="n">
        <x:v>13929.28</x:v>
      </x:c>
      <x:c r="P2" s="33" t="n">
        <x:v>16176.83</x:v>
      </x:c>
      <x:c r="Q2" s="33" t="n">
        <x:v>-2247.55</x:v>
      </x:c>
      <x:c r="R2" s="34" t="n">
        <x:v>-13.9</x:v>
      </x:c>
      <x:c r="S2" s="35" t="n">
        <x:v>16</x:v>
      </x:c>
      <x:c r="T2" s="30" t="str">
        <x:v>Yes</x:v>
      </x:c>
      <x:c r="U2" s="30" t="str">
        <x:v>Delivered</x:v>
      </x:c>
    </x:row>
    <x:row r="3">
      <x:c r="A3" s="36" t="str">
        <x:v>PO-2025-0002</x:v>
      </x:c>
      <x:c r="B3" s="37" t="n">
        <x:v>45704</x:v>
      </x:c>
      <x:c r="C3" s="36" t="str">
        <x:v>February</x:v>
      </x:c>
      <x:c r="D3" s="36" t="str">
        <x:v>Deerfoot Trail Widening - North</x:v>
      </x:c>
      <x:c r="E3" s="36" t="str">
        <x:v>Calgary NE</x:v>
      </x:c>
      <x:c r="F3" s="36" t="str">
        <x:v>James Okafor</x:v>
      </x:c>
      <x:c r="G3" s="36" t="str">
        <x:v>Finishing</x:v>
      </x:c>
      <x:c r="H3" s="36" t="str">
        <x:v>Exterior Cladding Panel</x:v>
      </x:c>
      <x:c r="I3" s="36" t="str">
        <x:v>Dryvit Systems Canada</x:v>
      </x:c>
      <x:c r="J3" s="36" t="str">
        <x:v>Emergency Procurement</x:v>
      </x:c>
      <x:c r="K3" s="38" t="n">
        <x:v>68</x:v>
      </x:c>
      <x:c r="L3" s="36" t="str">
        <x:v>m²</x:v>
      </x:c>
      <x:c r="M3" s="39" t="n">
        <x:v>66</x:v>
      </x:c>
      <x:c r="N3" s="39" t="n">
        <x:v>58.34</x:v>
      </x:c>
      <x:c r="O3" s="39" t="n">
        <x:v>4488</x:v>
      </x:c>
      <x:c r="P3" s="39" t="n">
        <x:v>3967.12</x:v>
      </x:c>
      <x:c r="Q3" s="39" t="n">
        <x:v>520.88</x:v>
      </x:c>
      <x:c r="R3" s="40" t="n">
        <x:v>13.1</x:v>
      </x:c>
      <x:c r="S3" s="41" t="n">
        <x:v>8</x:v>
      </x:c>
      <x:c r="T3" s="36" t="str">
        <x:v>No</x:v>
      </x:c>
      <x:c r="U3" s="36" t="str">
        <x:v>Delivered</x:v>
      </x:c>
    </x:row>
    <x:row r="4">
      <x:c r="A4" s="36" t="str">
        <x:v>PO-2025-0003</x:v>
      </x:c>
      <x:c r="B4" s="37" t="n">
        <x:v>45965</x:v>
      </x:c>
      <x:c r="C4" s="36" t="str">
        <x:v>November</x:v>
      </x:c>
      <x:c r="D4" s="36" t="str">
        <x:v>Bow River Crossing Overpass</x:v>
      </x:c>
      <x:c r="E4" s="36" t="str">
        <x:v>Rocky View County</x:v>
      </x:c>
      <x:c r="F4" s="36" t="str">
        <x:v>Sarah Bouchard</x:v>
      </x:c>
      <x:c r="G4" s="36" t="str">
        <x:v>MEP - Electrical</x:v>
      </x:c>
      <x:c r="H4" s="36" t="str">
        <x:v>Grounding System</x:v>
      </x:c>
      <x:c r="I4" s="36" t="str">
        <x:v>Houle Electric</x:v>
      </x:c>
      <x:c r="J4" s="36" t="str">
        <x:v>Tender – Open</x:v>
      </x:c>
      <x:c r="K4" s="38" t="n">
        <x:v>85</x:v>
      </x:c>
      <x:c r="L4" s="36" t="str">
        <x:v>lot</x:v>
      </x:c>
      <x:c r="M4" s="39" t="n">
        <x:v>46380.22</x:v>
      </x:c>
      <x:c r="N4" s="39" t="n">
        <x:v>41384.87</x:v>
      </x:c>
      <x:c r="O4" s="39" t="n">
        <x:v>3942318.7</x:v>
      </x:c>
      <x:c r="P4" s="39" t="n">
        <x:v>3517713.95</x:v>
      </x:c>
      <x:c r="Q4" s="39" t="n">
        <x:v>424604.75</x:v>
      </x:c>
      <x:c r="R4" s="40" t="n">
        <x:v>12.1</x:v>
      </x:c>
      <x:c r="S4" s="41" t="n">
        <x:v>39</x:v>
      </x:c>
      <x:c r="T4" s="36" t="str">
        <x:v>Yes</x:v>
      </x:c>
      <x:c r="U4" s="36" t="str">
        <x:v>Pending</x:v>
      </x:c>
    </x:row>
    <x:row r="5">
      <x:c r="A5" s="36" t="str">
        <x:v>PO-2025-0004</x:v>
      </x:c>
      <x:c r="B5" s="37" t="n">
        <x:v>45700</x:v>
      </x:c>
      <x:c r="C5" s="36" t="str">
        <x:v>February</x:v>
      </x:c>
      <x:c r="D5" s="36" t="str">
        <x:v>Quarry Park Mixed-Use Development</x:v>
      </x:c>
      <x:c r="E5" s="36" t="str">
        <x:v>Calgary SE</x:v>
      </x:c>
      <x:c r="F5" s="36" t="str">
        <x:v>Liam Kowalski</x:v>
      </x:c>
      <x:c r="G5" s="36" t="str">
        <x:v>MEP - Mechanical</x:v>
      </x:c>
      <x:c r="H5" s="36" t="str">
        <x:v>Insulated Pipework</x:v>
      </x:c>
      <x:c r="I5" s="36" t="str">
        <x:v>PCL Mechanical</x:v>
      </x:c>
      <x:c r="J5" s="36" t="str">
        <x:v>LPO – Direct Award</x:v>
      </x:c>
      <x:c r="K5" s="38" t="n">
        <x:v>14</x:v>
      </x:c>
      <x:c r="L5" s="36" t="str">
        <x:v>lot</x:v>
      </x:c>
      <x:c r="M5" s="39" t="n">
        <x:v>57590.66</x:v>
      </x:c>
      <x:c r="N5" s="39" t="n">
        <x:v>58290.5</x:v>
      </x:c>
      <x:c r="O5" s="39" t="n">
        <x:v>806269.24</x:v>
      </x:c>
      <x:c r="P5" s="39" t="n">
        <x:v>816067</x:v>
      </x:c>
      <x:c r="Q5" s="39" t="n">
        <x:v>-9797.76</x:v>
      </x:c>
      <x:c r="R5" s="40" t="n">
        <x:v>-1.2</x:v>
      </x:c>
      <x:c r="S5" s="41" t="n">
        <x:v>41</x:v>
      </x:c>
      <x:c r="T5" s="36" t="str">
        <x:v>Yes</x:v>
      </x:c>
      <x:c r="U5" s="36" t="str">
        <x:v>Delivered</x:v>
      </x:c>
    </x:row>
    <x:row r="6">
      <x:c r="A6" s="36" t="str">
        <x:v>PO-2025-0005</x:v>
      </x:c>
      <x:c r="B6" s="37" t="n">
        <x:v>45658</x:v>
      </x:c>
      <x:c r="C6" s="36" t="str">
        <x:v>January</x:v>
      </x:c>
      <x:c r="D6" s="36" t="str">
        <x:v>Foothills Medical Centre Expansion</x:v>
      </x:c>
      <x:c r="E6" s="36" t="str">
        <x:v>Calgary SW</x:v>
      </x:c>
      <x:c r="F6" s="36" t="str">
        <x:v>Derek McLean</x:v>
      </x:c>
      <x:c r="G6" s="36" t="str">
        <x:v>Concrete &amp; Structural</x:v>
      </x:c>
      <x:c r="H6" s="36" t="str">
        <x:v>Structural Formwork</x:v>
      </x:c>
      <x:c r="I6" s="36" t="str">
        <x:v>Evraz Steel Calgary</x:v>
      </x:c>
      <x:c r="J6" s="36" t="str">
        <x:v>Standing Offer Agreement</x:v>
      </x:c>
      <x:c r="K6" s="38" t="n">
        <x:v>81</x:v>
      </x:c>
      <x:c r="L6" s="36" t="str">
        <x:v>m³</x:v>
      </x:c>
      <x:c r="M6" s="39" t="n">
        <x:v>244.33</x:v>
      </x:c>
      <x:c r="N6" s="39" t="n">
        <x:v>228.55</x:v>
      </x:c>
      <x:c r="O6" s="39" t="n">
        <x:v>19790.73</x:v>
      </x:c>
      <x:c r="P6" s="39" t="n">
        <x:v>18512.55</x:v>
      </x:c>
      <x:c r="Q6" s="39" t="n">
        <x:v>1278.18</x:v>
      </x:c>
      <x:c r="R6" s="40" t="n">
        <x:v>6.9</x:v>
      </x:c>
      <x:c r="S6" s="41" t="n">
        <x:v>38</x:v>
      </x:c>
      <x:c r="T6" s="36" t="str">
        <x:v>Yes</x:v>
      </x:c>
      <x:c r="U6" s="36" t="str">
        <x:v>Delivered</x:v>
      </x:c>
    </x:row>
    <x:row r="7">
      <x:c r="A7" s="36" t="str">
        <x:v>PO-2025-0006</x:v>
      </x:c>
      <x:c r="B7" s="37" t="n">
        <x:v>45828</x:v>
      </x:c>
      <x:c r="C7" s="36" t="str">
        <x:v>June</x:v>
      </x:c>
      <x:c r="D7" s="36" t="str">
        <x:v>Bow River Crossing Overpass</x:v>
      </x:c>
      <x:c r="E7" s="36" t="str">
        <x:v>Rocky View County</x:v>
      </x:c>
      <x:c r="F7" s="36" t="str">
        <x:v>Priya Sharma</x:v>
      </x:c>
      <x:c r="G7" s="36" t="str">
        <x:v>Concrete &amp; Structural</x:v>
      </x:c>
      <x:c r="H7" s="36" t="str">
        <x:v>Precast Deck Panels</x:v>
      </x:c>
      <x:c r="I7" s="36" t="str">
        <x:v>Inland Concrete</x:v>
      </x:c>
      <x:c r="J7" s="36" t="str">
        <x:v>LPO – Direct Award</x:v>
      </x:c>
      <x:c r="K7" s="38" t="n">
        <x:v>103</x:v>
      </x:c>
      <x:c r="L7" s="36" t="str">
        <x:v>m³</x:v>
      </x:c>
      <x:c r="M7" s="39" t="n">
        <x:v>238.15</x:v>
      </x:c>
      <x:c r="N7" s="39" t="n">
        <x:v>248.87</x:v>
      </x:c>
      <x:c r="O7" s="39" t="n">
        <x:v>24529.45</x:v>
      </x:c>
      <x:c r="P7" s="39" t="n">
        <x:v>25633.61</x:v>
      </x:c>
      <x:c r="Q7" s="39" t="n">
        <x:v>-1104.16</x:v>
      </x:c>
      <x:c r="R7" s="40" t="n">
        <x:v>-4.3</x:v>
      </x:c>
      <x:c r="S7" s="41" t="n">
        <x:v>75</x:v>
      </x:c>
      <x:c r="T7" s="36" t="str">
        <x:v>No</x:v>
      </x:c>
      <x:c r="U7" s="36" t="str">
        <x:v>Pending</x:v>
      </x:c>
    </x:row>
    <x:row r="8">
      <x:c r="A8" s="36" t="str">
        <x:v>PO-2025-0007</x:v>
      </x:c>
      <x:c r="B8" s="37" t="n">
        <x:v>45755</x:v>
      </x:c>
      <x:c r="C8" s="36" t="str">
        <x:v>April</x:v>
      </x:c>
      <x:c r="D8" s="36" t="str">
        <x:v>Saddledome Arena Retrofit</x:v>
      </x:c>
      <x:c r="E8" s="36" t="str">
        <x:v>Rocky View County</x:v>
      </x:c>
      <x:c r="F8" s="36" t="str">
        <x:v>Derek McLean</x:v>
      </x:c>
      <x:c r="G8" s="36" t="str">
        <x:v>Safety &amp; Temp Works</x:v>
      </x:c>
      <x:c r="H8" s="36" t="str">
        <x:v>PPE Bulk Supply</x:v>
      </x:c>
      <x:c r="I8" s="36" t="str">
        <x:v>BrandSafway Canada</x:v>
      </x:c>
      <x:c r="J8" s="36" t="str">
        <x:v>Standing Offer Agreement</x:v>
      </x:c>
      <x:c r="K8" s="38" t="n">
        <x:v>1</x:v>
      </x:c>
      <x:c r="L8" s="36" t="str">
        <x:v>lot</x:v>
      </x:c>
      <x:c r="M8" s="39" t="n">
        <x:v>19810</x:v>
      </x:c>
      <x:c r="N8" s="39" t="n">
        <x:v>19067.56</x:v>
      </x:c>
      <x:c r="O8" s="39" t="n">
        <x:v>19810</x:v>
      </x:c>
      <x:c r="P8" s="39" t="n">
        <x:v>19067.56</x:v>
      </x:c>
      <x:c r="Q8" s="39" t="n">
        <x:v>742.44</x:v>
      </x:c>
      <x:c r="R8" s="40" t="n">
        <x:v>3.9</x:v>
      </x:c>
      <x:c r="S8" s="41" t="n">
        <x:v>79</x:v>
      </x:c>
      <x:c r="T8" s="36" t="str">
        <x:v>Yes</x:v>
      </x:c>
      <x:c r="U8" s="36" t="str">
        <x:v>Delivered</x:v>
      </x:c>
    </x:row>
    <x:row r="9">
      <x:c r="A9" s="36" t="str">
        <x:v>PO-2025-0008</x:v>
      </x:c>
      <x:c r="B9" s="37" t="n">
        <x:v>45765</x:v>
      </x:c>
      <x:c r="C9" s="36" t="str">
        <x:v>April</x:v>
      </x:c>
      <x:c r="D9" s="36" t="str">
        <x:v>Saddledome Arena Retrofit</x:v>
      </x:c>
      <x:c r="E9" s="36" t="str">
        <x:v>Rocky View County</x:v>
      </x:c>
      <x:c r="F9" s="36" t="str">
        <x:v>Liam Kowalski</x:v>
      </x:c>
      <x:c r="G9" s="36" t="str">
        <x:v>Finishing</x:v>
      </x:c>
      <x:c r="H9" s="36" t="str">
        <x:v>Waterproofing Membrane</x:v>
      </x:c>
      <x:c r="I9" s="36" t="str">
        <x:v>Centura Tile Calgary</x:v>
      </x:c>
      <x:c r="J9" s="36" t="str">
        <x:v>3-Quote Comparison</x:v>
      </x:c>
      <x:c r="K9" s="38" t="n">
        <x:v>34</x:v>
      </x:c>
      <x:c r="L9" s="36" t="str">
        <x:v>m²</x:v>
      </x:c>
      <x:c r="M9" s="39" t="n">
        <x:v>145.3</x:v>
      </x:c>
      <x:c r="N9" s="39" t="n">
        <x:v>125.49</x:v>
      </x:c>
      <x:c r="O9" s="39" t="n">
        <x:v>4940.2</x:v>
      </x:c>
      <x:c r="P9" s="39" t="n">
        <x:v>4266.66</x:v>
      </x:c>
      <x:c r="Q9" s="39" t="n">
        <x:v>673.54</x:v>
      </x:c>
      <x:c r="R9" s="40" t="n">
        <x:v>15.8</x:v>
      </x:c>
      <x:c r="S9" s="41" t="n">
        <x:v>82</x:v>
      </x:c>
      <x:c r="T9" s="36" t="str">
        <x:v>Yes</x:v>
      </x:c>
      <x:c r="U9" s="36" t="str">
        <x:v>Delivered</x:v>
      </x:c>
    </x:row>
    <x:row r="10">
      <x:c r="A10" s="36" t="str">
        <x:v>PO-2025-0009</x:v>
      </x:c>
      <x:c r="B10" s="37" t="n">
        <x:v>45855</x:v>
      </x:c>
      <x:c r="C10" s="36" t="str">
        <x:v>July</x:v>
      </x:c>
      <x:c r="D10" s="36" t="str">
        <x:v>Calgary SE Ring Road Extension</x:v>
      </x:c>
      <x:c r="E10" s="36" t="str">
        <x:v>Calgary NE</x:v>
      </x:c>
      <x:c r="F10" s="36" t="str">
        <x:v>Liam Kowalski</x:v>
      </x:c>
      <x:c r="G10" s="36" t="str">
        <x:v>Concrete &amp; Structural</x:v>
      </x:c>
      <x:c r="H10" s="36" t="str">
        <x:v>Precast Deck Panels</x:v>
      </x:c>
      <x:c r="I10" s="36" t="str">
        <x:v>Inland Concrete</x:v>
      </x:c>
      <x:c r="J10" s="36" t="str">
        <x:v>Emergency Procurement</x:v>
      </x:c>
      <x:c r="K10" s="38" t="n">
        <x:v>80</x:v>
      </x:c>
      <x:c r="L10" s="36" t="str">
        <x:v>m³</x:v>
      </x:c>
      <x:c r="M10" s="39" t="n">
        <x:v>383.28</x:v>
      </x:c>
      <x:c r="N10" s="39" t="n">
        <x:v>395.63</x:v>
      </x:c>
      <x:c r="O10" s="39" t="n">
        <x:v>30662.4</x:v>
      </x:c>
      <x:c r="P10" s="39" t="n">
        <x:v>31650.4</x:v>
      </x:c>
      <x:c r="Q10" s="39" t="n">
        <x:v>-988</x:v>
      </x:c>
      <x:c r="R10" s="40" t="n">
        <x:v>-3.1</x:v>
      </x:c>
      <x:c r="S10" s="41" t="n">
        <x:v>79</x:v>
      </x:c>
      <x:c r="T10" s="36" t="str">
        <x:v>Yes</x:v>
      </x:c>
      <x:c r="U10" s="36" t="str">
        <x:v>Pending</x:v>
      </x:c>
    </x:row>
    <x:row r="11">
      <x:c r="A11" s="36" t="str">
        <x:v>PO-2025-0010</x:v>
      </x:c>
      <x:c r="B11" s="37" t="n">
        <x:v>45727</x:v>
      </x:c>
      <x:c r="C11" s="36" t="str">
        <x:v>March</x:v>
      </x:c>
      <x:c r="D11" s="36" t="str">
        <x:v>University District Residential Phase 3</x:v>
      </x:c>
      <x:c r="E11" s="36" t="str">
        <x:v>Calgary SW</x:v>
      </x:c>
      <x:c r="F11" s="36" t="str">
        <x:v>Sarah Bouchard</x:v>
      </x:c>
      <x:c r="G11" s="36" t="str">
        <x:v>Safety &amp; Temp Works</x:v>
      </x:c>
      <x:c r="H11" s="36" t="str">
        <x:v>Scaffolding System</x:v>
      </x:c>
      <x:c r="I11" s="36" t="str">
        <x:v>Levitt-Safety Calgary</x:v>
      </x:c>
      <x:c r="J11" s="36" t="str">
        <x:v>Emergency Procurement</x:v>
      </x:c>
      <x:c r="K11" s="38" t="n">
        <x:v>25</x:v>
      </x:c>
      <x:c r="L11" s="36" t="str">
        <x:v>lot</x:v>
      </x:c>
      <x:c r="M11" s="39" t="n">
        <x:v>5665.42</x:v>
      </x:c>
      <x:c r="N11" s="39" t="n">
        <x:v>5213.44</x:v>
      </x:c>
      <x:c r="O11" s="39" t="n">
        <x:v>141635.5</x:v>
      </x:c>
      <x:c r="P11" s="39" t="n">
        <x:v>130336</x:v>
      </x:c>
      <x:c r="Q11" s="39" t="n">
        <x:v>11299.5</x:v>
      </x:c>
      <x:c r="R11" s="40" t="n">
        <x:v>8.7</x:v>
      </x:c>
      <x:c r="S11" s="41" t="n">
        <x:v>84</x:v>
      </x:c>
      <x:c r="T11" s="36" t="str">
        <x:v>Yes</x:v>
      </x:c>
      <x:c r="U11" s="36" t="str">
        <x:v>Delivered</x:v>
      </x:c>
    </x:row>
    <x:row r="12">
      <x:c r="A12" s="36" t="str">
        <x:v>PO-2025-0011</x:v>
      </x:c>
      <x:c r="B12" s="37" t="n">
        <x:v>45856</x:v>
      </x:c>
      <x:c r="C12" s="36" t="str">
        <x:v>July</x:v>
      </x:c>
      <x:c r="D12" s="36" t="str">
        <x:v>Stampede Park Infrastructure Upgrade</x:v>
      </x:c>
      <x:c r="E12" s="36" t="str">
        <x:v>Calgary NE</x:v>
      </x:c>
      <x:c r="F12" s="36" t="str">
        <x:v>Priya Sharma</x:v>
      </x:c>
      <x:c r="G12" s="36" t="str">
        <x:v>Civil Works</x:v>
      </x:c>
      <x:c r="H12" s="36" t="str">
        <x:v>Bulk Excavation</x:v>
      </x:c>
      <x:c r="I12" s="36" t="str">
        <x:v>Ledcor Civil Alberta</x:v>
      </x:c>
      <x:c r="J12" s="36" t="str">
        <x:v>LPO – Direct Award</x:v>
      </x:c>
      <x:c r="K12" s="38" t="n">
        <x:v>33</x:v>
      </x:c>
      <x:c r="L12" s="36" t="str">
        <x:v>m³</x:v>
      </x:c>
      <x:c r="M12" s="39" t="n">
        <x:v>185.65</x:v>
      </x:c>
      <x:c r="N12" s="39" t="n">
        <x:v>176.48</x:v>
      </x:c>
      <x:c r="O12" s="39" t="n">
        <x:v>6126.45</x:v>
      </x:c>
      <x:c r="P12" s="39" t="n">
        <x:v>5823.84</x:v>
      </x:c>
      <x:c r="Q12" s="39" t="n">
        <x:v>302.61</x:v>
      </x:c>
      <x:c r="R12" s="40" t="n">
        <x:v>5.2</x:v>
      </x:c>
      <x:c r="S12" s="41" t="n">
        <x:v>54</x:v>
      </x:c>
      <x:c r="T12" s="36" t="str">
        <x:v>No</x:v>
      </x:c>
      <x:c r="U12" s="36" t="str">
        <x:v>Pending</x:v>
      </x:c>
    </x:row>
    <x:row r="13">
      <x:c r="A13" s="36" t="str">
        <x:v>PO-2025-0012</x:v>
      </x:c>
      <x:c r="B13" s="37" t="n">
        <x:v>45909</x:v>
      </x:c>
      <x:c r="C13" s="36" t="str">
        <x:v>September</x:v>
      </x:c>
      <x:c r="D13" s="36" t="str">
        <x:v>Quarry Park Mixed-Use Development</x:v>
      </x:c>
      <x:c r="E13" s="36" t="str">
        <x:v>Calgary SW</x:v>
      </x:c>
      <x:c r="F13" s="36" t="str">
        <x:v>Sarah Bouchard</x:v>
      </x:c>
      <x:c r="G13" s="36" t="str">
        <x:v>Safety &amp; Temp Works</x:v>
      </x:c>
      <x:c r="H13" s="36" t="str">
        <x:v>Site Hoarding &amp; Fencing</x:v>
      </x:c>
      <x:c r="I13" s="36" t="str">
        <x:v>Safway Alberta</x:v>
      </x:c>
      <x:c r="J13" s="36" t="str">
        <x:v>Standing Offer Agreement</x:v>
      </x:c>
      <x:c r="K13" s="38" t="n">
        <x:v>110</x:v>
      </x:c>
      <x:c r="L13" s="36" t="str">
        <x:v>lot</x:v>
      </x:c>
      <x:c r="M13" s="39" t="n">
        <x:v>11583.9</x:v>
      </x:c>
      <x:c r="N13" s="39" t="n">
        <x:v>12673.14</x:v>
      </x:c>
      <x:c r="O13" s="39" t="n">
        <x:v>1274229</x:v>
      </x:c>
      <x:c r="P13" s="39" t="n">
        <x:v>1394045.4</x:v>
      </x:c>
      <x:c r="Q13" s="39" t="n">
        <x:v>-119816.4</x:v>
      </x:c>
      <x:c r="R13" s="40" t="n">
        <x:v>-8.6</x:v>
      </x:c>
      <x:c r="S13" s="41" t="n">
        <x:v>13</x:v>
      </x:c>
      <x:c r="T13" s="36" t="str">
        <x:v>Yes</x:v>
      </x:c>
      <x:c r="U13" s="36" t="str">
        <x:v>Delivered</x:v>
      </x:c>
    </x:row>
    <x:row r="14">
      <x:c r="A14" s="36" t="str">
        <x:v>PO-2025-0013</x:v>
      </x:c>
      <x:c r="B14" s="37" t="n">
        <x:v>45666</x:v>
      </x:c>
      <x:c r="C14" s="36" t="str">
        <x:v>January</x:v>
      </x:c>
      <x:c r="D14" s="36" t="str">
        <x:v>Calgary SE Ring Road Extension</x:v>
      </x:c>
      <x:c r="E14" s="36" t="str">
        <x:v>Calgary SE</x:v>
      </x:c>
      <x:c r="F14" s="36" t="str">
        <x:v>Liam Kowalski</x:v>
      </x:c>
      <x:c r="G14" s="36" t="str">
        <x:v>Civil Works</x:v>
      </x:c>
      <x:c r="H14" s="36" t="str">
        <x:v>Curb &amp; Gutter Concrete</x:v>
      </x:c>
      <x:c r="I14" s="36" t="str">
        <x:v>Graham Construction</x:v>
      </x:c>
      <x:c r="J14" s="36" t="str">
        <x:v>LPO – Direct Award</x:v>
      </x:c>
      <x:c r="K14" s="38" t="n">
        <x:v>48</x:v>
      </x:c>
      <x:c r="L14" s="36" t="str">
        <x:v>m³</x:v>
      </x:c>
      <x:c r="M14" s="39" t="n">
        <x:v>99.94</x:v>
      </x:c>
      <x:c r="N14" s="39" t="n">
        <x:v>106.11</x:v>
      </x:c>
      <x:c r="O14" s="39" t="n">
        <x:v>4797.12</x:v>
      </x:c>
      <x:c r="P14" s="39" t="n">
        <x:v>5093.28</x:v>
      </x:c>
      <x:c r="Q14" s="39" t="n">
        <x:v>-296.16</x:v>
      </x:c>
      <x:c r="R14" s="40" t="n">
        <x:v>-5.8</x:v>
      </x:c>
      <x:c r="S14" s="41" t="n">
        <x:v>20</x:v>
      </x:c>
      <x:c r="T14" s="36" t="str">
        <x:v>No</x:v>
      </x:c>
      <x:c r="U14" s="36" t="str">
        <x:v>Delivered</x:v>
      </x:c>
    </x:row>
    <x:row r="15">
      <x:c r="A15" s="36" t="str">
        <x:v>PO-2025-0014</x:v>
      </x:c>
      <x:c r="B15" s="37" t="n">
        <x:v>45888</x:v>
      </x:c>
      <x:c r="C15" s="36" t="str">
        <x:v>August</x:v>
      </x:c>
      <x:c r="D15" s="36" t="str">
        <x:v>Rocky View Industrial Logistics Hub</x:v>
      </x:c>
      <x:c r="E15" s="36" t="str">
        <x:v>Calgary SW</x:v>
      </x:c>
      <x:c r="F15" s="36" t="str">
        <x:v>Aisha Nkosi</x:v>
      </x:c>
      <x:c r="G15" s="36" t="str">
        <x:v>Finishing</x:v>
      </x:c>
      <x:c r="H15" s="36" t="str">
        <x:v>Ceramic Floor Tile</x:v>
      </x:c>
      <x:c r="I15" s="36" t="str">
        <x:v>Centura Tile Calgary</x:v>
      </x:c>
      <x:c r="J15" s="36" t="str">
        <x:v>Tender – Open</x:v>
      </x:c>
      <x:c r="K15" s="38" t="n">
        <x:v>5</x:v>
      </x:c>
      <x:c r="L15" s="36" t="str">
        <x:v>m²</x:v>
      </x:c>
      <x:c r="M15" s="39" t="n">
        <x:v>340.39</x:v>
      </x:c>
      <x:c r="N15" s="39" t="n">
        <x:v>295.49</x:v>
      </x:c>
      <x:c r="O15" s="39" t="n">
        <x:v>1701.95</x:v>
      </x:c>
      <x:c r="P15" s="39" t="n">
        <x:v>1477.45</x:v>
      </x:c>
      <x:c r="Q15" s="39" t="n">
        <x:v>224.5</x:v>
      </x:c>
      <x:c r="R15" s="40" t="n">
        <x:v>15.2</x:v>
      </x:c>
      <x:c r="S15" s="41" t="n">
        <x:v>85</x:v>
      </x:c>
      <x:c r="T15" s="36" t="str">
        <x:v>No</x:v>
      </x:c>
      <x:c r="U15" s="36" t="str">
        <x:v>Delivered</x:v>
      </x:c>
    </x:row>
    <x:row r="16">
      <x:c r="A16" s="36" t="str">
        <x:v>PO-2025-0015</x:v>
      </x:c>
      <x:c r="B16" s="37" t="n">
        <x:v>45817</x:v>
      </x:c>
      <x:c r="C16" s="36" t="str">
        <x:v>June</x:v>
      </x:c>
      <x:c r="D16" s="36" t="str">
        <x:v>Rocky View Industrial Logistics Hub</x:v>
      </x:c>
      <x:c r="E16" s="36" t="str">
        <x:v>Calgary SW</x:v>
      </x:c>
      <x:c r="F16" s="36" t="str">
        <x:v>Linda Tran</x:v>
      </x:c>
      <x:c r="G16" s="36" t="str">
        <x:v>Concrete &amp; Structural</x:v>
      </x:c>
      <x:c r="H16" s="36" t="str">
        <x:v>Ready-Mix Concrete</x:v>
      </x:c>
      <x:c r="I16" s="36" t="str">
        <x:v>Evraz Steel Calgary</x:v>
      </x:c>
      <x:c r="J16" s="36" t="str">
        <x:v>LPO – Direct Award</x:v>
      </x:c>
      <x:c r="K16" s="38" t="n">
        <x:v>95</x:v>
      </x:c>
      <x:c r="L16" s="36" t="str">
        <x:v>m³</x:v>
      </x:c>
      <x:c r="M16" s="39" t="n">
        <x:v>633.09</x:v>
      </x:c>
      <x:c r="N16" s="39" t="n">
        <x:v>721.8</x:v>
      </x:c>
      <x:c r="O16" s="39" t="n">
        <x:v>60143.55</x:v>
      </x:c>
      <x:c r="P16" s="39" t="n">
        <x:v>68571</x:v>
      </x:c>
      <x:c r="Q16" s="39" t="n">
        <x:v>-8427.45</x:v>
      </x:c>
      <x:c r="R16" s="40" t="n">
        <x:v>-12.3</x:v>
      </x:c>
      <x:c r="S16" s="41" t="n">
        <x:v>20</x:v>
      </x:c>
      <x:c r="T16" s="36" t="str">
        <x:v>Yes</x:v>
      </x:c>
      <x:c r="U16" s="36" t="str">
        <x:v>Delivered</x:v>
      </x:c>
    </x:row>
    <x:row r="17">
      <x:c r="A17" s="36" t="str">
        <x:v>PO-2025-0016</x:v>
      </x:c>
      <x:c r="B17" s="37" t="n">
        <x:v>45838</x:v>
      </x:c>
      <x:c r="C17" s="36" t="str">
        <x:v>June</x:v>
      </x:c>
      <x:c r="D17" s="36" t="str">
        <x:v>Calgary SE Ring Road Extension</x:v>
      </x:c>
      <x:c r="E17" s="36" t="str">
        <x:v>Rocky View County</x:v>
      </x:c>
      <x:c r="F17" s="36" t="str">
        <x:v>Aisha Nkosi</x:v>
      </x:c>
      <x:c r="G17" s="36" t="str">
        <x:v>Concrete &amp; Structural</x:v>
      </x:c>
      <x:c r="H17" s="36" t="str">
        <x:v>Structural Formwork</x:v>
      </x:c>
      <x:c r="I17" s="36" t="str">
        <x:v>Lafarge Canada - Calgary</x:v>
      </x:c>
      <x:c r="J17" s="36" t="str">
        <x:v>Emergency Procurement</x:v>
      </x:c>
      <x:c r="K17" s="38" t="n">
        <x:v>85</x:v>
      </x:c>
      <x:c r="L17" s="36" t="str">
        <x:v>m³</x:v>
      </x:c>
      <x:c r="M17" s="39" t="n">
        <x:f>ROUND(O17/K17,2)</x:f>
        <x:v>216.83</x:v>
      </x:c>
      <x:c r="N17" s="39" t="n">
        <x:v>217.98</x:v>
      </x:c>
      <x:c r="O17" s="39" t="n">
        <x:v>18430.55</x:v>
      </x:c>
      <x:c r="P17" s="39" t="n">
        <x:v>18528.3</x:v>
      </x:c>
      <x:c r="Q17" s="39" t="n">
        <x:v>-97.75</x:v>
      </x:c>
      <x:c r="R17" s="40" t="n">
        <x:v>-0.5</x:v>
      </x:c>
      <x:c r="S17" s="41" t="n">
        <x:v>78</x:v>
      </x:c>
      <x:c r="T17" s="36" t="str">
        <x:v>No</x:v>
      </x:c>
      <x:c r="U17" s="36" t="str">
        <x:v>Delivered</x:v>
      </x:c>
    </x:row>
    <x:row r="18">
      <x:c r="A18" s="36" t="str">
        <x:v>PO-2025-0017</x:v>
      </x:c>
      <x:c r="B18" s="37" t="n">
        <x:v>45699</x:v>
      </x:c>
      <x:c r="C18" s="36" t="str">
        <x:v>February</x:v>
      </x:c>
      <x:c r="D18" s="36" t="str">
        <x:v>Calgary SE Ring Road Extension</x:v>
      </x:c>
      <x:c r="E18" s="36" t="str">
        <x:v>Calgary NE</x:v>
      </x:c>
      <x:c r="F18" s="36" t="str">
        <x:v>Derek McLean</x:v>
      </x:c>
      <x:c r="G18" s="36" t="str">
        <x:v>MEP - Electrical</x:v>
      </x:c>
      <x:c r="H18" s="36" t="str">
        <x:v>Grounding System</x:v>
      </x:c>
      <x:c r="I18" s="36" t="str">
        <x:v>Stuart Olson Electrical</x:v>
      </x:c>
      <x:c r="J18" s="36" t="str">
        <x:v>Emergency Procurement</x:v>
      </x:c>
      <x:c r="K18" s="38" t="n">
        <x:v>60</x:v>
      </x:c>
      <x:c r="L18" s="36" t="str">
        <x:v>lot</x:v>
      </x:c>
      <x:c r="M18" s="39" t="n">
        <x:v>42716.31</x:v>
      </x:c>
      <x:c r="N18" s="39" t="n">
        <x:v>50344.61</x:v>
      </x:c>
      <x:c r="O18" s="39" t="n">
        <x:v>2562978.6</x:v>
      </x:c>
      <x:c r="P18" s="39" t="n">
        <x:v>3020676.6</x:v>
      </x:c>
      <x:c r="Q18" s="39" t="n">
        <x:v>-457698</x:v>
      </x:c>
      <x:c r="R18" s="40" t="n">
        <x:v>-15.2</x:v>
      </x:c>
      <x:c r="S18" s="41" t="n">
        <x:v>14</x:v>
      </x:c>
      <x:c r="T18" s="36" t="str">
        <x:v>Yes</x:v>
      </x:c>
      <x:c r="U18" s="36" t="str">
        <x:v>Pending</x:v>
      </x:c>
    </x:row>
    <x:row r="19">
      <x:c r="A19" s="36" t="str">
        <x:v>PO-2025-0018</x:v>
      </x:c>
      <x:c r="B19" s="37" t="n">
        <x:v>45673</x:v>
      </x:c>
      <x:c r="C19" s="36" t="str">
        <x:v>January</x:v>
      </x:c>
      <x:c r="D19" s="36" t="str">
        <x:v>Quarry Park Mixed-Use Development</x:v>
      </x:c>
      <x:c r="E19" s="36" t="str">
        <x:v>Calgary NE</x:v>
      </x:c>
      <x:c r="F19" s="36" t="str">
        <x:v>Priya Sharma</x:v>
      </x:c>
      <x:c r="G19" s="36" t="str">
        <x:v>Civil Works</x:v>
      </x:c>
      <x:c r="H19" s="36" t="str">
        <x:v>Bulk Excavation</x:v>
      </x:c>
      <x:c r="I19" s="36" t="str">
        <x:v>Graham Construction</x:v>
      </x:c>
      <x:c r="J19" s="36" t="str">
        <x:v>Standing Offer Agreement</x:v>
      </x:c>
      <x:c r="K19" s="38" t="n">
        <x:v>85</x:v>
      </x:c>
      <x:c r="L19" s="36" t="str">
        <x:v>m³</x:v>
      </x:c>
      <x:c r="M19" s="39" t="n">
        <x:v>253.89</x:v>
      </x:c>
      <x:c r="N19" s="39" t="n">
        <x:v>307.15</x:v>
      </x:c>
      <x:c r="O19" s="39" t="n">
        <x:v>21580.65</x:v>
      </x:c>
      <x:c r="P19" s="39" t="n">
        <x:v>26107.75</x:v>
      </x:c>
      <x:c r="Q19" s="39" t="n">
        <x:v>-4527.1</x:v>
      </x:c>
      <x:c r="R19" s="40" t="n">
        <x:v>-17.3</x:v>
      </x:c>
      <x:c r="S19" s="41" t="n">
        <x:v>36</x:v>
      </x:c>
      <x:c r="T19" s="36" t="str">
        <x:v>Yes</x:v>
      </x:c>
      <x:c r="U19" s="36" t="str">
        <x:v>Delivered</x:v>
      </x:c>
    </x:row>
    <x:row r="20">
      <x:c r="A20" s="36" t="str">
        <x:v>PO-2025-0019</x:v>
      </x:c>
      <x:c r="B20" s="37" t="n">
        <x:v>45812</x:v>
      </x:c>
      <x:c r="C20" s="36" t="str">
        <x:v>June</x:v>
      </x:c>
      <x:c r="D20" s="36" t="str">
        <x:v>Saddledome Arena Retrofit</x:v>
      </x:c>
      <x:c r="E20" s="36" t="str">
        <x:v>Calgary SW</x:v>
      </x:c>
      <x:c r="F20" s="36" t="str">
        <x:v>Aisha Nkosi</x:v>
      </x:c>
      <x:c r="G20" s="36" t="str">
        <x:v>Finishing</x:v>
      </x:c>
      <x:c r="H20" s="36" t="str">
        <x:v>Drywall &amp; Framing</x:v>
      </x:c>
      <x:c r="I20" s="36" t="str">
        <x:v>Tremco Roofing</x:v>
      </x:c>
      <x:c r="J20" s="36" t="str">
        <x:v>Standing Offer Agreement</x:v>
      </x:c>
      <x:c r="K20" s="38" t="n">
        <x:v>42</x:v>
      </x:c>
      <x:c r="L20" s="36" t="str">
        <x:v>m²</x:v>
      </x:c>
      <x:c r="M20" s="39" t="n">
        <x:v>416.69</x:v>
      </x:c>
      <x:c r="N20" s="39" t="n">
        <x:v>422.44</x:v>
      </x:c>
      <x:c r="O20" s="39" t="n">
        <x:v>17500.98</x:v>
      </x:c>
      <x:c r="P20" s="39" t="n">
        <x:v>17742.48</x:v>
      </x:c>
      <x:c r="Q20" s="39" t="n">
        <x:v>-241.5</x:v>
      </x:c>
      <x:c r="R20" s="40" t="n">
        <x:v>-1.4</x:v>
      </x:c>
      <x:c r="S20" s="41" t="n">
        <x:v>36</x:v>
      </x:c>
      <x:c r="T20" s="36" t="str">
        <x:v>No</x:v>
      </x:c>
      <x:c r="U20" s="36" t="str">
        <x:v>Partially Delivered</x:v>
      </x:c>
    </x:row>
    <x:row r="21">
      <x:c r="A21" s="36" t="str">
        <x:v>PO-2025-0020</x:v>
      </x:c>
      <x:c r="B21" s="37" t="n">
        <x:v>45760</x:v>
      </x:c>
      <x:c r="C21" s="36" t="str">
        <x:v>April</x:v>
      </x:c>
      <x:c r="D21" s="36" t="str">
        <x:v>Foothills Medical Centre Expansion</x:v>
      </x:c>
      <x:c r="E21" s="36" t="str">
        <x:v>Rocky View County</x:v>
      </x:c>
      <x:c r="F21" s="36" t="str">
        <x:v>Sarah Bouchard</x:v>
      </x:c>
      <x:c r="G21" s="36" t="str">
        <x:v>MEP - Mechanical</x:v>
      </x:c>
      <x:c r="H21" s="36" t="str">
        <x:v>Insulated Pipework</x:v>
      </x:c>
      <x:c r="I21" s="36" t="str">
        <x:v>PCL Mechanical</x:v>
      </x:c>
      <x:c r="J21" s="36" t="str">
        <x:v>3-Quote Comparison</x:v>
      </x:c>
      <x:c r="K21" s="38" t="n">
        <x:v>45</x:v>
      </x:c>
      <x:c r="L21" s="36" t="str">
        <x:v>lot</x:v>
      </x:c>
      <x:c r="M21" s="39" t="n">
        <x:v>17946.13</x:v>
      </x:c>
      <x:c r="N21" s="39" t="n">
        <x:v>21142.27</x:v>
      </x:c>
      <x:c r="O21" s="39" t="n">
        <x:v>807575.85</x:v>
      </x:c>
      <x:c r="P21" s="39" t="n">
        <x:v>951402.15</x:v>
      </x:c>
      <x:c r="Q21" s="39" t="n">
        <x:v>-143826.3</x:v>
      </x:c>
      <x:c r="R21" s="40" t="n">
        <x:v>-15.1</x:v>
      </x:c>
      <x:c r="S21" s="41" t="n">
        <x:v>9</x:v>
      </x:c>
      <x:c r="T21" s="36" t="str">
        <x:v>Yes</x:v>
      </x:c>
      <x:c r="U21" s="36" t="str">
        <x:v>Delivered</x:v>
      </x:c>
    </x:row>
    <x:row r="22">
      <x:c r="A22" s="36" t="str">
        <x:v>PO-2025-0021</x:v>
      </x:c>
      <x:c r="B22" s="37" t="n">
        <x:v>45744</x:v>
      </x:c>
      <x:c r="C22" s="36" t="str">
        <x:v>March</x:v>
      </x:c>
      <x:c r="D22" s="36" t="str">
        <x:v>Calgary SE Ring Road Extension</x:v>
      </x:c>
      <x:c r="E22" s="36" t="str">
        <x:v>Rocky View County</x:v>
      </x:c>
      <x:c r="F22" s="36" t="str">
        <x:v>Derek McLean</x:v>
      </x:c>
      <x:c r="G22" s="36" t="str">
        <x:v>Civil Works</x:v>
      </x:c>
      <x:c r="H22" s="36" t="str">
        <x:v>Road Base Aggregate</x:v>
      </x:c>
      <x:c r="I22" s="36" t="str">
        <x:v>Graham Construction</x:v>
      </x:c>
      <x:c r="J22" s="36" t="str">
        <x:v>Standing Offer Agreement</x:v>
      </x:c>
      <x:c r="K22" s="38" t="n">
        <x:v>64</x:v>
      </x:c>
      <x:c r="L22" s="36" t="str">
        <x:v>m³</x:v>
      </x:c>
      <x:c r="M22" s="39" t="n">
        <x:v>214.56</x:v>
      </x:c>
      <x:c r="N22" s="39" t="n">
        <x:v>239.32</x:v>
      </x:c>
      <x:c r="O22" s="39" t="n">
        <x:v>13731.84</x:v>
      </x:c>
      <x:c r="P22" s="39" t="n">
        <x:v>15316.48</x:v>
      </x:c>
      <x:c r="Q22" s="39" t="n">
        <x:v>-1584.64</x:v>
      </x:c>
      <x:c r="R22" s="40" t="n">
        <x:v>-10.3</x:v>
      </x:c>
      <x:c r="S22" s="41" t="n">
        <x:v>83</x:v>
      </x:c>
      <x:c r="T22" s="36" t="str">
        <x:v>Yes</x:v>
      </x:c>
      <x:c r="U22" s="36" t="str">
        <x:v>Delivered</x:v>
      </x:c>
    </x:row>
    <x:row r="23">
      <x:c r="A23" s="36" t="str">
        <x:v>PO-2025-0022</x:v>
      </x:c>
      <x:c r="B23" s="37" t="n">
        <x:v>45674</x:v>
      </x:c>
      <x:c r="C23" s="36" t="str">
        <x:v>January</x:v>
      </x:c>
      <x:c r="D23" s="36" t="str">
        <x:v>Quarry Park Mixed-Use Development</x:v>
      </x:c>
      <x:c r="E23" s="36" t="str">
        <x:v>Calgary NE</x:v>
      </x:c>
      <x:c r="F23" s="36" t="str">
        <x:v>Mohammed Siddiqui</x:v>
      </x:c>
      <x:c r="G23" s="36" t="str">
        <x:v>Safety &amp; Temp Works</x:v>
      </x:c>
      <x:c r="H23" s="36" t="str">
        <x:v>Fall Protection Netting</x:v>
      </x:c>
      <x:c r="I23" s="36" t="str">
        <x:v>Levitt-Safety Calgary</x:v>
      </x:c>
      <x:c r="J23" s="36" t="str">
        <x:v>Emergency Procurement</x:v>
      </x:c>
      <x:c r="K23" s="38" t="n">
        <x:v>18</x:v>
      </x:c>
      <x:c r="L23" s="36" t="str">
        <x:v>lot</x:v>
      </x:c>
      <x:c r="M23" s="39" t="n">
        <x:v>1265.08</x:v>
      </x:c>
      <x:c r="N23" s="39" t="n">
        <x:v>1282.76</x:v>
      </x:c>
      <x:c r="O23" s="39" t="n">
        <x:v>22771.44</x:v>
      </x:c>
      <x:c r="P23" s="39" t="n">
        <x:v>23089.68</x:v>
      </x:c>
      <x:c r="Q23" s="39" t="n">
        <x:v>-318.24</x:v>
      </x:c>
      <x:c r="R23" s="40" t="n">
        <x:v>-1.4</x:v>
      </x:c>
      <x:c r="S23" s="41" t="n">
        <x:v>28</x:v>
      </x:c>
      <x:c r="T23" s="36" t="str">
        <x:v>No</x:v>
      </x:c>
      <x:c r="U23" s="36" t="str">
        <x:v>Delivered</x:v>
      </x:c>
    </x:row>
    <x:row r="24">
      <x:c r="A24" s="36" t="str">
        <x:v>PO-2025-0023</x:v>
      </x:c>
      <x:c r="B24" s="37" t="n">
        <x:v>45779</x:v>
      </x:c>
      <x:c r="C24" s="36" t="str">
        <x:v>May</x:v>
      </x:c>
      <x:c r="D24" s="36" t="str">
        <x:v>Saddledome Arena Retrofit</x:v>
      </x:c>
      <x:c r="E24" s="36" t="str">
        <x:v>Calgary NE</x:v>
      </x:c>
      <x:c r="F24" s="36" t="str">
        <x:v>Priya Sharma</x:v>
      </x:c>
      <x:c r="G24" s="36" t="str">
        <x:v>Safety &amp; Temp Works</x:v>
      </x:c>
      <x:c r="H24" s="36" t="str">
        <x:v>Site Hoarding &amp; Fencing</x:v>
      </x:c>
      <x:c r="I24" s="36" t="str">
        <x:v>Sunbelt Rentals Canada</x:v>
      </x:c>
      <x:c r="J24" s="36" t="str">
        <x:v>Emergency Procurement</x:v>
      </x:c>
      <x:c r="K24" s="38" t="n">
        <x:v>104</x:v>
      </x:c>
      <x:c r="L24" s="36" t="str">
        <x:v>lot</x:v>
      </x:c>
      <x:c r="M24" s="39" t="n">
        <x:v>13411.32</x:v>
      </x:c>
      <x:c r="N24" s="39" t="n">
        <x:v>13412.66</x:v>
      </x:c>
      <x:c r="O24" s="39" t="n">
        <x:v>1394777.28</x:v>
      </x:c>
      <x:c r="P24" s="39" t="n">
        <x:v>1394916.64</x:v>
      </x:c>
      <x:c r="Q24" s="39" t="n">
        <x:v>-139.36</x:v>
      </x:c>
      <x:c r="R24" s="40" t="n">
        <x:v>0</x:v>
      </x:c>
      <x:c r="S24" s="41" t="n">
        <x:v>13</x:v>
      </x:c>
      <x:c r="T24" s="36" t="str">
        <x:v>Yes</x:v>
      </x:c>
      <x:c r="U24" s="36" t="str">
        <x:v>Delivered</x:v>
      </x:c>
    </x:row>
    <x:row r="25">
      <x:c r="A25" s="36" t="str">
        <x:v>PO-2025-0024</x:v>
      </x:c>
      <x:c r="B25" s="37" t="n">
        <x:v>45901</x:v>
      </x:c>
      <x:c r="C25" s="36" t="str">
        <x:v>September</x:v>
      </x:c>
      <x:c r="D25" s="36" t="str">
        <x:v>Quarry Park Mixed-Use Development</x:v>
      </x:c>
      <x:c r="E25" s="36" t="str">
        <x:v>Calgary SW</x:v>
      </x:c>
      <x:c r="F25" s="36" t="str">
        <x:v>Liam Kowalski</x:v>
      </x:c>
      <x:c r="G25" s="36" t="str">
        <x:v>Safety &amp; Temp Works</x:v>
      </x:c>
      <x:c r="H25" s="36" t="str">
        <x:v>Site Hoarding &amp; Fencing</x:v>
      </x:c>
      <x:c r="I25" s="36" t="str">
        <x:v>Sunbelt Rentals Canada</x:v>
      </x:c>
      <x:c r="J25" s="36" t="str">
        <x:v>3-Quote Comparison</x:v>
      </x:c>
      <x:c r="K25" s="38" t="n">
        <x:v>100</x:v>
      </x:c>
      <x:c r="L25" s="36" t="str">
        <x:v>lot</x:v>
      </x:c>
      <x:c r="M25" s="39" t="n">
        <x:v>5225.32</x:v>
      </x:c>
      <x:c r="N25" s="39" t="n">
        <x:v>5180.28</x:v>
      </x:c>
      <x:c r="O25" s="39" t="n">
        <x:v>522532</x:v>
      </x:c>
      <x:c r="P25" s="39" t="n">
        <x:v>518028</x:v>
      </x:c>
      <x:c r="Q25" s="39" t="n">
        <x:v>4504</x:v>
      </x:c>
      <x:c r="R25" s="40" t="n">
        <x:v>0.9</x:v>
      </x:c>
      <x:c r="S25" s="41" t="n">
        <x:v>70</x:v>
      </x:c>
      <x:c r="T25" s="36" t="str">
        <x:v>Yes</x:v>
      </x:c>
      <x:c r="U25" s="36" t="str">
        <x:v>Delivered</x:v>
      </x:c>
    </x:row>
    <x:row r="26">
      <x:c r="A26" s="36" t="str">
        <x:v>PO-2025-0025</x:v>
      </x:c>
      <x:c r="B26" s="37" t="n">
        <x:v>45859</x:v>
      </x:c>
      <x:c r="C26" s="36" t="str">
        <x:v>July</x:v>
      </x:c>
      <x:c r="D26" s="36" t="str">
        <x:v>Foothills Medical Centre Expansion</x:v>
      </x:c>
      <x:c r="E26" s="36" t="str">
        <x:v>Calgary NE</x:v>
      </x:c>
      <x:c r="F26" s="36" t="str">
        <x:v>Aisha Nkosi</x:v>
      </x:c>
      <x:c r="G26" s="36" t="str">
        <x:v>Civil Works</x:v>
      </x:c>
      <x:c r="H26" s="36" t="str">
        <x:v>Curb &amp; Gutter Concrete</x:v>
      </x:c>
      <x:c r="I26" s="36" t="str">
        <x:v>Graham Construction</x:v>
      </x:c>
      <x:c r="J26" s="36" t="str">
        <x:v>Standing Offer Agreement</x:v>
      </x:c>
      <x:c r="K26" s="38" t="n">
        <x:v>114</x:v>
      </x:c>
      <x:c r="L26" s="36" t="str">
        <x:v>m³</x:v>
      </x:c>
      <x:c r="M26" s="39" t="n">
        <x:v>105.2</x:v>
      </x:c>
      <x:c r="N26" s="39" t="n">
        <x:v>126.85</x:v>
      </x:c>
      <x:c r="O26" s="39" t="n">
        <x:v>11992.8</x:v>
      </x:c>
      <x:c r="P26" s="39" t="n">
        <x:v>14460.9</x:v>
      </x:c>
      <x:c r="Q26" s="39" t="n">
        <x:v>-2468.1</x:v>
      </x:c>
      <x:c r="R26" s="40" t="n">
        <x:v>-17.1</x:v>
      </x:c>
      <x:c r="S26" s="41" t="n">
        <x:v>52</x:v>
      </x:c>
      <x:c r="T26" s="36" t="str">
        <x:v>Yes</x:v>
      </x:c>
      <x:c r="U26" s="36" t="str">
        <x:v>Cancelled</x:v>
      </x:c>
    </x:row>
    <x:row r="27">
      <x:c r="A27" s="36" t="str">
        <x:v>PO-2025-0026</x:v>
      </x:c>
      <x:c r="B27" s="37" t="n">
        <x:v>45915</x:v>
      </x:c>
      <x:c r="C27" s="36" t="str">
        <x:v>September</x:v>
      </x:c>
      <x:c r="D27" s="36" t="str">
        <x:v>Rocky View Industrial Logistics Hub</x:v>
      </x:c>
      <x:c r="E27" s="36" t="str">
        <x:v>Rocky View County</x:v>
      </x:c>
      <x:c r="F27" s="36" t="str">
        <x:v>Priya Sharma</x:v>
      </x:c>
      <x:c r="G27" s="36" t="str">
        <x:v>MEP - Electrical</x:v>
      </x:c>
      <x:c r="H27" s="36" t="str">
        <x:v>LV Switchgear Panel</x:v>
      </x:c>
      <x:c r="I27" s="36" t="str">
        <x:v>Schneider Electric Canada</x:v>
      </x:c>
      <x:c r="J27" s="36" t="str">
        <x:v>3-Quote Comparison</x:v>
      </x:c>
      <x:c r="K27" s="38" t="n">
        <x:v>50</x:v>
      </x:c>
      <x:c r="L27" s="36" t="str">
        <x:v>lot</x:v>
      </x:c>
      <x:c r="M27" s="39" t="n">
        <x:v>23927.85</x:v>
      </x:c>
      <x:c r="N27" s="39" t="n">
        <x:v>29493.17</x:v>
      </x:c>
      <x:c r="O27" s="39" t="n">
        <x:v>1196392.5</x:v>
      </x:c>
      <x:c r="P27" s="39" t="n">
        <x:v>1474658.5</x:v>
      </x:c>
      <x:c r="Q27" s="39" t="n">
        <x:v>-278266</x:v>
      </x:c>
      <x:c r="R27" s="40" t="n">
        <x:v>-18.9</x:v>
      </x:c>
      <x:c r="S27" s="41" t="n">
        <x:v>43</x:v>
      </x:c>
      <x:c r="T27" s="36" t="str">
        <x:v>Yes</x:v>
      </x:c>
      <x:c r="U27" s="36" t="str">
        <x:v>Delivered</x:v>
      </x:c>
    </x:row>
    <x:row r="28">
      <x:c r="A28" s="36" t="str">
        <x:v>PO-2025-0027</x:v>
      </x:c>
      <x:c r="B28" s="37" t="n">
        <x:v>45792</x:v>
      </x:c>
      <x:c r="C28" s="36" t="str">
        <x:v>May</x:v>
      </x:c>
      <x:c r="D28" s="36" t="str">
        <x:v>Bow River Crossing Overpass</x:v>
      </x:c>
      <x:c r="E28" s="36" t="str">
        <x:v>Calgary SE</x:v>
      </x:c>
      <x:c r="F28" s="36" t="str">
        <x:v>Aisha Nkosi</x:v>
      </x:c>
      <x:c r="G28" s="36" t="str">
        <x:v>Finishing</x:v>
      </x:c>
      <x:c r="H28" s="36" t="str">
        <x:v>Ceramic Floor Tile</x:v>
      </x:c>
      <x:c r="I28" s="36" t="str">
        <x:v>Centura Tile Calgary</x:v>
      </x:c>
      <x:c r="J28" s="36" t="str">
        <x:v>Tender – Open</x:v>
      </x:c>
      <x:c r="K28" s="38" t="n">
        <x:v>99</x:v>
      </x:c>
      <x:c r="L28" s="36" t="str">
        <x:v>m²</x:v>
      </x:c>
      <x:c r="M28" s="39" t="n">
        <x:v>280.12</x:v>
      </x:c>
      <x:c r="N28" s="39" t="n">
        <x:v>270.2</x:v>
      </x:c>
      <x:c r="O28" s="39" t="n">
        <x:v>27731.88</x:v>
      </x:c>
      <x:c r="P28" s="39" t="n">
        <x:v>26749.8</x:v>
      </x:c>
      <x:c r="Q28" s="39" t="n">
        <x:v>982.08</x:v>
      </x:c>
      <x:c r="R28" s="40" t="n">
        <x:v>3.7</x:v>
      </x:c>
      <x:c r="S28" s="41" t="n">
        <x:v>7</x:v>
      </x:c>
      <x:c r="T28" s="36" t="str">
        <x:v>No</x:v>
      </x:c>
      <x:c r="U28" s="36" t="str">
        <x:v>Delivered</x:v>
      </x:c>
    </x:row>
    <x:row r="29">
      <x:c r="A29" s="36" t="str">
        <x:v>PO-2025-0028</x:v>
      </x:c>
      <x:c r="B29" s="37" t="n">
        <x:v>45877</x:v>
      </x:c>
      <x:c r="C29" s="36" t="str">
        <x:v>August</x:v>
      </x:c>
      <x:c r="D29" s="36" t="str">
        <x:v>Bow River Crossing Overpass</x:v>
      </x:c>
      <x:c r="E29" s="36" t="str">
        <x:v>Calgary SW</x:v>
      </x:c>
      <x:c r="F29" s="36" t="str">
        <x:v>Aisha Nkosi</x:v>
      </x:c>
      <x:c r="G29" s="36" t="str">
        <x:v>Finishing</x:v>
      </x:c>
      <x:c r="H29" s="36" t="str">
        <x:v>Acoustic Ceiling Grid</x:v>
      </x:c>
      <x:c r="I29" s="36" t="str">
        <x:v>Armstrong World Industries</x:v>
      </x:c>
      <x:c r="J29" s="36" t="str">
        <x:v>3-Quote Comparison</x:v>
      </x:c>
      <x:c r="K29" s="38" t="n">
        <x:v>116</x:v>
      </x:c>
      <x:c r="L29" s="36" t="str">
        <x:v>m²</x:v>
      </x:c>
      <x:c r="M29" s="39" t="n">
        <x:v>459.93</x:v>
      </x:c>
      <x:c r="N29" s="39" t="n">
        <x:v>522</x:v>
      </x:c>
      <x:c r="O29" s="39" t="n">
        <x:v>53351.88</x:v>
      </x:c>
      <x:c r="P29" s="39" t="n">
        <x:v>60552</x:v>
      </x:c>
      <x:c r="Q29" s="39" t="n">
        <x:v>-7200.12</x:v>
      </x:c>
      <x:c r="R29" s="40" t="n">
        <x:v>-11.9</x:v>
      </x:c>
      <x:c r="S29" s="41" t="n">
        <x:v>60</x:v>
      </x:c>
      <x:c r="T29" s="36" t="str">
        <x:v>Yes</x:v>
      </x:c>
      <x:c r="U29" s="36" t="str">
        <x:v>Partially Delivered</x:v>
      </x:c>
    </x:row>
    <x:row r="30">
      <x:c r="A30" s="36" t="str">
        <x:v>PO-2025-0029</x:v>
      </x:c>
      <x:c r="B30" s="37" t="n">
        <x:v>45954</x:v>
      </x:c>
      <x:c r="C30" s="36" t="str">
        <x:v>October</x:v>
      </x:c>
      <x:c r="D30" s="36" t="str">
        <x:v>Calgary SE Ring Road Extension</x:v>
      </x:c>
      <x:c r="E30" s="36" t="str">
        <x:v>Calgary SW</x:v>
      </x:c>
      <x:c r="F30" s="36" t="str">
        <x:v>James Okafor</x:v>
      </x:c>
      <x:c r="G30" s="36" t="str">
        <x:v>Civil Works</x:v>
      </x:c>
      <x:c r="H30" s="36" t="str">
        <x:v>Storm Drainage Pipe</x:v>
      </x:c>
      <x:c r="I30" s="36" t="str">
        <x:v>Kiewit Infrastructure</x:v>
      </x:c>
      <x:c r="J30" s="36" t="str">
        <x:v>Emergency Procurement</x:v>
      </x:c>
      <x:c r="K30" s="38" t="n">
        <x:v>117</x:v>
      </x:c>
      <x:c r="L30" s="36" t="str">
        <x:v>m³</x:v>
      </x:c>
      <x:c r="M30" s="39" t="n">
        <x:v>186.12</x:v>
      </x:c>
      <x:c r="N30" s="39" t="n">
        <x:v>199.67</x:v>
      </x:c>
      <x:c r="O30" s="39" t="n">
        <x:v>21776.04</x:v>
      </x:c>
      <x:c r="P30" s="39" t="n">
        <x:v>23361.39</x:v>
      </x:c>
      <x:c r="Q30" s="39" t="n">
        <x:v>-1585.35</x:v>
      </x:c>
      <x:c r="R30" s="40" t="n">
        <x:v>-6.8</x:v>
      </x:c>
      <x:c r="S30" s="41" t="n">
        <x:v>43</x:v>
      </x:c>
      <x:c r="T30" s="36" t="str">
        <x:v>Yes</x:v>
      </x:c>
      <x:c r="U30" s="36" t="str">
        <x:v>Pending</x:v>
      </x:c>
    </x:row>
    <x:row r="31">
      <x:c r="A31" s="36" t="str">
        <x:v>PO-2025-0030</x:v>
      </x:c>
      <x:c r="B31" s="37" t="n">
        <x:v>45764</x:v>
      </x:c>
      <x:c r="C31" s="36" t="str">
        <x:v>April</x:v>
      </x:c>
      <x:c r="D31" s="36" t="str">
        <x:v>Quarry Park Mixed-Use Development</x:v>
      </x:c>
      <x:c r="E31" s="36" t="str">
        <x:v>Calgary SW</x:v>
      </x:c>
      <x:c r="F31" s="36" t="str">
        <x:v>Aisha Nkosi</x:v>
      </x:c>
      <x:c r="G31" s="36" t="str">
        <x:v>Finishing</x:v>
      </x:c>
      <x:c r="H31" s="36" t="str">
        <x:v>Waterproofing Membrane</x:v>
      </x:c>
      <x:c r="I31" s="36" t="str">
        <x:v>Tremco Roofing</x:v>
      </x:c>
      <x:c r="J31" s="36" t="str">
        <x:v>3-Quote Comparison</x:v>
      </x:c>
      <x:c r="K31" s="38" t="n">
        <x:v>15</x:v>
      </x:c>
      <x:c r="L31" s="36" t="str">
        <x:v>m²</x:v>
      </x:c>
      <x:c r="M31" s="39" t="n">
        <x:v>224.43</x:v>
      </x:c>
      <x:c r="N31" s="39" t="n">
        <x:v>235.92</x:v>
      </x:c>
      <x:c r="O31" s="39" t="n">
        <x:v>3366.45</x:v>
      </x:c>
      <x:c r="P31" s="39" t="n">
        <x:v>3538.8</x:v>
      </x:c>
      <x:c r="Q31" s="39" t="n">
        <x:v>-172.35</x:v>
      </x:c>
      <x:c r="R31" s="40" t="n">
        <x:v>-4.9</x:v>
      </x:c>
      <x:c r="S31" s="41" t="n">
        <x:v>81</x:v>
      </x:c>
      <x:c r="T31" s="36" t="str">
        <x:v>Yes</x:v>
      </x:c>
      <x:c r="U31" s="36" t="str">
        <x:v>Pending</x:v>
      </x:c>
    </x:row>
    <x:row r="32">
      <x:c r="A32" s="36" t="str">
        <x:v>PO-2025-0031</x:v>
      </x:c>
      <x:c r="B32" s="37" t="n">
        <x:v>45680</x:v>
      </x:c>
      <x:c r="C32" s="36" t="str">
        <x:v>January</x:v>
      </x:c>
      <x:c r="D32" s="36" t="str">
        <x:v>Deerfoot Trail Widening - North</x:v>
      </x:c>
      <x:c r="E32" s="36" t="str">
        <x:v>Rocky View County</x:v>
      </x:c>
      <x:c r="F32" s="36" t="str">
        <x:v>Aisha Nkosi</x:v>
      </x:c>
      <x:c r="G32" s="36" t="str">
        <x:v>Finishing</x:v>
      </x:c>
      <x:c r="H32" s="36" t="str">
        <x:v>Waterproofing Membrane</x:v>
      </x:c>
      <x:c r="I32" s="36" t="str">
        <x:v>Centura Tile Calgary</x:v>
      </x:c>
      <x:c r="J32" s="36" t="str">
        <x:v>LPO – Direct Award</x:v>
      </x:c>
      <x:c r="K32" s="38" t="n">
        <x:v>9</x:v>
      </x:c>
      <x:c r="L32" s="36" t="str">
        <x:v>m²</x:v>
      </x:c>
      <x:c r="M32" s="39" t="n">
        <x:v>336.39</x:v>
      </x:c>
      <x:c r="N32" s="39" t="n">
        <x:v>408.28</x:v>
      </x:c>
      <x:c r="O32" s="39" t="n">
        <x:v>3027.51</x:v>
      </x:c>
      <x:c r="P32" s="39" t="n">
        <x:v>3674.52</x:v>
      </x:c>
      <x:c r="Q32" s="39" t="n">
        <x:v>-647.01</x:v>
      </x:c>
      <x:c r="R32" s="40" t="n">
        <x:v>-17.6</x:v>
      </x:c>
      <x:c r="S32" s="41" t="n">
        <x:v>62</x:v>
      </x:c>
      <x:c r="T32" s="36" t="str">
        <x:v>Yes</x:v>
      </x:c>
      <x:c r="U32" s="36" t="str">
        <x:v>Partially Delivered</x:v>
      </x:c>
    </x:row>
    <x:row r="33">
      <x:c r="A33" s="36" t="str">
        <x:v>PO-2025-0032</x:v>
      </x:c>
      <x:c r="B33" s="37" t="n">
        <x:v>45795</x:v>
      </x:c>
      <x:c r="C33" s="36" t="str">
        <x:v>May</x:v>
      </x:c>
      <x:c r="D33" s="36" t="str">
        <x:v>Foothills Medical Centre Expansion</x:v>
      </x:c>
      <x:c r="E33" s="36" t="str">
        <x:v>Rocky View County</x:v>
      </x:c>
      <x:c r="F33" s="36" t="str">
        <x:v>Derek McLean</x:v>
      </x:c>
      <x:c r="G33" s="36" t="str">
        <x:v>Civil Works</x:v>
      </x:c>
      <x:c r="H33" s="36" t="str">
        <x:v>Granular Backfill</x:v>
      </x:c>
      <x:c r="I33" s="36" t="str">
        <x:v>Kiewit Infrastructure</x:v>
      </x:c>
      <x:c r="J33" s="36" t="str">
        <x:v>Standing Offer Agreement</x:v>
      </x:c>
      <x:c r="K33" s="38" t="n">
        <x:v>14</x:v>
      </x:c>
      <x:c r="L33" s="36" t="str">
        <x:v>m³</x:v>
      </x:c>
      <x:c r="M33" s="39" t="n">
        <x:v>188.87</x:v>
      </x:c>
      <x:c r="N33" s="39" t="n">
        <x:v>176.17</x:v>
      </x:c>
      <x:c r="O33" s="39" t="n">
        <x:v>2644.18</x:v>
      </x:c>
      <x:c r="P33" s="39" t="n">
        <x:v>2466.38</x:v>
      </x:c>
      <x:c r="Q33" s="39" t="n">
        <x:v>177.8</x:v>
      </x:c>
      <x:c r="R33" s="40" t="n">
        <x:v>7.2</x:v>
      </x:c>
      <x:c r="S33" s="41" t="n">
        <x:v>83</x:v>
      </x:c>
      <x:c r="T33" s="36" t="str">
        <x:v>No</x:v>
      </x:c>
      <x:c r="U33" s="36" t="str">
        <x:v>Delivered</x:v>
      </x:c>
    </x:row>
    <x:row r="34">
      <x:c r="A34" s="36" t="str">
        <x:v>PO-2025-0033</x:v>
      </x:c>
      <x:c r="B34" s="37" t="n">
        <x:v>45724</x:v>
      </x:c>
      <x:c r="C34" s="36" t="str">
        <x:v>March</x:v>
      </x:c>
      <x:c r="D34" s="36" t="str">
        <x:v>Bow River Crossing Overpass</x:v>
      </x:c>
      <x:c r="E34" s="36" t="str">
        <x:v>Calgary NE</x:v>
      </x:c>
      <x:c r="F34" s="36" t="str">
        <x:v>Liam Kowalski</x:v>
      </x:c>
      <x:c r="G34" s="36" t="str">
        <x:v>MEP - Mechanical</x:v>
      </x:c>
      <x:c r="H34" s="36" t="str">
        <x:v>Boiler System</x:v>
      </x:c>
      <x:c r="I34" s="36" t="str">
        <x:v>Ainsworth Inc.</x:v>
      </x:c>
      <x:c r="J34" s="36" t="str">
        <x:v>Tender – Open</x:v>
      </x:c>
      <x:c r="K34" s="38" t="n">
        <x:v>46</x:v>
      </x:c>
      <x:c r="L34" s="36" t="str">
        <x:v>lot</x:v>
      </x:c>
      <x:c r="M34" s="39" t="n">
        <x:v>35292.61</x:v>
      </x:c>
      <x:c r="N34" s="39" t="n">
        <x:v>33630.23</x:v>
      </x:c>
      <x:c r="O34" s="39" t="n">
        <x:v>1623460.06</x:v>
      </x:c>
      <x:c r="P34" s="39" t="n">
        <x:v>1546990.58</x:v>
      </x:c>
      <x:c r="Q34" s="39" t="n">
        <x:v>76469.48</x:v>
      </x:c>
      <x:c r="R34" s="40" t="n">
        <x:v>4.9</x:v>
      </x:c>
      <x:c r="S34" s="41" t="n">
        <x:v>67</x:v>
      </x:c>
      <x:c r="T34" s="36" t="str">
        <x:v>No</x:v>
      </x:c>
      <x:c r="U34" s="36" t="str">
        <x:v>Cancelled</x:v>
      </x:c>
    </x:row>
    <x:row r="35">
      <x:c r="A35" s="36" t="str">
        <x:v>PO-2025-0034</x:v>
      </x:c>
      <x:c r="B35" s="37" t="n">
        <x:v>45956</x:v>
      </x:c>
      <x:c r="C35" s="36" t="str">
        <x:v>October</x:v>
      </x:c>
      <x:c r="D35" s="36" t="str">
        <x:v>Calgary SE Ring Road Extension</x:v>
      </x:c>
      <x:c r="E35" s="36" t="str">
        <x:v>Calgary SE</x:v>
      </x:c>
      <x:c r="F35" s="36" t="str">
        <x:v>Liam Kowalski</x:v>
      </x:c>
      <x:c r="G35" s="36" t="str">
        <x:v>Safety &amp; Temp Works</x:v>
      </x:c>
      <x:c r="H35" s="36" t="str">
        <x:v>Scaffolding System</x:v>
      </x:c>
      <x:c r="I35" s="36" t="str">
        <x:v>Sunbelt Rentals Canada</x:v>
      </x:c>
      <x:c r="J35" s="36" t="str">
        <x:v>Standing Offer Agreement</x:v>
      </x:c>
      <x:c r="K35" s="38" t="n">
        <x:v>106</x:v>
      </x:c>
      <x:c r="L35" s="36" t="str">
        <x:v>lot</x:v>
      </x:c>
      <x:c r="M35" s="39" t="n">
        <x:v>12990.43</x:v>
      </x:c>
      <x:c r="N35" s="39" t="n">
        <x:v>13784.82</x:v>
      </x:c>
      <x:c r="O35" s="39" t="n">
        <x:v>1376985.58</x:v>
      </x:c>
      <x:c r="P35" s="39" t="n">
        <x:v>1461190.92</x:v>
      </x:c>
      <x:c r="Q35" s="39" t="n">
        <x:v>-84205.34</x:v>
      </x:c>
      <x:c r="R35" s="40" t="n">
        <x:v>-5.8</x:v>
      </x:c>
      <x:c r="S35" s="41" t="n">
        <x:v>24</x:v>
      </x:c>
      <x:c r="T35" s="36" t="str">
        <x:v>Yes</x:v>
      </x:c>
      <x:c r="U35" s="36" t="str">
        <x:v>Cancelled</x:v>
      </x:c>
    </x:row>
    <x:row r="36">
      <x:c r="A36" s="36" t="str">
        <x:v>PO-2025-0035</x:v>
      </x:c>
      <x:c r="B36" s="37" t="n">
        <x:v>45931</x:v>
      </x:c>
      <x:c r="C36" s="36" t="str">
        <x:v>October</x:v>
      </x:c>
      <x:c r="D36" s="36" t="str">
        <x:v>Foothills Medical Centre Expansion</x:v>
      </x:c>
      <x:c r="E36" s="36" t="str">
        <x:v>Calgary SW</x:v>
      </x:c>
      <x:c r="F36" s="36" t="str">
        <x:v>Sarah Bouchard</x:v>
      </x:c>
      <x:c r="G36" s="36" t="str">
        <x:v>Finishing</x:v>
      </x:c>
      <x:c r="H36" s="36" t="str">
        <x:v>Waterproofing Membrane</x:v>
      </x:c>
      <x:c r="I36" s="36" t="str">
        <x:v>Armstrong World Industries</x:v>
      </x:c>
      <x:c r="J36" s="36" t="str">
        <x:v>Tender – Open</x:v>
      </x:c>
      <x:c r="K36" s="38" t="n">
        <x:v>41</x:v>
      </x:c>
      <x:c r="L36" s="36" t="str">
        <x:v>m²</x:v>
      </x:c>
      <x:c r="M36" s="39" t="n">
        <x:v>421.07</x:v>
      </x:c>
      <x:c r="N36" s="39" t="n">
        <x:v>458.62</x:v>
      </x:c>
      <x:c r="O36" s="39" t="n">
        <x:v>17263.87</x:v>
      </x:c>
      <x:c r="P36" s="39" t="n">
        <x:v>18803.42</x:v>
      </x:c>
      <x:c r="Q36" s="39" t="n">
        <x:v>-1539.55</x:v>
      </x:c>
      <x:c r="R36" s="40" t="n">
        <x:v>-8.2</x:v>
      </x:c>
      <x:c r="S36" s="41" t="n">
        <x:v>28</x:v>
      </x:c>
      <x:c r="T36" s="36" t="str">
        <x:v>No</x:v>
      </x:c>
      <x:c r="U36" s="36" t="str">
        <x:v>Delivered</x:v>
      </x:c>
    </x:row>
    <x:row r="37">
      <x:c r="A37" s="36" t="str">
        <x:v>PO-2025-0036</x:v>
      </x:c>
      <x:c r="B37" s="37" t="n">
        <x:v>45707</x:v>
      </x:c>
      <x:c r="C37" s="36" t="str">
        <x:v>February</x:v>
      </x:c>
      <x:c r="D37" s="36" t="str">
        <x:v>Saddledome Arena Retrofit</x:v>
      </x:c>
      <x:c r="E37" s="36" t="str">
        <x:v>Calgary SW</x:v>
      </x:c>
      <x:c r="F37" s="36" t="str">
        <x:v>Derek McLean</x:v>
      </x:c>
      <x:c r="G37" s="36" t="str">
        <x:v>MEP - Mechanical</x:v>
      </x:c>
      <x:c r="H37" s="36" t="str">
        <x:v>HVAC Rooftop Unit</x:v>
      </x:c>
      <x:c r="I37" s="36" t="str">
        <x:v>PCL Mechanical</x:v>
      </x:c>
      <x:c r="J37" s="36" t="str">
        <x:v>LPO – Direct Award</x:v>
      </x:c>
      <x:c r="K37" s="38" t="n">
        <x:v>54</x:v>
      </x:c>
      <x:c r="L37" s="36" t="str">
        <x:v>lot</x:v>
      </x:c>
      <x:c r="M37" s="39" t="n">
        <x:v>45718.74</x:v>
      </x:c>
      <x:c r="N37" s="39" t="n">
        <x:v>48756.53</x:v>
      </x:c>
      <x:c r="O37" s="39" t="n">
        <x:v>2468811.96</x:v>
      </x:c>
      <x:c r="P37" s="39" t="n">
        <x:v>2632852.62</x:v>
      </x:c>
      <x:c r="Q37" s="39" t="n">
        <x:v>-164040.66</x:v>
      </x:c>
      <x:c r="R37" s="40" t="n">
        <x:v>-6.2</x:v>
      </x:c>
      <x:c r="S37" s="41" t="n">
        <x:v>20</x:v>
      </x:c>
      <x:c r="T37" s="36" t="str">
        <x:v>No</x:v>
      </x:c>
      <x:c r="U37" s="36" t="str">
        <x:v>Cancelled</x:v>
      </x:c>
    </x:row>
    <x:row r="38">
      <x:c r="A38" s="36" t="str">
        <x:v>PO-2025-0037</x:v>
      </x:c>
      <x:c r="B38" s="37" t="n">
        <x:v>45667</x:v>
      </x:c>
      <x:c r="C38" s="36" t="str">
        <x:v>January</x:v>
      </x:c>
      <x:c r="D38" s="36" t="str">
        <x:v>Calgary SE Ring Road Extension</x:v>
      </x:c>
      <x:c r="E38" s="36" t="str">
        <x:v>Calgary SW</x:v>
      </x:c>
      <x:c r="F38" s="36" t="str">
        <x:v>Priya Sharma</x:v>
      </x:c>
      <x:c r="G38" s="36" t="str">
        <x:v>Finishing</x:v>
      </x:c>
      <x:c r="H38" s="36" t="str">
        <x:v>Acoustic Ceiling Grid</x:v>
      </x:c>
      <x:c r="I38" s="36" t="str">
        <x:v>Tremco Roofing</x:v>
      </x:c>
      <x:c r="J38" s="36" t="str">
        <x:v>Emergency Procurement</x:v>
      </x:c>
      <x:c r="K38" s="38" t="n">
        <x:v>44</x:v>
      </x:c>
      <x:c r="L38" s="36" t="str">
        <x:v>m²</x:v>
      </x:c>
      <x:c r="M38" s="39" t="n">
        <x:v>313.86</x:v>
      </x:c>
      <x:c r="N38" s="39" t="n">
        <x:v>329.89</x:v>
      </x:c>
      <x:c r="O38" s="39" t="n">
        <x:v>13809.84</x:v>
      </x:c>
      <x:c r="P38" s="39" t="n">
        <x:v>14515.16</x:v>
      </x:c>
      <x:c r="Q38" s="39" t="n">
        <x:v>-705.32</x:v>
      </x:c>
      <x:c r="R38" s="40" t="n">
        <x:v>-4.9</x:v>
      </x:c>
      <x:c r="S38" s="41" t="n">
        <x:v>28</x:v>
      </x:c>
      <x:c r="T38" s="36" t="str">
        <x:v>Yes</x:v>
      </x:c>
      <x:c r="U38" s="36" t="str">
        <x:v>Partially Delivered</x:v>
      </x:c>
    </x:row>
    <x:row r="39">
      <x:c r="A39" s="36" t="str">
        <x:v>PO-2025-0038</x:v>
      </x:c>
      <x:c r="B39" s="37" t="n">
        <x:v>45712</x:v>
      </x:c>
      <x:c r="C39" s="36" t="str">
        <x:v>February</x:v>
      </x:c>
      <x:c r="D39" s="36" t="str">
        <x:v>Bow River Crossing Overpass</x:v>
      </x:c>
      <x:c r="E39" s="36" t="str">
        <x:v>Calgary NE</x:v>
      </x:c>
      <x:c r="F39" s="36" t="str">
        <x:v>James Okafor</x:v>
      </x:c>
      <x:c r="G39" s="36" t="str">
        <x:v>Finishing</x:v>
      </x:c>
      <x:c r="H39" s="36" t="str">
        <x:v>Waterproofing Membrane</x:v>
      </x:c>
      <x:c r="I39" s="36" t="str">
        <x:v>Dryvit Systems Canada</x:v>
      </x:c>
      <x:c r="J39" s="36" t="str">
        <x:v>3-Quote Comparison</x:v>
      </x:c>
      <x:c r="K39" s="38" t="n">
        <x:v>27</x:v>
      </x:c>
      <x:c r="L39" s="36" t="str">
        <x:v>m²</x:v>
      </x:c>
      <x:c r="M39" s="39" t="n">
        <x:v>133.81</x:v>
      </x:c>
      <x:c r="N39" s="39" t="n">
        <x:v>123.85</x:v>
      </x:c>
      <x:c r="O39" s="39" t="n">
        <x:v>3612.87</x:v>
      </x:c>
      <x:c r="P39" s="39" t="n">
        <x:v>3343.95</x:v>
      </x:c>
      <x:c r="Q39" s="39" t="n">
        <x:v>268.92</x:v>
      </x:c>
      <x:c r="R39" s="40" t="n">
        <x:v>8</x:v>
      </x:c>
      <x:c r="S39" s="41" t="n">
        <x:v>24</x:v>
      </x:c>
      <x:c r="T39" s="36" t="str">
        <x:v>Yes</x:v>
      </x:c>
      <x:c r="U39" s="36" t="str">
        <x:v>Cancelled</x:v>
      </x:c>
    </x:row>
    <x:row r="40">
      <x:c r="A40" s="36" t="str">
        <x:v>PO-2025-0039</x:v>
      </x:c>
      <x:c r="B40" s="37" t="n">
        <x:v>45706</x:v>
      </x:c>
      <x:c r="C40" s="36" t="str">
        <x:v>February</x:v>
      </x:c>
      <x:c r="D40" s="36" t="str">
        <x:v>Springbank Off-Stream Reservoir</x:v>
      </x:c>
      <x:c r="E40" s="36" t="str">
        <x:v>Calgary NE</x:v>
      </x:c>
      <x:c r="F40" s="36" t="str">
        <x:v>Priya Sharma</x:v>
      </x:c>
      <x:c r="G40" s="36" t="str">
        <x:v>MEP - Mechanical</x:v>
      </x:c>
      <x:c r="H40" s="36" t="str">
        <x:v>Heat Pump Assembly</x:v>
      </x:c>
      <x:c r="I40" s="36" t="str">
        <x:v>Johnson Controls Alberta</x:v>
      </x:c>
      <x:c r="J40" s="36" t="str">
        <x:v>Tender – Open</x:v>
      </x:c>
      <x:c r="K40" s="38" t="n">
        <x:v>55</x:v>
      </x:c>
      <x:c r="L40" s="36" t="str">
        <x:v>lot</x:v>
      </x:c>
      <x:c r="M40" s="39" t="n">
        <x:v>41656.8</x:v>
      </x:c>
      <x:c r="N40" s="39" t="n">
        <x:v>43981.63</x:v>
      </x:c>
      <x:c r="O40" s="39" t="n">
        <x:v>2291124</x:v>
      </x:c>
      <x:c r="P40" s="39" t="n">
        <x:v>2418989.65</x:v>
      </x:c>
      <x:c r="Q40" s="39" t="n">
        <x:v>-127865.65</x:v>
      </x:c>
      <x:c r="R40" s="40" t="n">
        <x:v>-5.3</x:v>
      </x:c>
      <x:c r="S40" s="41" t="n">
        <x:v>59</x:v>
      </x:c>
      <x:c r="T40" s="36" t="str">
        <x:v>No</x:v>
      </x:c>
      <x:c r="U40" s="36" t="str">
        <x:v>Delivered</x:v>
      </x:c>
    </x:row>
    <x:row r="41">
      <x:c r="A41" s="36" t="str">
        <x:v>PO-2025-0040</x:v>
      </x:c>
      <x:c r="B41" s="37" t="n">
        <x:v>45664</x:v>
      </x:c>
      <x:c r="C41" s="36" t="str">
        <x:v>January</x:v>
      </x:c>
      <x:c r="D41" s="36" t="str">
        <x:v>Bow River Crossing Overpass</x:v>
      </x:c>
      <x:c r="E41" s="36" t="str">
        <x:v>Calgary SW</x:v>
      </x:c>
      <x:c r="F41" s="36" t="str">
        <x:v>Linda Tran</x:v>
      </x:c>
      <x:c r="G41" s="36" t="str">
        <x:v>MEP - Mechanical</x:v>
      </x:c>
      <x:c r="H41" s="36" t="str">
        <x:v>Heat Pump Assembly</x:v>
      </x:c>
      <x:c r="I41" s="36" t="str">
        <x:v>Stantec MEP</x:v>
      </x:c>
      <x:c r="J41" s="36" t="str">
        <x:v>Tender – Open</x:v>
      </x:c>
      <x:c r="K41" s="38" t="n">
        <x:v>25</x:v>
      </x:c>
      <x:c r="L41" s="36" t="str">
        <x:v>lot</x:v>
      </x:c>
      <x:c r="M41" s="39" t="n">
        <x:v>42990.44</x:v>
      </x:c>
      <x:c r="N41" s="39" t="n">
        <x:v>46853.19</x:v>
      </x:c>
      <x:c r="O41" s="39" t="n">
        <x:v>1074761</x:v>
      </x:c>
      <x:c r="P41" s="39" t="n">
        <x:v>1171329.75</x:v>
      </x:c>
      <x:c r="Q41" s="39" t="n">
        <x:v>-96568.75</x:v>
      </x:c>
      <x:c r="R41" s="40" t="n">
        <x:v>-8.2</x:v>
      </x:c>
      <x:c r="S41" s="41" t="n">
        <x:v>16</x:v>
      </x:c>
      <x:c r="T41" s="36" t="str">
        <x:v>Yes</x:v>
      </x:c>
      <x:c r="U41" s="36" t="str">
        <x:v>Delivered</x:v>
      </x:c>
    </x:row>
    <x:row r="42">
      <x:c r="A42" s="36" t="str">
        <x:v>PO-2025-0041</x:v>
      </x:c>
      <x:c r="B42" s="37" t="n">
        <x:v>45823</x:v>
      </x:c>
      <x:c r="C42" s="36" t="str">
        <x:v>June</x:v>
      </x:c>
      <x:c r="D42" s="36" t="str">
        <x:v>Calgary SE Ring Road Extension</x:v>
      </x:c>
      <x:c r="E42" s="36" t="str">
        <x:v>Rocky View County</x:v>
      </x:c>
      <x:c r="F42" s="36" t="str">
        <x:v>Linda Tran</x:v>
      </x:c>
      <x:c r="G42" s="36" t="str">
        <x:v>Finishing</x:v>
      </x:c>
      <x:c r="H42" s="36" t="str">
        <x:v>Waterproofing Membrane</x:v>
      </x:c>
      <x:c r="I42" s="36" t="str">
        <x:v>Armstrong World Industries</x:v>
      </x:c>
      <x:c r="J42" s="36" t="str">
        <x:v>Tender – Open</x:v>
      </x:c>
      <x:c r="K42" s="38" t="n">
        <x:v>15</x:v>
      </x:c>
      <x:c r="L42" s="36" t="str">
        <x:v>m²</x:v>
      </x:c>
      <x:c r="M42" s="39" t="n">
        <x:v>171.81</x:v>
      </x:c>
      <x:c r="N42" s="39" t="n">
        <x:v>196.36</x:v>
      </x:c>
      <x:c r="O42" s="39" t="n">
        <x:v>2577.15</x:v>
      </x:c>
      <x:c r="P42" s="39" t="n">
        <x:v>2945.4</x:v>
      </x:c>
      <x:c r="Q42" s="39" t="n">
        <x:v>-368.25</x:v>
      </x:c>
      <x:c r="R42" s="40" t="n">
        <x:v>-12.5</x:v>
      </x:c>
      <x:c r="S42" s="41" t="n">
        <x:v>24</x:v>
      </x:c>
      <x:c r="T42" s="36" t="str">
        <x:v>Yes</x:v>
      </x:c>
      <x:c r="U42" s="36" t="str">
        <x:v>Partially Delivered</x:v>
      </x:c>
    </x:row>
    <x:row r="43">
      <x:c r="A43" s="36" t="str">
        <x:v>PO-2025-0042</x:v>
      </x:c>
      <x:c r="B43" s="37" t="n">
        <x:v>45726</x:v>
      </x:c>
      <x:c r="C43" s="36" t="str">
        <x:v>March</x:v>
      </x:c>
      <x:c r="D43" s="36" t="str">
        <x:v>Rocky View Industrial Logistics Hub</x:v>
      </x:c>
      <x:c r="E43" s="36" t="str">
        <x:v>Calgary SE</x:v>
      </x:c>
      <x:c r="F43" s="36" t="str">
        <x:v>Sarah Bouchard</x:v>
      </x:c>
      <x:c r="G43" s="36" t="str">
        <x:v>Civil Works</x:v>
      </x:c>
      <x:c r="H43" s="36" t="str">
        <x:v>Granular Backfill</x:v>
      </x:c>
      <x:c r="I43" s="36" t="str">
        <x:v>EllisDon Civil</x:v>
      </x:c>
      <x:c r="J43" s="36" t="str">
        <x:v>3-Quote Comparison</x:v>
      </x:c>
      <x:c r="K43" s="38" t="n">
        <x:v>44</x:v>
      </x:c>
      <x:c r="L43" s="36" t="str">
        <x:v>m³</x:v>
      </x:c>
      <x:c r="M43" s="39" t="n">
        <x:v>72.99</x:v>
      </x:c>
      <x:c r="N43" s="39" t="n">
        <x:v>71.14</x:v>
      </x:c>
      <x:c r="O43" s="39" t="n">
        <x:v>3211.56</x:v>
      </x:c>
      <x:c r="P43" s="39" t="n">
        <x:v>3130.16</x:v>
      </x:c>
      <x:c r="Q43" s="39" t="n">
        <x:v>81.4</x:v>
      </x:c>
      <x:c r="R43" s="40" t="n">
        <x:v>2.6</x:v>
      </x:c>
      <x:c r="S43" s="41" t="n">
        <x:v>16</x:v>
      </x:c>
      <x:c r="T43" s="36" t="str">
        <x:v>No</x:v>
      </x:c>
      <x:c r="U43" s="36" t="str">
        <x:v>Delivered</x:v>
      </x:c>
    </x:row>
    <x:row r="44">
      <x:c r="A44" s="36" t="str">
        <x:v>PO-2025-0043</x:v>
      </x:c>
      <x:c r="B44" s="37" t="n">
        <x:v>45985</x:v>
      </x:c>
      <x:c r="C44" s="36" t="str">
        <x:v>November</x:v>
      </x:c>
      <x:c r="D44" s="36" t="str">
        <x:v>Springbank Off-Stream Reservoir</x:v>
      </x:c>
      <x:c r="E44" s="36" t="str">
        <x:v>Calgary NE</x:v>
      </x:c>
      <x:c r="F44" s="36" t="str">
        <x:v>Linda Tran</x:v>
      </x:c>
      <x:c r="G44" s="36" t="str">
        <x:v>MEP - Mechanical</x:v>
      </x:c>
      <x:c r="H44" s="36" t="str">
        <x:v>Air Handling Unit</x:v>
      </x:c>
      <x:c r="I44" s="36" t="str">
        <x:v>PCL Mechanical</x:v>
      </x:c>
      <x:c r="J44" s="36" t="str">
        <x:v>3-Quote Comparison</x:v>
      </x:c>
      <x:c r="K44" s="38" t="n">
        <x:v>73</x:v>
      </x:c>
      <x:c r="L44" s="36" t="str">
        <x:v>lot</x:v>
      </x:c>
      <x:c r="M44" s="39" t="n">
        <x:v>66527.91</x:v>
      </x:c>
      <x:c r="N44" s="39" t="n">
        <x:v>61814.1</x:v>
      </x:c>
      <x:c r="O44" s="39" t="n">
        <x:v>4856537.43</x:v>
      </x:c>
      <x:c r="P44" s="39" t="n">
        <x:v>4512429.3</x:v>
      </x:c>
      <x:c r="Q44" s="39" t="n">
        <x:v>344108.13</x:v>
      </x:c>
      <x:c r="R44" s="40" t="n">
        <x:v>7.6</x:v>
      </x:c>
      <x:c r="S44" s="41" t="n">
        <x:v>13</x:v>
      </x:c>
      <x:c r="T44" s="36" t="str">
        <x:v>Yes</x:v>
      </x:c>
      <x:c r="U44" s="36" t="str">
        <x:v>Partially Delivered</x:v>
      </x:c>
    </x:row>
    <x:row r="45">
      <x:c r="A45" s="36" t="str">
        <x:v>PO-2025-0044</x:v>
      </x:c>
      <x:c r="B45" s="37" t="n">
        <x:v>45986</x:v>
      </x:c>
      <x:c r="C45" s="36" t="str">
        <x:v>November</x:v>
      </x:c>
      <x:c r="D45" s="36" t="str">
        <x:v>Foothills Medical Centre Expansion</x:v>
      </x:c>
      <x:c r="E45" s="36" t="str">
        <x:v>Calgary NE</x:v>
      </x:c>
      <x:c r="F45" s="36" t="str">
        <x:v>Priya Sharma</x:v>
      </x:c>
      <x:c r="G45" s="36" t="str">
        <x:v>Civil Works</x:v>
      </x:c>
      <x:c r="H45" s="36" t="str">
        <x:v>Storm Drainage Pipe</x:v>
      </x:c>
      <x:c r="I45" s="36" t="str">
        <x:v>Ledcor Civil Alberta</x:v>
      </x:c>
      <x:c r="J45" s="36" t="str">
        <x:v>Emergency Procurement</x:v>
      </x:c>
      <x:c r="K45" s="38" t="n">
        <x:v>31</x:v>
      </x:c>
      <x:c r="L45" s="36" t="str">
        <x:v>m³</x:v>
      </x:c>
      <x:c r="M45" s="39" t="n">
        <x:v>82.55</x:v>
      </x:c>
      <x:c r="N45" s="39" t="n">
        <x:v>79.04</x:v>
      </x:c>
      <x:c r="O45" s="39" t="n">
        <x:v>2559.05</x:v>
      </x:c>
      <x:c r="P45" s="39" t="n">
        <x:v>2450.24</x:v>
      </x:c>
      <x:c r="Q45" s="39" t="n">
        <x:v>108.81</x:v>
      </x:c>
      <x:c r="R45" s="40" t="n">
        <x:v>4.4</x:v>
      </x:c>
      <x:c r="S45" s="41" t="n">
        <x:v>55</x:v>
      </x:c>
      <x:c r="T45" s="36" t="str">
        <x:v>Yes</x:v>
      </x:c>
      <x:c r="U45" s="36" t="str">
        <x:v>Delivered</x:v>
      </x:c>
    </x:row>
    <x:row r="46">
      <x:c r="A46" s="36" t="str">
        <x:v>PO-2025-0045</x:v>
      </x:c>
      <x:c r="B46" s="37" t="n">
        <x:v>45989</x:v>
      </x:c>
      <x:c r="C46" s="36" t="str">
        <x:v>November</x:v>
      </x:c>
      <x:c r="D46" s="36" t="str">
        <x:v>University District Residential Phase 3</x:v>
      </x:c>
      <x:c r="E46" s="36" t="str">
        <x:v>Calgary NE</x:v>
      </x:c>
      <x:c r="F46" s="36" t="str">
        <x:v>Mohammed Siddiqui</x:v>
      </x:c>
      <x:c r="G46" s="36" t="str">
        <x:v>Concrete &amp; Structural</x:v>
      </x:c>
      <x:c r="H46" s="36" t="str">
        <x:v>Rebar Steel</x:v>
      </x:c>
      <x:c r="I46" s="36" t="str">
        <x:v>Alberta Precast</x:v>
      </x:c>
      <x:c r="J46" s="36" t="str">
        <x:v>Tender – Open</x:v>
      </x:c>
      <x:c r="K46" s="38" t="n">
        <x:v>66</x:v>
      </x:c>
      <x:c r="L46" s="36" t="str">
        <x:v>m³</x:v>
      </x:c>
      <x:c r="M46" s="39" t="n">
        <x:f>ROUND(O46/K46,2)</x:f>
        <x:v>468.53</x:v>
      </x:c>
      <x:c r="N46" s="39" t="n">
        <x:v>476.95</x:v>
      </x:c>
      <x:c r="O46" s="39" t="n">
        <x:f>ROUND(P46+Q46,2)</x:f>
        <x:v>30922.98</x:v>
      </x:c>
      <x:c r="P46" s="39" t="n">
        <x:v>31478.7</x:v>
      </x:c>
      <x:c r="Q46" s="39" t="n">
        <x:v>-555.72</x:v>
      </x:c>
      <x:c r="R46" s="40" t="n">
        <x:v>-1.8</x:v>
      </x:c>
      <x:c r="S46" s="41" t="n">
        <x:v>70</x:v>
      </x:c>
      <x:c r="T46" s="36" t="str">
        <x:v>Yes</x:v>
      </x:c>
      <x:c r="U46" s="36" t="str">
        <x:v>Delivered</x:v>
      </x:c>
    </x:row>
    <x:row r="47">
      <x:c r="A47" s="36" t="str">
        <x:v>PO-2025-0046</x:v>
      </x:c>
      <x:c r="B47" s="37" t="n">
        <x:v>45984</x:v>
      </x:c>
      <x:c r="C47" s="36" t="str">
        <x:v>November</x:v>
      </x:c>
      <x:c r="D47" s="36" t="str">
        <x:v>Stampede Park Infrastructure Upgrade</x:v>
      </x:c>
      <x:c r="E47" s="36" t="str">
        <x:v>Calgary NE</x:v>
      </x:c>
      <x:c r="F47" s="36" t="str">
        <x:v>Derek McLean</x:v>
      </x:c>
      <x:c r="G47" s="36" t="str">
        <x:v>Finishing</x:v>
      </x:c>
      <x:c r="H47" s="36" t="str">
        <x:v>Waterproofing Membrane</x:v>
      </x:c>
      <x:c r="I47" s="36" t="str">
        <x:v>Centura Tile Calgary</x:v>
      </x:c>
      <x:c r="J47" s="36" t="str">
        <x:v>3-Quote Comparison</x:v>
      </x:c>
      <x:c r="K47" s="38" t="n">
        <x:v>22</x:v>
      </x:c>
      <x:c r="L47" s="36" t="str">
        <x:v>m²</x:v>
      </x:c>
      <x:c r="M47" s="39" t="n">
        <x:v>214.36</x:v>
      </x:c>
      <x:c r="N47" s="39" t="n">
        <x:v>254.05</x:v>
      </x:c>
      <x:c r="O47" s="39" t="n">
        <x:v>4715.92</x:v>
      </x:c>
      <x:c r="P47" s="39" t="n">
        <x:v>5589.1</x:v>
      </x:c>
      <x:c r="Q47" s="39" t="n">
        <x:v>-873.18</x:v>
      </x:c>
      <x:c r="R47" s="40" t="n">
        <x:v>-15.6</x:v>
      </x:c>
      <x:c r="S47" s="41" t="n">
        <x:v>73</x:v>
      </x:c>
      <x:c r="T47" s="36" t="str">
        <x:v>Yes</x:v>
      </x:c>
      <x:c r="U47" s="36" t="str">
        <x:v>Delivered</x:v>
      </x:c>
    </x:row>
    <x:row r="48">
      <x:c r="A48" s="36" t="str">
        <x:v>PO-2025-0047</x:v>
      </x:c>
      <x:c r="B48" s="37" t="n">
        <x:v>45877</x:v>
      </x:c>
      <x:c r="C48" s="36" t="str">
        <x:v>August</x:v>
      </x:c>
      <x:c r="D48" s="36" t="str">
        <x:v>Stampede Park Infrastructure Upgrade</x:v>
      </x:c>
      <x:c r="E48" s="36" t="str">
        <x:v>Rocky View County</x:v>
      </x:c>
      <x:c r="F48" s="36" t="str">
        <x:v>Mohammed Siddiqui</x:v>
      </x:c>
      <x:c r="G48" s="36" t="str">
        <x:v>MEP - Electrical</x:v>
      </x:c>
      <x:c r="H48" s="36" t="str">
        <x:v>Standby Generator</x:v>
      </x:c>
      <x:c r="I48" s="36" t="str">
        <x:v>Flint Energy Services</x:v>
      </x:c>
      <x:c r="J48" s="36" t="str">
        <x:v>Tender – Open</x:v>
      </x:c>
      <x:c r="K48" s="38" t="n">
        <x:v>62</x:v>
      </x:c>
      <x:c r="L48" s="36" t="str">
        <x:v>lot</x:v>
      </x:c>
      <x:c r="M48" s="39" t="n">
        <x:v>49051.58</x:v>
      </x:c>
      <x:c r="N48" s="39" t="n">
        <x:v>54395.38</x:v>
      </x:c>
      <x:c r="O48" s="39" t="n">
        <x:v>3041197.96</x:v>
      </x:c>
      <x:c r="P48" s="39" t="n">
        <x:v>3372513.56</x:v>
      </x:c>
      <x:c r="Q48" s="39" t="n">
        <x:v>-331315.6</x:v>
      </x:c>
      <x:c r="R48" s="40" t="n">
        <x:v>-9.8</x:v>
      </x:c>
      <x:c r="S48" s="41" t="n">
        <x:v>75</x:v>
      </x:c>
      <x:c r="T48" s="36" t="str">
        <x:v>Yes</x:v>
      </x:c>
      <x:c r="U48" s="36" t="str">
        <x:v>Cancelled</x:v>
      </x:c>
    </x:row>
    <x:row r="49">
      <x:c r="A49" s="36" t="str">
        <x:v>PO-2025-0048</x:v>
      </x:c>
      <x:c r="B49" s="37" t="n">
        <x:v>45809</x:v>
      </x:c>
      <x:c r="C49" s="36" t="str">
        <x:v>June</x:v>
      </x:c>
      <x:c r="D49" s="36" t="str">
        <x:v>Bow River Crossing Overpass</x:v>
      </x:c>
      <x:c r="E49" s="36" t="str">
        <x:v>Calgary NE</x:v>
      </x:c>
      <x:c r="F49" s="36" t="str">
        <x:v>James Okafor</x:v>
      </x:c>
      <x:c r="G49" s="36" t="str">
        <x:v>MEP - Mechanical</x:v>
      </x:c>
      <x:c r="H49" s="36" t="str">
        <x:v>Insulated Pipework</x:v>
      </x:c>
      <x:c r="I49" s="36" t="str">
        <x:v>Johnson Controls Alberta</x:v>
      </x:c>
      <x:c r="J49" s="36" t="str">
        <x:v>Standing Offer Agreement</x:v>
      </x:c>
      <x:c r="K49" s="38" t="n">
        <x:v>50</x:v>
      </x:c>
      <x:c r="L49" s="36" t="str">
        <x:v>lot</x:v>
      </x:c>
      <x:c r="M49" s="39" t="n">
        <x:v>75304.62</x:v>
      </x:c>
      <x:c r="N49" s="39" t="n">
        <x:v>66272.64</x:v>
      </x:c>
      <x:c r="O49" s="39" t="n">
        <x:v>3765231</x:v>
      </x:c>
      <x:c r="P49" s="39" t="n">
        <x:v>3313632</x:v>
      </x:c>
      <x:c r="Q49" s="39" t="n">
        <x:v>451599</x:v>
      </x:c>
      <x:c r="R49" s="40" t="n">
        <x:v>13.6</x:v>
      </x:c>
      <x:c r="S49" s="41" t="n">
        <x:v>44</x:v>
      </x:c>
      <x:c r="T49" s="36" t="str">
        <x:v>Yes</x:v>
      </x:c>
      <x:c r="U49" s="36" t="str">
        <x:v>Delivered</x:v>
      </x:c>
    </x:row>
    <x:row r="50">
      <x:c r="A50" s="36" t="str">
        <x:v>PO-2025-0049</x:v>
      </x:c>
      <x:c r="B50" s="37" t="n">
        <x:v>45955</x:v>
      </x:c>
      <x:c r="C50" s="36" t="str">
        <x:v>October</x:v>
      </x:c>
      <x:c r="D50" s="36" t="str">
        <x:v>Rocky View Industrial Logistics Hub</x:v>
      </x:c>
      <x:c r="E50" s="36" t="str">
        <x:v>Calgary NE</x:v>
      </x:c>
      <x:c r="F50" s="36" t="str">
        <x:v>Mohammed Siddiqui</x:v>
      </x:c>
      <x:c r="G50" s="36" t="str">
        <x:v>MEP - Mechanical</x:v>
      </x:c>
      <x:c r="H50" s="36" t="str">
        <x:v>Heat Pump Assembly</x:v>
      </x:c>
      <x:c r="I50" s="36" t="str">
        <x:v>Stantec MEP</x:v>
      </x:c>
      <x:c r="J50" s="36" t="str">
        <x:v>3-Quote Comparison</x:v>
      </x:c>
      <x:c r="K50" s="38" t="n">
        <x:v>13</x:v>
      </x:c>
      <x:c r="L50" s="36" t="str">
        <x:v>lot</x:v>
      </x:c>
      <x:c r="M50" s="39" t="n">
        <x:v>9702.64</x:v>
      </x:c>
      <x:c r="N50" s="39" t="n">
        <x:v>11799.99</x:v>
      </x:c>
      <x:c r="O50" s="39" t="n">
        <x:v>126134.32</x:v>
      </x:c>
      <x:c r="P50" s="39" t="n">
        <x:v>153399.87</x:v>
      </x:c>
      <x:c r="Q50" s="39" t="n">
        <x:v>-27265.55</x:v>
      </x:c>
      <x:c r="R50" s="40" t="n">
        <x:v>-17.8</x:v>
      </x:c>
      <x:c r="S50" s="41" t="n">
        <x:v>63</x:v>
      </x:c>
      <x:c r="T50" s="36" t="str">
        <x:v>No</x:v>
      </x:c>
      <x:c r="U50" s="36" t="str">
        <x:v>Delivered</x:v>
      </x:c>
    </x:row>
    <x:row r="51">
      <x:c r="A51" s="36" t="str">
        <x:v>PO-2025-0050</x:v>
      </x:c>
      <x:c r="B51" s="37" t="n">
        <x:v>45967</x:v>
      </x:c>
      <x:c r="C51" s="36" t="str">
        <x:v>November</x:v>
      </x:c>
      <x:c r="D51" s="36" t="str">
        <x:v>Calgary SE Ring Road Extension</x:v>
      </x:c>
      <x:c r="E51" s="36" t="str">
        <x:v>Calgary NE</x:v>
      </x:c>
      <x:c r="F51" s="36" t="str">
        <x:v>Priya Sharma</x:v>
      </x:c>
      <x:c r="G51" s="36" t="str">
        <x:v>Finishing</x:v>
      </x:c>
      <x:c r="H51" s="36" t="str">
        <x:v>Exterior Cladding Panel</x:v>
      </x:c>
      <x:c r="I51" s="36" t="str">
        <x:v>Dryvit Systems Canada</x:v>
      </x:c>
      <x:c r="J51" s="36" t="str">
        <x:v>3-Quote Comparison</x:v>
      </x:c>
      <x:c r="K51" s="38" t="n">
        <x:v>46</x:v>
      </x:c>
      <x:c r="L51" s="36" t="str">
        <x:v>m²</x:v>
      </x:c>
      <x:c r="M51" s="39" t="n">
        <x:v>404.45</x:v>
      </x:c>
      <x:c r="N51" s="39" t="n">
        <x:v>428.99</x:v>
      </x:c>
      <x:c r="O51" s="39" t="n">
        <x:v>18604.7</x:v>
      </x:c>
      <x:c r="P51" s="39" t="n">
        <x:v>19733.54</x:v>
      </x:c>
      <x:c r="Q51" s="39" t="n">
        <x:v>-1128.84</x:v>
      </x:c>
      <x:c r="R51" s="40" t="n">
        <x:v>-5.7</x:v>
      </x:c>
      <x:c r="S51" s="41" t="n">
        <x:v>19</x:v>
      </x:c>
      <x:c r="T51" s="36" t="str">
        <x:v>Yes</x:v>
      </x:c>
      <x:c r="U51" s="36" t="str">
        <x:v>Delivered</x:v>
      </x:c>
    </x:row>
    <x:row r="52">
      <x:c r="A52" s="36" t="str">
        <x:v>PO-2025-0051</x:v>
      </x:c>
      <x:c r="B52" s="37" t="n">
        <x:v>45871</x:v>
      </x:c>
      <x:c r="C52" s="36" t="str">
        <x:v>August</x:v>
      </x:c>
      <x:c r="D52" s="36" t="str">
        <x:v>Stampede Park Infrastructure Upgrade</x:v>
      </x:c>
      <x:c r="E52" s="36" t="str">
        <x:v>Calgary SE</x:v>
      </x:c>
      <x:c r="F52" s="36" t="str">
        <x:v>Linda Tran</x:v>
      </x:c>
      <x:c r="G52" s="36" t="str">
        <x:v>Safety &amp; Temp Works</x:v>
      </x:c>
      <x:c r="H52" s="36" t="str">
        <x:v>Site Office Trailer</x:v>
      </x:c>
      <x:c r="I52" s="36" t="str">
        <x:v>Sunbelt Rentals Canada</x:v>
      </x:c>
      <x:c r="J52" s="36" t="str">
        <x:v>Emergency Procurement</x:v>
      </x:c>
      <x:c r="K52" s="38" t="n">
        <x:v>18</x:v>
      </x:c>
      <x:c r="L52" s="36" t="str">
        <x:v>lot</x:v>
      </x:c>
      <x:c r="M52" s="39" t="n">
        <x:v>16469.02</x:v>
      </x:c>
      <x:c r="N52" s="39" t="n">
        <x:v>20125.16</x:v>
      </x:c>
      <x:c r="O52" s="39" t="n">
        <x:v>296442.36</x:v>
      </x:c>
      <x:c r="P52" s="39" t="n">
        <x:v>362252.88</x:v>
      </x:c>
      <x:c r="Q52" s="39" t="n">
        <x:v>-65810.52</x:v>
      </x:c>
      <x:c r="R52" s="40" t="n">
        <x:v>-18.2</x:v>
      </x:c>
      <x:c r="S52" s="41" t="n">
        <x:v>20</x:v>
      </x:c>
      <x:c r="T52" s="36" t="str">
        <x:v>No</x:v>
      </x:c>
      <x:c r="U52" s="36" t="str">
        <x:v>Delivered</x:v>
      </x:c>
    </x:row>
    <x:row r="53">
      <x:c r="A53" s="36" t="str">
        <x:v>PO-2025-0052</x:v>
      </x:c>
      <x:c r="B53" s="37" t="n">
        <x:v>45915</x:v>
      </x:c>
      <x:c r="C53" s="36" t="str">
        <x:v>September</x:v>
      </x:c>
      <x:c r="D53" s="36" t="str">
        <x:v>Quarry Park Mixed-Use Development</x:v>
      </x:c>
      <x:c r="E53" s="36" t="str">
        <x:v>Calgary SE</x:v>
      </x:c>
      <x:c r="F53" s="36" t="str">
        <x:v>Mohammed Siddiqui</x:v>
      </x:c>
      <x:c r="G53" s="36" t="str">
        <x:v>MEP - Electrical</x:v>
      </x:c>
      <x:c r="H53" s="36" t="str">
        <x:v>LED Site Lighting</x:v>
      </x:c>
      <x:c r="I53" s="36" t="str">
        <x:v>Houle Electric</x:v>
      </x:c>
      <x:c r="J53" s="36" t="str">
        <x:v>3-Quote Comparison</x:v>
      </x:c>
      <x:c r="K53" s="38" t="n">
        <x:v>32</x:v>
      </x:c>
      <x:c r="L53" s="36" t="str">
        <x:v>lot</x:v>
      </x:c>
      <x:c r="M53" s="39" t="n">
        <x:v>19351.91</x:v>
      </x:c>
      <x:c r="N53" s="39" t="n">
        <x:v>20335.31</x:v>
      </x:c>
      <x:c r="O53" s="39" t="n">
        <x:v>619261.12</x:v>
      </x:c>
      <x:c r="P53" s="39" t="n">
        <x:v>650729.92</x:v>
      </x:c>
      <x:c r="Q53" s="39" t="n">
        <x:v>-31468.8</x:v>
      </x:c>
      <x:c r="R53" s="40" t="n">
        <x:v>-4.8</x:v>
      </x:c>
      <x:c r="S53" s="41" t="n">
        <x:v>29</x:v>
      </x:c>
      <x:c r="T53" s="36" t="str">
        <x:v>Yes</x:v>
      </x:c>
      <x:c r="U53" s="36" t="str">
        <x:v>Delivered</x:v>
      </x:c>
    </x:row>
    <x:row r="54">
      <x:c r="A54" s="36" t="str">
        <x:v>PO-2025-0053</x:v>
      </x:c>
      <x:c r="B54" s="37" t="n">
        <x:v>45979</x:v>
      </x:c>
      <x:c r="C54" s="36" t="str">
        <x:v>November</x:v>
      </x:c>
      <x:c r="D54" s="36" t="str">
        <x:v>Bow River Crossing Overpass</x:v>
      </x:c>
      <x:c r="E54" s="36" t="str">
        <x:v>Calgary NE</x:v>
      </x:c>
      <x:c r="F54" s="36" t="str">
        <x:v>Liam Kowalski</x:v>
      </x:c>
      <x:c r="G54" s="36" t="str">
        <x:v>MEP - Electrical</x:v>
      </x:c>
      <x:c r="H54" s="36" t="str">
        <x:v>LED Site Lighting</x:v>
      </x:c>
      <x:c r="I54" s="36" t="str">
        <x:v>Flint Energy Services</x:v>
      </x:c>
      <x:c r="J54" s="36" t="str">
        <x:v>Emergency Procurement</x:v>
      </x:c>
      <x:c r="K54" s="38" t="n">
        <x:v>29</x:v>
      </x:c>
      <x:c r="L54" s="36" t="str">
        <x:v>lot</x:v>
      </x:c>
      <x:c r="M54" s="39" t="n">
        <x:v>6117.54</x:v>
      </x:c>
      <x:c r="N54" s="39" t="n">
        <x:v>6520.24</x:v>
      </x:c>
      <x:c r="O54" s="39" t="n">
        <x:v>177408.66</x:v>
      </x:c>
      <x:c r="P54" s="39" t="n">
        <x:v>189086.96</x:v>
      </x:c>
      <x:c r="Q54" s="39" t="n">
        <x:v>-11678.3</x:v>
      </x:c>
      <x:c r="R54" s="40" t="n">
        <x:v>-6.2</x:v>
      </x:c>
      <x:c r="S54" s="41" t="n">
        <x:v>13</x:v>
      </x:c>
      <x:c r="T54" s="36" t="str">
        <x:v>Yes</x:v>
      </x:c>
      <x:c r="U54" s="36" t="str">
        <x:v>Cancelled</x:v>
      </x:c>
    </x:row>
    <x:row r="55">
      <x:c r="A55" s="36" t="str">
        <x:v>PO-2025-0054</x:v>
      </x:c>
      <x:c r="B55" s="37" t="n">
        <x:v>45740</x:v>
      </x:c>
      <x:c r="C55" s="36" t="str">
        <x:v>March</x:v>
      </x:c>
      <x:c r="D55" s="36" t="str">
        <x:v>Deerfoot Trail Widening - North</x:v>
      </x:c>
      <x:c r="E55" s="36" t="str">
        <x:v>Calgary SW</x:v>
      </x:c>
      <x:c r="F55" s="36" t="str">
        <x:v>Aisha Nkosi</x:v>
      </x:c>
      <x:c r="G55" s="36" t="str">
        <x:v>Safety &amp; Temp Works</x:v>
      </x:c>
      <x:c r="H55" s="36" t="str">
        <x:v>Fall Protection Netting</x:v>
      </x:c>
      <x:c r="I55" s="36" t="str">
        <x:v>Sunbelt Rentals Canada</x:v>
      </x:c>
      <x:c r="J55" s="36" t="str">
        <x:v>Tender – Open</x:v>
      </x:c>
      <x:c r="K55" s="38" t="n">
        <x:v>44</x:v>
      </x:c>
      <x:c r="L55" s="36" t="str">
        <x:v>lot</x:v>
      </x:c>
      <x:c r="M55" s="39" t="n">
        <x:v>4923.08</x:v>
      </x:c>
      <x:c r="N55" s="39" t="n">
        <x:v>5158.77</x:v>
      </x:c>
      <x:c r="O55" s="39" t="n">
        <x:v>216615.52</x:v>
      </x:c>
      <x:c r="P55" s="39" t="n">
        <x:v>226985.88</x:v>
      </x:c>
      <x:c r="Q55" s="39" t="n">
        <x:v>-10370.36</x:v>
      </x:c>
      <x:c r="R55" s="40" t="n">
        <x:v>-4.6</x:v>
      </x:c>
      <x:c r="S55" s="41" t="n">
        <x:v>21</x:v>
      </x:c>
      <x:c r="T55" s="36" t="str">
        <x:v>Yes</x:v>
      </x:c>
      <x:c r="U55" s="36" t="str">
        <x:v>Delivered</x:v>
      </x:c>
    </x:row>
    <x:row r="56">
      <x:c r="A56" s="36" t="str">
        <x:v>PO-2025-0055</x:v>
      </x:c>
      <x:c r="B56" s="37" t="n">
        <x:v>45719</x:v>
      </x:c>
      <x:c r="C56" s="36" t="str">
        <x:v>March</x:v>
      </x:c>
      <x:c r="D56" s="36" t="str">
        <x:v>Stampede Park Infrastructure Upgrade</x:v>
      </x:c>
      <x:c r="E56" s="36" t="str">
        <x:v>Calgary SW</x:v>
      </x:c>
      <x:c r="F56" s="36" t="str">
        <x:v>Derek McLean</x:v>
      </x:c>
      <x:c r="G56" s="36" t="str">
        <x:v>Civil Works</x:v>
      </x:c>
      <x:c r="H56" s="36" t="str">
        <x:v>Curb &amp; Gutter Concrete</x:v>
      </x:c>
      <x:c r="I56" s="36" t="str">
        <x:v>Kiewit Infrastructure</x:v>
      </x:c>
      <x:c r="J56" s="36" t="str">
        <x:v>3-Quote Comparison</x:v>
      </x:c>
      <x:c r="K56" s="38" t="n">
        <x:v>84</x:v>
      </x:c>
      <x:c r="L56" s="36" t="str">
        <x:v>m³</x:v>
      </x:c>
      <x:c r="M56" s="39" t="n">
        <x:v>149.08</x:v>
      </x:c>
      <x:c r="N56" s="39" t="n">
        <x:v>175.59</x:v>
      </x:c>
      <x:c r="O56" s="39" t="n">
        <x:v>12522.72</x:v>
      </x:c>
      <x:c r="P56" s="39" t="n">
        <x:v>14749.56</x:v>
      </x:c>
      <x:c r="Q56" s="39" t="n">
        <x:v>-2226.84</x:v>
      </x:c>
      <x:c r="R56" s="40" t="n">
        <x:v>-15.1</x:v>
      </x:c>
      <x:c r="S56" s="41" t="n">
        <x:v>80</x:v>
      </x:c>
      <x:c r="T56" s="36" t="str">
        <x:v>Yes</x:v>
      </x:c>
      <x:c r="U56" s="36" t="str">
        <x:v>Pending</x:v>
      </x:c>
    </x:row>
    <x:row r="57">
      <x:c r="A57" s="36" t="str">
        <x:v>PO-2025-0056</x:v>
      </x:c>
      <x:c r="B57" s="37" t="n">
        <x:v>45752</x:v>
      </x:c>
      <x:c r="C57" s="36" t="str">
        <x:v>April</x:v>
      </x:c>
      <x:c r="D57" s="36" t="str">
        <x:v>University District Residential Phase 3</x:v>
      </x:c>
      <x:c r="E57" s="36" t="str">
        <x:v>Calgary SE</x:v>
      </x:c>
      <x:c r="F57" s="36" t="str">
        <x:v>Linda Tran</x:v>
      </x:c>
      <x:c r="G57" s="36" t="str">
        <x:v>Finishing</x:v>
      </x:c>
      <x:c r="H57" s="36" t="str">
        <x:v>Ceramic Floor Tile</x:v>
      </x:c>
      <x:c r="I57" s="36" t="str">
        <x:v>Dryvit Systems Canada</x:v>
      </x:c>
      <x:c r="J57" s="36" t="str">
        <x:v>LPO – Direct Award</x:v>
      </x:c>
      <x:c r="K57" s="38" t="n">
        <x:v>56</x:v>
      </x:c>
      <x:c r="L57" s="36" t="str">
        <x:v>m²</x:v>
      </x:c>
      <x:c r="M57" s="39" t="n">
        <x:v>277.45</x:v>
      </x:c>
      <x:c r="N57" s="39" t="n">
        <x:v>298.09</x:v>
      </x:c>
      <x:c r="O57" s="39" t="n">
        <x:v>15537.2</x:v>
      </x:c>
      <x:c r="P57" s="39" t="n">
        <x:v>16693.04</x:v>
      </x:c>
      <x:c r="Q57" s="39" t="n">
        <x:v>-1155.84</x:v>
      </x:c>
      <x:c r="R57" s="40" t="n">
        <x:v>-6.9</x:v>
      </x:c>
      <x:c r="S57" s="41" t="n">
        <x:v>66</x:v>
      </x:c>
      <x:c r="T57" s="36" t="str">
        <x:v>Yes</x:v>
      </x:c>
      <x:c r="U57" s="36" t="str">
        <x:v>Partially Delivered</x:v>
      </x:c>
    </x:row>
    <x:row r="58">
      <x:c r="A58" s="36" t="str">
        <x:v>PO-2025-0057</x:v>
      </x:c>
      <x:c r="B58" s="37" t="n">
        <x:v>45811</x:v>
      </x:c>
      <x:c r="C58" s="36" t="str">
        <x:v>June</x:v>
      </x:c>
      <x:c r="D58" s="36" t="str">
        <x:v>Bow River Crossing Overpass</x:v>
      </x:c>
      <x:c r="E58" s="36" t="str">
        <x:v>Calgary NE</x:v>
      </x:c>
      <x:c r="F58" s="36" t="str">
        <x:v>Mohammed Siddiqui</x:v>
      </x:c>
      <x:c r="G58" s="36" t="str">
        <x:v>MEP - Electrical</x:v>
      </x:c>
      <x:c r="H58" s="36" t="str">
        <x:v>LV Switchgear Panel</x:v>
      </x:c>
      <x:c r="I58" s="36" t="str">
        <x:v>Schneider Electric Canada</x:v>
      </x:c>
      <x:c r="J58" s="36" t="str">
        <x:v>Standing Offer Agreement</x:v>
      </x:c>
      <x:c r="K58" s="38" t="n">
        <x:v>89</x:v>
      </x:c>
      <x:c r="L58" s="36" t="str">
        <x:v>lot</x:v>
      </x:c>
      <x:c r="M58" s="39" t="n">
        <x:v>66019.75</x:v>
      </x:c>
      <x:c r="N58" s="39" t="n">
        <x:v>65004.42</x:v>
      </x:c>
      <x:c r="O58" s="39" t="n">
        <x:v>5875757.75</x:v>
      </x:c>
      <x:c r="P58" s="39" t="n">
        <x:v>5785393.38</x:v>
      </x:c>
      <x:c r="Q58" s="39" t="n">
        <x:v>90364.37</x:v>
      </x:c>
      <x:c r="R58" s="40" t="n">
        <x:v>1.6</x:v>
      </x:c>
      <x:c r="S58" s="41" t="n">
        <x:v>22</x:v>
      </x:c>
      <x:c r="T58" s="36" t="str">
        <x:v>No</x:v>
      </x:c>
      <x:c r="U58" s="36" t="str">
        <x:v>Cancelled</x:v>
      </x:c>
    </x:row>
    <x:row r="59">
      <x:c r="A59" s="36" t="str">
        <x:v>PO-2025-0058</x:v>
      </x:c>
      <x:c r="B59" s="37" t="n">
        <x:v>45825</x:v>
      </x:c>
      <x:c r="C59" s="36" t="str">
        <x:v>June</x:v>
      </x:c>
      <x:c r="D59" s="36" t="str">
        <x:v>Rocky View Industrial Logistics Hub</x:v>
      </x:c>
      <x:c r="E59" s="36" t="str">
        <x:v>Calgary NE</x:v>
      </x:c>
      <x:c r="F59" s="36" t="str">
        <x:v>Aisha Nkosi</x:v>
      </x:c>
      <x:c r="G59" s="36" t="str">
        <x:v>MEP - Electrical</x:v>
      </x:c>
      <x:c r="H59" s="36" t="str">
        <x:v>Grounding System</x:v>
      </x:c>
      <x:c r="I59" s="36" t="str">
        <x:v>Stuart Olson Electrical</x:v>
      </x:c>
      <x:c r="J59" s="36" t="str">
        <x:v>Emergency Procurement</x:v>
      </x:c>
      <x:c r="K59" s="38" t="n">
        <x:v>40</x:v>
      </x:c>
      <x:c r="L59" s="36" t="str">
        <x:v>lot</x:v>
      </x:c>
      <x:c r="M59" s="39" t="n">
        <x:v>72825.91</x:v>
      </x:c>
      <x:c r="N59" s="39" t="n">
        <x:v>75312.54</x:v>
      </x:c>
      <x:c r="O59" s="39" t="n">
        <x:v>2913036.4</x:v>
      </x:c>
      <x:c r="P59" s="39" t="n">
        <x:v>3012501.6</x:v>
      </x:c>
      <x:c r="Q59" s="39" t="n">
        <x:v>-99465.2</x:v>
      </x:c>
      <x:c r="R59" s="40" t="n">
        <x:v>-3.3</x:v>
      </x:c>
      <x:c r="S59" s="41" t="n">
        <x:v>32</x:v>
      </x:c>
      <x:c r="T59" s="36" t="str">
        <x:v>Yes</x:v>
      </x:c>
      <x:c r="U59" s="36" t="str">
        <x:v>Cancelled</x:v>
      </x:c>
    </x:row>
    <x:row r="60">
      <x:c r="A60" s="36" t="str">
        <x:v>PO-2025-0059</x:v>
      </x:c>
      <x:c r="B60" s="37" t="n">
        <x:v>45922</x:v>
      </x:c>
      <x:c r="C60" s="36" t="str">
        <x:v>September</x:v>
      </x:c>
      <x:c r="D60" s="36" t="str">
        <x:v>Foothills Medical Centre Expansion</x:v>
      </x:c>
      <x:c r="E60" s="36" t="str">
        <x:v>Calgary NE</x:v>
      </x:c>
      <x:c r="F60" s="36" t="str">
        <x:v>Linda Tran</x:v>
      </x:c>
      <x:c r="G60" s="36" t="str">
        <x:v>MEP - Electrical</x:v>
      </x:c>
      <x:c r="H60" s="36" t="str">
        <x:v>LED Site Lighting</x:v>
      </x:c>
      <x:c r="I60" s="36" t="str">
        <x:v>Schneider Electric Canada</x:v>
      </x:c>
      <x:c r="J60" s="36" t="str">
        <x:v>Standing Offer Agreement</x:v>
      </x:c>
      <x:c r="K60" s="38" t="n">
        <x:v>102</x:v>
      </x:c>
      <x:c r="L60" s="36" t="str">
        <x:v>lot</x:v>
      </x:c>
      <x:c r="M60" s="39" t="n">
        <x:v>53795.32</x:v>
      </x:c>
      <x:c r="N60" s="39" t="n">
        <x:v>50249.4</x:v>
      </x:c>
      <x:c r="O60" s="39" t="n">
        <x:v>5487122.64</x:v>
      </x:c>
      <x:c r="P60" s="39" t="n">
        <x:v>5125438.8</x:v>
      </x:c>
      <x:c r="Q60" s="39" t="n">
        <x:v>361683.84</x:v>
      </x:c>
      <x:c r="R60" s="40" t="n">
        <x:v>7.1</x:v>
      </x:c>
      <x:c r="S60" s="41" t="n">
        <x:v>76</x:v>
      </x:c>
      <x:c r="T60" s="36" t="str">
        <x:v>Yes</x:v>
      </x:c>
      <x:c r="U60" s="36" t="str">
        <x:v>Partially Delivered</x:v>
      </x:c>
    </x:row>
    <x:row r="61">
      <x:c r="A61" s="36" t="str">
        <x:v>PO-2025-0060</x:v>
      </x:c>
      <x:c r="B61" s="37" t="n">
        <x:v>45934</x:v>
      </x:c>
      <x:c r="C61" s="36" t="str">
        <x:v>October</x:v>
      </x:c>
      <x:c r="D61" s="36" t="str">
        <x:v>Saddledome Arena Retrofit</x:v>
      </x:c>
      <x:c r="E61" s="36" t="str">
        <x:v>Calgary SW</x:v>
      </x:c>
      <x:c r="F61" s="36" t="str">
        <x:v>Mohammed Siddiqui</x:v>
      </x:c>
      <x:c r="G61" s="36" t="str">
        <x:v>MEP - Mechanical</x:v>
      </x:c>
      <x:c r="H61" s="36" t="str">
        <x:v>HVAC Rooftop Unit</x:v>
      </x:c>
      <x:c r="I61" s="36" t="str">
        <x:v>Stantec MEP</x:v>
      </x:c>
      <x:c r="J61" s="36" t="str">
        <x:v>LPO – Direct Award</x:v>
      </x:c>
      <x:c r="K61" s="38" t="n">
        <x:v>8</x:v>
      </x:c>
      <x:c r="L61" s="36" t="str">
        <x:v>lot</x:v>
      </x:c>
      <x:c r="M61" s="39" t="n">
        <x:v>25964.71</x:v>
      </x:c>
      <x:c r="N61" s="39" t="n">
        <x:v>27698.57</x:v>
      </x:c>
      <x:c r="O61" s="39" t="n">
        <x:v>207717.68</x:v>
      </x:c>
      <x:c r="P61" s="39" t="n">
        <x:v>221588.56</x:v>
      </x:c>
      <x:c r="Q61" s="39" t="n">
        <x:v>-13870.88</x:v>
      </x:c>
      <x:c r="R61" s="40" t="n">
        <x:v>-6.3</x:v>
      </x:c>
      <x:c r="S61" s="41" t="n">
        <x:v>76</x:v>
      </x:c>
      <x:c r="T61" s="36" t="str">
        <x:v>Yes</x:v>
      </x:c>
      <x:c r="U61" s="36" t="str">
        <x:v>Delivered</x:v>
      </x:c>
    </x:row>
    <x:row r="62">
      <x:c r="A62" s="36" t="str">
        <x:v>PO-2025-0061</x:v>
      </x:c>
      <x:c r="B62" s="37" t="n">
        <x:v>45991</x:v>
      </x:c>
      <x:c r="C62" s="36" t="str">
        <x:v>November</x:v>
      </x:c>
      <x:c r="D62" s="36" t="str">
        <x:v>University District Residential Phase 3</x:v>
      </x:c>
      <x:c r="E62" s="36" t="str">
        <x:v>Calgary NE</x:v>
      </x:c>
      <x:c r="F62" s="36" t="str">
        <x:v>Priya Sharma</x:v>
      </x:c>
      <x:c r="G62" s="36" t="str">
        <x:v>Finishing</x:v>
      </x:c>
      <x:c r="H62" s="36" t="str">
        <x:v>Waterproofing Membrane</x:v>
      </x:c>
      <x:c r="I62" s="36" t="str">
        <x:v>Tremco Roofing</x:v>
      </x:c>
      <x:c r="J62" s="36" t="str">
        <x:v>Tender – Open</x:v>
      </x:c>
      <x:c r="K62" s="38" t="n">
        <x:v>95</x:v>
      </x:c>
      <x:c r="L62" s="36" t="str">
        <x:v>m²</x:v>
      </x:c>
      <x:c r="M62" s="39" t="n">
        <x:v>92.67</x:v>
      </x:c>
      <x:c r="N62" s="39" t="n">
        <x:v>83.41</x:v>
      </x:c>
      <x:c r="O62" s="39" t="n">
        <x:v>8803.65</x:v>
      </x:c>
      <x:c r="P62" s="39" t="n">
        <x:v>7923.95</x:v>
      </x:c>
      <x:c r="Q62" s="39" t="n">
        <x:v>879.7</x:v>
      </x:c>
      <x:c r="R62" s="40" t="n">
        <x:v>11.1</x:v>
      </x:c>
      <x:c r="S62" s="41" t="n">
        <x:v>44</x:v>
      </x:c>
      <x:c r="T62" s="36" t="str">
        <x:v>No</x:v>
      </x:c>
      <x:c r="U62" s="36" t="str">
        <x:v>Cancelled</x:v>
      </x:c>
    </x:row>
    <x:row r="63">
      <x:c r="A63" s="36" t="str">
        <x:v>PO-2025-0062</x:v>
      </x:c>
      <x:c r="B63" s="37" t="n">
        <x:v>45992</x:v>
      </x:c>
      <x:c r="C63" s="36" t="str">
        <x:v>December</x:v>
      </x:c>
      <x:c r="D63" s="36" t="str">
        <x:v>Saddledome Arena Retrofit</x:v>
      </x:c>
      <x:c r="E63" s="36" t="str">
        <x:v>Calgary NE</x:v>
      </x:c>
      <x:c r="F63" s="36" t="str">
        <x:v>Sarah Bouchard</x:v>
      </x:c>
      <x:c r="G63" s="36" t="str">
        <x:v>Safety &amp; Temp Works</x:v>
      </x:c>
      <x:c r="H63" s="36" t="str">
        <x:v>PPE Bulk Supply</x:v>
      </x:c>
      <x:c r="I63" s="36" t="str">
        <x:v>Safway Alberta</x:v>
      </x:c>
      <x:c r="J63" s="36" t="str">
        <x:v>Standing Offer Agreement</x:v>
      </x:c>
      <x:c r="K63" s="38" t="n">
        <x:v>67</x:v>
      </x:c>
      <x:c r="L63" s="36" t="str">
        <x:v>lot</x:v>
      </x:c>
      <x:c r="M63" s="39" t="n">
        <x:v>15518.24</x:v>
      </x:c>
      <x:c r="N63" s="39" t="n">
        <x:v>15339.84</x:v>
      </x:c>
      <x:c r="O63" s="39" t="n">
        <x:v>1039722.08</x:v>
      </x:c>
      <x:c r="P63" s="39" t="n">
        <x:v>1027769.28</x:v>
      </x:c>
      <x:c r="Q63" s="39" t="n">
        <x:v>11952.8</x:v>
      </x:c>
      <x:c r="R63" s="40" t="n">
        <x:v>1.2</x:v>
      </x:c>
      <x:c r="S63" s="41" t="n">
        <x:v>62</x:v>
      </x:c>
      <x:c r="T63" s="36" t="str">
        <x:v>Yes</x:v>
      </x:c>
      <x:c r="U63" s="36" t="str">
        <x:v>Delivered</x:v>
      </x:c>
    </x:row>
    <x:row r="64">
      <x:c r="A64" s="36" t="str">
        <x:v>PO-2025-0063</x:v>
      </x:c>
      <x:c r="B64" s="37" t="n">
        <x:v>45828</x:v>
      </x:c>
      <x:c r="C64" s="36" t="str">
        <x:v>June</x:v>
      </x:c>
      <x:c r="D64" s="36" t="str">
        <x:v>Saddledome Arena Retrofit</x:v>
      </x:c>
      <x:c r="E64" s="36" t="str">
        <x:v>Rocky View County</x:v>
      </x:c>
      <x:c r="F64" s="36" t="str">
        <x:v>Liam Kowalski</x:v>
      </x:c>
      <x:c r="G64" s="36" t="str">
        <x:v>Civil Works</x:v>
      </x:c>
      <x:c r="H64" s="36" t="str">
        <x:v>Storm Drainage Pipe</x:v>
      </x:c>
      <x:c r="I64" s="36" t="str">
        <x:v>Ledcor Civil Alberta</x:v>
      </x:c>
      <x:c r="J64" s="36" t="str">
        <x:v>Standing Offer Agreement</x:v>
      </x:c>
      <x:c r="K64" s="38" t="n">
        <x:v>86</x:v>
      </x:c>
      <x:c r="L64" s="36" t="str">
        <x:v>m³</x:v>
      </x:c>
      <x:c r="M64" s="39" t="n">
        <x:v>248.05</x:v>
      </x:c>
      <x:c r="N64" s="39" t="n">
        <x:v>246.23</x:v>
      </x:c>
      <x:c r="O64" s="39" t="n">
        <x:v>21332.3</x:v>
      </x:c>
      <x:c r="P64" s="39" t="n">
        <x:v>21175.78</x:v>
      </x:c>
      <x:c r="Q64" s="39" t="n">
        <x:v>156.52</x:v>
      </x:c>
      <x:c r="R64" s="40" t="n">
        <x:v>0.7</x:v>
      </x:c>
      <x:c r="S64" s="41" t="n">
        <x:v>4</x:v>
      </x:c>
      <x:c r="T64" s="36" t="str">
        <x:v>Yes</x:v>
      </x:c>
      <x:c r="U64" s="36" t="str">
        <x:v>Delivered</x:v>
      </x:c>
    </x:row>
    <x:row r="65">
      <x:c r="A65" s="36" t="str">
        <x:v>PO-2025-0064</x:v>
      </x:c>
      <x:c r="B65" s="37" t="n">
        <x:v>45895</x:v>
      </x:c>
      <x:c r="C65" s="36" t="str">
        <x:v>August</x:v>
      </x:c>
      <x:c r="D65" s="36" t="str">
        <x:v>Deerfoot Trail Widening - North</x:v>
      </x:c>
      <x:c r="E65" s="36" t="str">
        <x:v>Calgary NE</x:v>
      </x:c>
      <x:c r="F65" s="36" t="str">
        <x:v>Priya Sharma</x:v>
      </x:c>
      <x:c r="G65" s="36" t="str">
        <x:v>Finishing</x:v>
      </x:c>
      <x:c r="H65" s="36" t="str">
        <x:v>Acoustic Ceiling Grid</x:v>
      </x:c>
      <x:c r="I65" s="36" t="str">
        <x:v>Centura Tile Calgary</x:v>
      </x:c>
      <x:c r="J65" s="36" t="str">
        <x:v>Standing Offer Agreement</x:v>
      </x:c>
      <x:c r="K65" s="38" t="n">
        <x:v>118</x:v>
      </x:c>
      <x:c r="L65" s="36" t="str">
        <x:v>m²</x:v>
      </x:c>
      <x:c r="M65" s="39" t="n">
        <x:v>429.42</x:v>
      </x:c>
      <x:c r="N65" s="39" t="n">
        <x:v>393.16</x:v>
      </x:c>
      <x:c r="O65" s="39" t="n">
        <x:v>50671.56</x:v>
      </x:c>
      <x:c r="P65" s="39" t="n">
        <x:v>46392.88</x:v>
      </x:c>
      <x:c r="Q65" s="39" t="n">
        <x:v>4278.68</x:v>
      </x:c>
      <x:c r="R65" s="40" t="n">
        <x:v>9.2</x:v>
      </x:c>
      <x:c r="S65" s="41" t="n">
        <x:v>24</x:v>
      </x:c>
      <x:c r="T65" s="36" t="str">
        <x:v>Yes</x:v>
      </x:c>
      <x:c r="U65" s="36" t="str">
        <x:v>Partially Delivered</x:v>
      </x:c>
    </x:row>
    <x:row r="66">
      <x:c r="A66" s="36" t="str">
        <x:v>PO-2025-0065</x:v>
      </x:c>
      <x:c r="B66" s="37" t="n">
        <x:v>45743</x:v>
      </x:c>
      <x:c r="C66" s="36" t="str">
        <x:v>March</x:v>
      </x:c>
      <x:c r="D66" s="36" t="str">
        <x:v>Rocky View Industrial Logistics Hub</x:v>
      </x:c>
      <x:c r="E66" s="36" t="str">
        <x:v>Calgary SW</x:v>
      </x:c>
      <x:c r="F66" s="36" t="str">
        <x:v>Mohammed Siddiqui</x:v>
      </x:c>
      <x:c r="G66" s="36" t="str">
        <x:v>Civil Works</x:v>
      </x:c>
      <x:c r="H66" s="36" t="str">
        <x:v>Curb &amp; Gutter Concrete</x:v>
      </x:c>
      <x:c r="I66" s="36" t="str">
        <x:v>Kiewit Infrastructure</x:v>
      </x:c>
      <x:c r="J66" s="36" t="str">
        <x:v>LPO – Direct Award</x:v>
      </x:c>
      <x:c r="K66" s="38" t="n">
        <x:v>94</x:v>
      </x:c>
      <x:c r="L66" s="36" t="str">
        <x:v>m³</x:v>
      </x:c>
      <x:c r="M66" s="39" t="n">
        <x:v>175.22</x:v>
      </x:c>
      <x:c r="N66" s="39" t="n">
        <x:v>158.33</x:v>
      </x:c>
      <x:c r="O66" s="39" t="n">
        <x:v>16470.68</x:v>
      </x:c>
      <x:c r="P66" s="39" t="n">
        <x:v>14883.02</x:v>
      </x:c>
      <x:c r="Q66" s="39" t="n">
        <x:v>1587.66</x:v>
      </x:c>
      <x:c r="R66" s="40" t="n">
        <x:v>10.7</x:v>
      </x:c>
      <x:c r="S66" s="41" t="n">
        <x:v>23</x:v>
      </x:c>
      <x:c r="T66" s="36" t="str">
        <x:v>Yes</x:v>
      </x:c>
      <x:c r="U66" s="36" t="str">
        <x:v>Delivered</x:v>
      </x:c>
    </x:row>
    <x:row r="67">
      <x:c r="A67" s="36" t="str">
        <x:v>PO-2025-0066</x:v>
      </x:c>
      <x:c r="B67" s="37" t="n">
        <x:v>45689</x:v>
      </x:c>
      <x:c r="C67" s="36" t="str">
        <x:v>February</x:v>
      </x:c>
      <x:c r="D67" s="36" t="str">
        <x:v>Stampede Park Infrastructure Upgrade</x:v>
      </x:c>
      <x:c r="E67" s="36" t="str">
        <x:v>Calgary NE</x:v>
      </x:c>
      <x:c r="F67" s="36" t="str">
        <x:v>Linda Tran</x:v>
      </x:c>
      <x:c r="G67" s="36" t="str">
        <x:v>Finishing</x:v>
      </x:c>
      <x:c r="H67" s="36" t="str">
        <x:v>Exterior Cladding Panel</x:v>
      </x:c>
      <x:c r="I67" s="36" t="str">
        <x:v>Centura Tile Calgary</x:v>
      </x:c>
      <x:c r="J67" s="36" t="str">
        <x:v>LPO – Direct Award</x:v>
      </x:c>
      <x:c r="K67" s="38" t="n">
        <x:v>46</x:v>
      </x:c>
      <x:c r="L67" s="36" t="str">
        <x:v>m²</x:v>
      </x:c>
      <x:c r="M67" s="39" t="n">
        <x:v>139.05</x:v>
      </x:c>
      <x:c r="N67" s="39" t="n">
        <x:v>131.07</x:v>
      </x:c>
      <x:c r="O67" s="39" t="n">
        <x:v>6396.3</x:v>
      </x:c>
      <x:c r="P67" s="39" t="n">
        <x:v>6029.22</x:v>
      </x:c>
      <x:c r="Q67" s="39" t="n">
        <x:v>367.08</x:v>
      </x:c>
      <x:c r="R67" s="40" t="n">
        <x:v>6.1</x:v>
      </x:c>
      <x:c r="S67" s="41" t="n">
        <x:v>34</x:v>
      </x:c>
      <x:c r="T67" s="36" t="str">
        <x:v>Yes</x:v>
      </x:c>
      <x:c r="U67" s="36" t="str">
        <x:v>Partially Delivered</x:v>
      </x:c>
    </x:row>
    <x:row r="68">
      <x:c r="A68" s="36" t="str">
        <x:v>PO-2025-0067</x:v>
      </x:c>
      <x:c r="B68" s="37" t="n">
        <x:v>45962</x:v>
      </x:c>
      <x:c r="C68" s="36" t="str">
        <x:v>November</x:v>
      </x:c>
      <x:c r="D68" s="36" t="str">
        <x:v>Deerfoot Trail Widening - North</x:v>
      </x:c>
      <x:c r="E68" s="36" t="str">
        <x:v>Calgary SW</x:v>
      </x:c>
      <x:c r="F68" s="36" t="str">
        <x:v>Derek McLean</x:v>
      </x:c>
      <x:c r="G68" s="36" t="str">
        <x:v>Civil Works</x:v>
      </x:c>
      <x:c r="H68" s="36" t="str">
        <x:v>Granular Backfill</x:v>
      </x:c>
      <x:c r="I68" s="36" t="str">
        <x:v>Kiewit Infrastructure</x:v>
      </x:c>
      <x:c r="J68" s="36" t="str">
        <x:v>3-Quote Comparison</x:v>
      </x:c>
      <x:c r="K68" s="38" t="n">
        <x:v>120</x:v>
      </x:c>
      <x:c r="L68" s="36" t="str">
        <x:v>m³</x:v>
      </x:c>
      <x:c r="M68" s="39" t="n">
        <x:v>287.22</x:v>
      </x:c>
      <x:c r="N68" s="39" t="n">
        <x:v>281.03</x:v>
      </x:c>
      <x:c r="O68" s="39" t="n">
        <x:v>34466.4</x:v>
      </x:c>
      <x:c r="P68" s="39" t="n">
        <x:v>33723.6</x:v>
      </x:c>
      <x:c r="Q68" s="39" t="n">
        <x:v>742.8</x:v>
      </x:c>
      <x:c r="R68" s="40" t="n">
        <x:v>2.2</x:v>
      </x:c>
      <x:c r="S68" s="41" t="n">
        <x:v>74</x:v>
      </x:c>
      <x:c r="T68" s="36" t="str">
        <x:v>Yes</x:v>
      </x:c>
      <x:c r="U68" s="36" t="str">
        <x:v>Pending</x:v>
      </x:c>
    </x:row>
    <x:row r="69">
      <x:c r="A69" s="36" t="str">
        <x:v>PO-2025-0068</x:v>
      </x:c>
      <x:c r="B69" s="37" t="n">
        <x:v>45903</x:v>
      </x:c>
      <x:c r="C69" s="36" t="str">
        <x:v>September</x:v>
      </x:c>
      <x:c r="D69" s="36" t="str">
        <x:v>Quarry Park Mixed-Use Development</x:v>
      </x:c>
      <x:c r="E69" s="36" t="str">
        <x:v>Rocky View County</x:v>
      </x:c>
      <x:c r="F69" s="36" t="str">
        <x:v>Aisha Nkosi</x:v>
      </x:c>
      <x:c r="G69" s="36" t="str">
        <x:v>Civil Works</x:v>
      </x:c>
      <x:c r="H69" s="36" t="str">
        <x:v>Road Base Aggregate</x:v>
      </x:c>
      <x:c r="I69" s="36" t="str">
        <x:v>Ledcor Civil Alberta</x:v>
      </x:c>
      <x:c r="J69" s="36" t="str">
        <x:v>3-Quote Comparison</x:v>
      </x:c>
      <x:c r="K69" s="38" t="n">
        <x:v>28</x:v>
      </x:c>
      <x:c r="L69" s="36" t="str">
        <x:v>m³</x:v>
      </x:c>
      <x:c r="M69" s="39" t="n">
        <x:v>156.85</x:v>
      </x:c>
      <x:c r="N69" s="39" t="n">
        <x:v>191.37</x:v>
      </x:c>
      <x:c r="O69" s="39" t="n">
        <x:v>4391.8</x:v>
      </x:c>
      <x:c r="P69" s="39" t="n">
        <x:v>5358.36</x:v>
      </x:c>
      <x:c r="Q69" s="39" t="n">
        <x:v>-966.56</x:v>
      </x:c>
      <x:c r="R69" s="40" t="n">
        <x:v>-18</x:v>
      </x:c>
      <x:c r="S69" s="41" t="n">
        <x:v>53</x:v>
      </x:c>
      <x:c r="T69" s="36" t="str">
        <x:v>Yes</x:v>
      </x:c>
      <x:c r="U69" s="36" t="str">
        <x:v>Pending</x:v>
      </x:c>
    </x:row>
    <x:row r="70">
      <x:c r="A70" s="36" t="str">
        <x:v>PO-2025-0069</x:v>
      </x:c>
      <x:c r="B70" s="37" t="n">
        <x:v>45798</x:v>
      </x:c>
      <x:c r="C70" s="36" t="str">
        <x:v>May</x:v>
      </x:c>
      <x:c r="D70" s="36" t="str">
        <x:v>Bow River Crossing Overpass</x:v>
      </x:c>
      <x:c r="E70" s="36" t="str">
        <x:v>Calgary SW</x:v>
      </x:c>
      <x:c r="F70" s="36" t="str">
        <x:v>Aisha Nkosi</x:v>
      </x:c>
      <x:c r="G70" s="36" t="str">
        <x:v>Concrete &amp; Structural</x:v>
      </x:c>
      <x:c r="H70" s="36" t="str">
        <x:v>Structural Formwork</x:v>
      </x:c>
      <x:c r="I70" s="36" t="str">
        <x:v>Alberta Precast</x:v>
      </x:c>
      <x:c r="J70" s="36" t="str">
        <x:v>3-Quote Comparison</x:v>
      </x:c>
      <x:c r="K70" s="38" t="n">
        <x:v>78</x:v>
      </x:c>
      <x:c r="L70" s="36" t="str">
        <x:v>m³</x:v>
      </x:c>
      <x:c r="M70" s="39" t="n">
        <x:v>545.25</x:v>
      </x:c>
      <x:c r="N70" s="39" t="n">
        <x:v>650.18</x:v>
      </x:c>
      <x:c r="O70" s="39" t="n">
        <x:v>42529.5</x:v>
      </x:c>
      <x:c r="P70" s="39" t="n">
        <x:v>50714.04</x:v>
      </x:c>
      <x:c r="Q70" s="39" t="n">
        <x:v>-8184.54</x:v>
      </x:c>
      <x:c r="R70" s="40" t="n">
        <x:v>-16.1</x:v>
      </x:c>
      <x:c r="S70" s="41" t="n">
        <x:v>57</x:v>
      </x:c>
      <x:c r="T70" s="36" t="str">
        <x:v>No</x:v>
      </x:c>
      <x:c r="U70" s="36" t="str">
        <x:v>Delivered</x:v>
      </x:c>
    </x:row>
    <x:row r="71">
      <x:c r="A71" s="36" t="str">
        <x:v>PO-2025-0070</x:v>
      </x:c>
      <x:c r="B71" s="37" t="n">
        <x:v>45732</x:v>
      </x:c>
      <x:c r="C71" s="36" t="str">
        <x:v>March</x:v>
      </x:c>
      <x:c r="D71" s="36" t="str">
        <x:v>Quarry Park Mixed-Use Development</x:v>
      </x:c>
      <x:c r="E71" s="36" t="str">
        <x:v>Calgary SW</x:v>
      </x:c>
      <x:c r="F71" s="36" t="str">
        <x:v>Liam Kowalski</x:v>
      </x:c>
      <x:c r="G71" s="36" t="str">
        <x:v>Safety &amp; Temp Works</x:v>
      </x:c>
      <x:c r="H71" s="36" t="str">
        <x:v>Site Office Trailer</x:v>
      </x:c>
      <x:c r="I71" s="36" t="str">
        <x:v>Levitt-Safety Calgary</x:v>
      </x:c>
      <x:c r="J71" s="36" t="str">
        <x:v>3-Quote Comparison</x:v>
      </x:c>
      <x:c r="K71" s="38" t="n">
        <x:v>23</x:v>
      </x:c>
      <x:c r="L71" s="36" t="str">
        <x:v>lot</x:v>
      </x:c>
      <x:c r="M71" s="39" t="n">
        <x:v>11822.82</x:v>
      </x:c>
      <x:c r="N71" s="39" t="n">
        <x:v>10173.76</x:v>
      </x:c>
      <x:c r="O71" s="39" t="n">
        <x:v>271924.86</x:v>
      </x:c>
      <x:c r="P71" s="39" t="n">
        <x:v>233996.48</x:v>
      </x:c>
      <x:c r="Q71" s="39" t="n">
        <x:v>37928.38</x:v>
      </x:c>
      <x:c r="R71" s="40" t="n">
        <x:v>16.2</x:v>
      </x:c>
      <x:c r="S71" s="41" t="n">
        <x:v>23</x:v>
      </x:c>
      <x:c r="T71" s="36" t="str">
        <x:v>Yes</x:v>
      </x:c>
      <x:c r="U71" s="36" t="str">
        <x:v>Delivered</x:v>
      </x:c>
    </x:row>
    <x:row r="72">
      <x:c r="A72" s="36" t="str">
        <x:v>PO-2025-0071</x:v>
      </x:c>
      <x:c r="B72" s="37" t="n">
        <x:v>45838</x:v>
      </x:c>
      <x:c r="C72" s="36" t="str">
        <x:v>June</x:v>
      </x:c>
      <x:c r="D72" s="36" t="str">
        <x:v>Quarry Park Mixed-Use Development</x:v>
      </x:c>
      <x:c r="E72" s="36" t="str">
        <x:v>Calgary NE</x:v>
      </x:c>
      <x:c r="F72" s="36" t="str">
        <x:v>Mohammed Siddiqui</x:v>
      </x:c>
      <x:c r="G72" s="36" t="str">
        <x:v>Civil Works</x:v>
      </x:c>
      <x:c r="H72" s="36" t="str">
        <x:v>Curb &amp; Gutter Concrete</x:v>
      </x:c>
      <x:c r="I72" s="36" t="str">
        <x:v>Ledcor Civil Alberta</x:v>
      </x:c>
      <x:c r="J72" s="36" t="str">
        <x:v>LPO – Direct Award</x:v>
      </x:c>
      <x:c r="K72" s="38" t="n">
        <x:v>54</x:v>
      </x:c>
      <x:c r="L72" s="36" t="str">
        <x:v>m³</x:v>
      </x:c>
      <x:c r="M72" s="39" t="n">
        <x:v>256.28</x:v>
      </x:c>
      <x:c r="N72" s="39" t="n">
        <x:v>239.2</x:v>
      </x:c>
      <x:c r="O72" s="39" t="n">
        <x:v>13839.12</x:v>
      </x:c>
      <x:c r="P72" s="39" t="n">
        <x:v>12916.8</x:v>
      </x:c>
      <x:c r="Q72" s="39" t="n">
        <x:v>922.32</x:v>
      </x:c>
      <x:c r="R72" s="40" t="n">
        <x:v>7.1</x:v>
      </x:c>
      <x:c r="S72" s="41" t="n">
        <x:v>15</x:v>
      </x:c>
      <x:c r="T72" s="36" t="str">
        <x:v>Yes</x:v>
      </x:c>
      <x:c r="U72" s="36" t="str">
        <x:v>Partially Delivered</x:v>
      </x:c>
    </x:row>
    <x:row r="73">
      <x:c r="A73" s="36" t="str">
        <x:v>PO-2025-0072</x:v>
      </x:c>
      <x:c r="B73" s="37" t="n">
        <x:v>45764</x:v>
      </x:c>
      <x:c r="C73" s="36" t="str">
        <x:v>April</x:v>
      </x:c>
      <x:c r="D73" s="36" t="str">
        <x:v>Bow River Crossing Overpass</x:v>
      </x:c>
      <x:c r="E73" s="36" t="str">
        <x:v>Rocky View County</x:v>
      </x:c>
      <x:c r="F73" s="36" t="str">
        <x:v>Mohammed Siddiqui</x:v>
      </x:c>
      <x:c r="G73" s="36" t="str">
        <x:v>Finishing</x:v>
      </x:c>
      <x:c r="H73" s="36" t="str">
        <x:v>Exterior Cladding Panel</x:v>
      </x:c>
      <x:c r="I73" s="36" t="str">
        <x:v>Armstrong World Industries</x:v>
      </x:c>
      <x:c r="J73" s="36" t="str">
        <x:v>Tender – Open</x:v>
      </x:c>
      <x:c r="K73" s="38" t="n">
        <x:v>10</x:v>
      </x:c>
      <x:c r="L73" s="36" t="str">
        <x:v>m²</x:v>
      </x:c>
      <x:c r="M73" s="39" t="n">
        <x:v>184.3</x:v>
      </x:c>
      <x:c r="N73" s="39" t="n">
        <x:v>197.46</x:v>
      </x:c>
      <x:c r="O73" s="39" t="n">
        <x:v>1843</x:v>
      </x:c>
      <x:c r="P73" s="39" t="n">
        <x:v>1974.6</x:v>
      </x:c>
      <x:c r="Q73" s="39" t="n">
        <x:v>-131.6</x:v>
      </x:c>
      <x:c r="R73" s="40" t="n">
        <x:v>-6.7</x:v>
      </x:c>
      <x:c r="S73" s="41" t="n">
        <x:v>63</x:v>
      </x:c>
      <x:c r="T73" s="36" t="str">
        <x:v>Yes</x:v>
      </x:c>
      <x:c r="U73" s="36" t="str">
        <x:v>Delivered</x:v>
      </x:c>
    </x:row>
    <x:row r="74">
      <x:c r="A74" s="36" t="str">
        <x:v>PO-2025-0073</x:v>
      </x:c>
      <x:c r="B74" s="37" t="n">
        <x:v>45842</x:v>
      </x:c>
      <x:c r="C74" s="36" t="str">
        <x:v>July</x:v>
      </x:c>
      <x:c r="D74" s="36" t="str">
        <x:v>Calgary SE Ring Road Extension</x:v>
      </x:c>
      <x:c r="E74" s="36" t="str">
        <x:v>Calgary SW</x:v>
      </x:c>
      <x:c r="F74" s="36" t="str">
        <x:v>Priya Sharma</x:v>
      </x:c>
      <x:c r="G74" s="36" t="str">
        <x:v>Concrete &amp; Structural</x:v>
      </x:c>
      <x:c r="H74" s="36" t="str">
        <x:v>Structural Formwork</x:v>
      </x:c>
      <x:c r="I74" s="36" t="str">
        <x:v>Evraz Steel Calgary</x:v>
      </x:c>
      <x:c r="J74" s="36" t="str">
        <x:v>Standing Offer Agreement</x:v>
      </x:c>
      <x:c r="K74" s="38" t="n">
        <x:v>49</x:v>
      </x:c>
      <x:c r="L74" s="36" t="str">
        <x:v>m³</x:v>
      </x:c>
      <x:c r="M74" s="39" t="n">
        <x:v>215.8</x:v>
      </x:c>
      <x:c r="N74" s="39" t="n">
        <x:v>243.96</x:v>
      </x:c>
      <x:c r="O74" s="39" t="n">
        <x:v>10574.2</x:v>
      </x:c>
      <x:c r="P74" s="39" t="n">
        <x:v>11954.04</x:v>
      </x:c>
      <x:c r="Q74" s="39" t="n">
        <x:v>-1379.84</x:v>
      </x:c>
      <x:c r="R74" s="40" t="n">
        <x:v>-11.5</x:v>
      </x:c>
      <x:c r="S74" s="41" t="n">
        <x:v>64</x:v>
      </x:c>
      <x:c r="T74" s="36" t="str">
        <x:v>No</x:v>
      </x:c>
      <x:c r="U74" s="36" t="str">
        <x:v>Pending</x:v>
      </x:c>
    </x:row>
    <x:row r="75">
      <x:c r="A75" s="36" t="str">
        <x:v>PO-2025-0074</x:v>
      </x:c>
      <x:c r="B75" s="37" t="n">
        <x:v>45716</x:v>
      </x:c>
      <x:c r="C75" s="36" t="str">
        <x:v>February</x:v>
      </x:c>
      <x:c r="D75" s="36" t="str">
        <x:v>Stampede Park Infrastructure Upgrade</x:v>
      </x:c>
      <x:c r="E75" s="36" t="str">
        <x:v>Calgary NE</x:v>
      </x:c>
      <x:c r="F75" s="36" t="str">
        <x:v>Mohammed Siddiqui</x:v>
      </x:c>
      <x:c r="G75" s="36" t="str">
        <x:v>Safety &amp; Temp Works</x:v>
      </x:c>
      <x:c r="H75" s="36" t="str">
        <x:v>Scaffolding System</x:v>
      </x:c>
      <x:c r="I75" s="36" t="str">
        <x:v>Safway Alberta</x:v>
      </x:c>
      <x:c r="J75" s="36" t="str">
        <x:v>Standing Offer Agreement</x:v>
      </x:c>
      <x:c r="K75" s="38" t="n">
        <x:v>96</x:v>
      </x:c>
      <x:c r="L75" s="36" t="str">
        <x:v>lot</x:v>
      </x:c>
      <x:c r="M75" s="39" t="n">
        <x:v>18805.29</x:v>
      </x:c>
      <x:c r="N75" s="39" t="n">
        <x:v>18303.53</x:v>
      </x:c>
      <x:c r="O75" s="39" t="n">
        <x:v>1805307.84</x:v>
      </x:c>
      <x:c r="P75" s="39" t="n">
        <x:v>1757138.88</x:v>
      </x:c>
      <x:c r="Q75" s="39" t="n">
        <x:v>48168.96</x:v>
      </x:c>
      <x:c r="R75" s="40" t="n">
        <x:v>2.7</x:v>
      </x:c>
      <x:c r="S75" s="41" t="n">
        <x:v>47</x:v>
      </x:c>
      <x:c r="T75" s="36" t="str">
        <x:v>Yes</x:v>
      </x:c>
      <x:c r="U75" s="36" t="str">
        <x:v>Pending</x:v>
      </x:c>
    </x:row>
    <x:row r="76">
      <x:c r="A76" s="36" t="str">
        <x:v>PO-2025-0075</x:v>
      </x:c>
      <x:c r="B76" s="37" t="n">
        <x:v>45702</x:v>
      </x:c>
      <x:c r="C76" s="36" t="str">
        <x:v>February</x:v>
      </x:c>
      <x:c r="D76" s="36" t="str">
        <x:v>Quarry Park Mixed-Use Development</x:v>
      </x:c>
      <x:c r="E76" s="36" t="str">
        <x:v>Calgary SW</x:v>
      </x:c>
      <x:c r="F76" s="36" t="str">
        <x:v>Linda Tran</x:v>
      </x:c>
      <x:c r="G76" s="36" t="str">
        <x:v>MEP - Mechanical</x:v>
      </x:c>
      <x:c r="H76" s="36" t="str">
        <x:v>Heat Pump Assembly</x:v>
      </x:c>
      <x:c r="I76" s="36" t="str">
        <x:v>Johnson Controls Alberta</x:v>
      </x:c>
      <x:c r="J76" s="36" t="str">
        <x:v>Tender – Open</x:v>
      </x:c>
      <x:c r="K76" s="38" t="n">
        <x:v>73</x:v>
      </x:c>
      <x:c r="L76" s="36" t="str">
        <x:v>lot</x:v>
      </x:c>
      <x:c r="M76" s="39" t="n">
        <x:v>92915.97</x:v>
      </x:c>
      <x:c r="N76" s="39" t="n">
        <x:v>96496.13</x:v>
      </x:c>
      <x:c r="O76" s="39" t="n">
        <x:v>6782865.81</x:v>
      </x:c>
      <x:c r="P76" s="39" t="n">
        <x:v>7044217.49</x:v>
      </x:c>
      <x:c r="Q76" s="39" t="n">
        <x:v>-261351.68</x:v>
      </x:c>
      <x:c r="R76" s="40" t="n">
        <x:v>-3.7</x:v>
      </x:c>
      <x:c r="S76" s="41" t="n">
        <x:v>85</x:v>
      </x:c>
      <x:c r="T76" s="36" t="str">
        <x:v>Yes</x:v>
      </x:c>
      <x:c r="U76" s="36" t="str">
        <x:v>Partially Delivered</x:v>
      </x:c>
    </x:row>
    <x:row r="77">
      <x:c r="A77" s="36" t="str">
        <x:v>PO-2025-0076</x:v>
      </x:c>
      <x:c r="B77" s="37" t="n">
        <x:v>45705</x:v>
      </x:c>
      <x:c r="C77" s="36" t="str">
        <x:v>February</x:v>
      </x:c>
      <x:c r="D77" s="36" t="str">
        <x:v>Calgary SE Ring Road Extension</x:v>
      </x:c>
      <x:c r="E77" s="36" t="str">
        <x:v>Calgary SW</x:v>
      </x:c>
      <x:c r="F77" s="36" t="str">
        <x:v>James Okafor</x:v>
      </x:c>
      <x:c r="G77" s="36" t="str">
        <x:v>Finishing</x:v>
      </x:c>
      <x:c r="H77" s="36" t="str">
        <x:v>Ceramic Floor Tile</x:v>
      </x:c>
      <x:c r="I77" s="36" t="str">
        <x:v>Armstrong World Industries</x:v>
      </x:c>
      <x:c r="J77" s="36" t="str">
        <x:v>3-Quote Comparison</x:v>
      </x:c>
      <x:c r="K77" s="38" t="n">
        <x:v>5</x:v>
      </x:c>
      <x:c r="L77" s="36" t="str">
        <x:v>m²</x:v>
      </x:c>
      <x:c r="M77" s="39" t="n">
        <x:v>137.27</x:v>
      </x:c>
      <x:c r="N77" s="39" t="n">
        <x:v>161.71</x:v>
      </x:c>
      <x:c r="O77" s="39" t="n">
        <x:v>686.35</x:v>
      </x:c>
      <x:c r="P77" s="39" t="n">
        <x:v>808.55</x:v>
      </x:c>
      <x:c r="Q77" s="39" t="n">
        <x:v>-122.2</x:v>
      </x:c>
      <x:c r="R77" s="40" t="n">
        <x:v>-15.1</x:v>
      </x:c>
      <x:c r="S77" s="41" t="n">
        <x:v>79</x:v>
      </x:c>
      <x:c r="T77" s="36" t="str">
        <x:v>Yes</x:v>
      </x:c>
      <x:c r="U77" s="36" t="str">
        <x:v>Delivered</x:v>
      </x:c>
    </x:row>
    <x:row r="78">
      <x:c r="A78" s="36" t="str">
        <x:v>PO-2025-0077</x:v>
      </x:c>
      <x:c r="B78" s="37" t="n">
        <x:v>45774</x:v>
      </x:c>
      <x:c r="C78" s="36" t="str">
        <x:v>April</x:v>
      </x:c>
      <x:c r="D78" s="36" t="str">
        <x:v>Bow River Crossing Overpass</x:v>
      </x:c>
      <x:c r="E78" s="36" t="str">
        <x:v>Calgary SW</x:v>
      </x:c>
      <x:c r="F78" s="36" t="str">
        <x:v>Priya Sharma</x:v>
      </x:c>
      <x:c r="G78" s="36" t="str">
        <x:v>Concrete &amp; Structural</x:v>
      </x:c>
      <x:c r="H78" s="36" t="str">
        <x:v>Structural Formwork</x:v>
      </x:c>
      <x:c r="I78" s="36" t="str">
        <x:v>Evraz Steel Calgary</x:v>
      </x:c>
      <x:c r="J78" s="36" t="str">
        <x:v>Tender – Open</x:v>
      </x:c>
      <x:c r="K78" s="38" t="n">
        <x:v>55</x:v>
      </x:c>
      <x:c r="L78" s="36" t="str">
        <x:v>m³</x:v>
      </x:c>
      <x:c r="M78" s="39" t="n">
        <x:v>642.69</x:v>
      </x:c>
      <x:c r="N78" s="39" t="n">
        <x:v>779.08</x:v>
      </x:c>
      <x:c r="O78" s="39" t="n">
        <x:v>35347.95</x:v>
      </x:c>
      <x:c r="P78" s="39" t="n">
        <x:v>42849.4</x:v>
      </x:c>
      <x:c r="Q78" s="39" t="n">
        <x:v>-7501.45</x:v>
      </x:c>
      <x:c r="R78" s="40" t="n">
        <x:v>-17.5</x:v>
      </x:c>
      <x:c r="S78" s="41" t="n">
        <x:v>21</x:v>
      </x:c>
      <x:c r="T78" s="36" t="str">
        <x:v>Yes</x:v>
      </x:c>
      <x:c r="U78" s="36" t="str">
        <x:v>Delivered</x:v>
      </x:c>
    </x:row>
    <x:row r="79">
      <x:c r="A79" s="36" t="str">
        <x:v>PO-2025-0078</x:v>
      </x:c>
      <x:c r="B79" s="37" t="n">
        <x:v>45855</x:v>
      </x:c>
      <x:c r="C79" s="36" t="str">
        <x:v>July</x:v>
      </x:c>
      <x:c r="D79" s="36" t="str">
        <x:v>Stampede Park Infrastructure Upgrade</x:v>
      </x:c>
      <x:c r="E79" s="36" t="str">
        <x:v>Calgary SE</x:v>
      </x:c>
      <x:c r="F79" s="36" t="str">
        <x:v>Derek McLean</x:v>
      </x:c>
      <x:c r="G79" s="36" t="str">
        <x:v>Civil Works</x:v>
      </x:c>
      <x:c r="H79" s="36" t="str">
        <x:v>Storm Drainage Pipe</x:v>
      </x:c>
      <x:c r="I79" s="36" t="str">
        <x:v>Ledcor Civil Alberta</x:v>
      </x:c>
      <x:c r="J79" s="36" t="str">
        <x:v>Emergency Procurement</x:v>
      </x:c>
      <x:c r="K79" s="38" t="n">
        <x:v>101</x:v>
      </x:c>
      <x:c r="L79" s="36" t="str">
        <x:v>m³</x:v>
      </x:c>
      <x:c r="M79" s="39" t="n">
        <x:v>233.47</x:v>
      </x:c>
      <x:c r="N79" s="39" t="n">
        <x:v>270.84</x:v>
      </x:c>
      <x:c r="O79" s="39" t="n">
        <x:v>23580.47</x:v>
      </x:c>
      <x:c r="P79" s="39" t="n">
        <x:v>27354.84</x:v>
      </x:c>
      <x:c r="Q79" s="39" t="n">
        <x:v>-3774.37</x:v>
      </x:c>
      <x:c r="R79" s="40" t="n">
        <x:v>-13.8</x:v>
      </x:c>
      <x:c r="S79" s="41" t="n">
        <x:v>45</x:v>
      </x:c>
      <x:c r="T79" s="36" t="str">
        <x:v>Yes</x:v>
      </x:c>
      <x:c r="U79" s="36" t="str">
        <x:v>Delivered</x:v>
      </x:c>
    </x:row>
    <x:row r="80">
      <x:c r="A80" s="36" t="str">
        <x:v>PO-2025-0079</x:v>
      </x:c>
      <x:c r="B80" s="37" t="n">
        <x:v>45827</x:v>
      </x:c>
      <x:c r="C80" s="36" t="str">
        <x:v>June</x:v>
      </x:c>
      <x:c r="D80" s="36" t="str">
        <x:v>Foothills Medical Centre Expansion</x:v>
      </x:c>
      <x:c r="E80" s="36" t="str">
        <x:v>Calgary SE</x:v>
      </x:c>
      <x:c r="F80" s="36" t="str">
        <x:v>Derek McLean</x:v>
      </x:c>
      <x:c r="G80" s="36" t="str">
        <x:v>MEP - Electrical</x:v>
      </x:c>
      <x:c r="H80" s="36" t="str">
        <x:v>Grounding System</x:v>
      </x:c>
      <x:c r="I80" s="36" t="str">
        <x:v>Schneider Electric Canada</x:v>
      </x:c>
      <x:c r="J80" s="36" t="str">
        <x:v>3-Quote Comparison</x:v>
      </x:c>
      <x:c r="K80" s="38" t="n">
        <x:v>101</x:v>
      </x:c>
      <x:c r="L80" s="36" t="str">
        <x:v>lot</x:v>
      </x:c>
      <x:c r="M80" s="39" t="n">
        <x:v>47216.38</x:v>
      </x:c>
      <x:c r="N80" s="39" t="n">
        <x:v>45871.72</x:v>
      </x:c>
      <x:c r="O80" s="39" t="n">
        <x:v>4768854.38</x:v>
      </x:c>
      <x:c r="P80" s="39" t="n">
        <x:v>4633043.72</x:v>
      </x:c>
      <x:c r="Q80" s="39" t="n">
        <x:v>135810.66</x:v>
      </x:c>
      <x:c r="R80" s="40" t="n">
        <x:v>2.9</x:v>
      </x:c>
      <x:c r="S80" s="41" t="n">
        <x:v>17</x:v>
      </x:c>
      <x:c r="T80" s="36" t="str">
        <x:v>Yes</x:v>
      </x:c>
      <x:c r="U80" s="36" t="str">
        <x:v>Delivered</x:v>
      </x:c>
    </x:row>
    <x:row r="81">
      <x:c r="A81" s="36" t="str">
        <x:v>PO-2025-0080</x:v>
      </x:c>
      <x:c r="B81" s="37" t="n">
        <x:v>45787</x:v>
      </x:c>
      <x:c r="C81" s="36" t="str">
        <x:v>May</x:v>
      </x:c>
      <x:c r="D81" s="36" t="str">
        <x:v>Deerfoot Trail Widening - North</x:v>
      </x:c>
      <x:c r="E81" s="36" t="str">
        <x:v>Calgary SE</x:v>
      </x:c>
      <x:c r="F81" s="36" t="str">
        <x:v>James Okafor</x:v>
      </x:c>
      <x:c r="G81" s="36" t="str">
        <x:v>Finishing</x:v>
      </x:c>
      <x:c r="H81" s="36" t="str">
        <x:v>Drywall &amp; Framing</x:v>
      </x:c>
      <x:c r="I81" s="36" t="str">
        <x:v>Tremco Roofing</x:v>
      </x:c>
      <x:c r="J81" s="36" t="str">
        <x:v>Emergency Procurement</x:v>
      </x:c>
      <x:c r="K81" s="38" t="n">
        <x:v>120</x:v>
      </x:c>
      <x:c r="L81" s="36" t="str">
        <x:v>m²</x:v>
      </x:c>
      <x:c r="M81" s="39" t="n">
        <x:v>345.37</x:v>
      </x:c>
      <x:c r="N81" s="39" t="n">
        <x:v>364.74</x:v>
      </x:c>
      <x:c r="O81" s="39" t="n">
        <x:v>41444.4</x:v>
      </x:c>
      <x:c r="P81" s="39" t="n">
        <x:v>43768.8</x:v>
      </x:c>
      <x:c r="Q81" s="39" t="n">
        <x:v>-2324.4</x:v>
      </x:c>
      <x:c r="R81" s="40" t="n">
        <x:v>-5.3</x:v>
      </x:c>
      <x:c r="S81" s="41" t="n">
        <x:v>29</x:v>
      </x:c>
      <x:c r="T81" s="36" t="str">
        <x:v>Yes</x:v>
      </x:c>
      <x:c r="U81" s="36" t="str">
        <x:v>Delivered</x:v>
      </x:c>
    </x:row>
    <x:row r="82">
      <x:c r="A82" s="36" t="str">
        <x:v>PO-2025-0081</x:v>
      </x:c>
      <x:c r="B82" s="37" t="n">
        <x:v>45979</x:v>
      </x:c>
      <x:c r="C82" s="36" t="str">
        <x:v>November</x:v>
      </x:c>
      <x:c r="D82" s="36" t="str">
        <x:v>Foothills Medical Centre Expansion</x:v>
      </x:c>
      <x:c r="E82" s="36" t="str">
        <x:v>Calgary NE</x:v>
      </x:c>
      <x:c r="F82" s="36" t="str">
        <x:v>Derek McLean</x:v>
      </x:c>
      <x:c r="G82" s="36" t="str">
        <x:v>MEP - Mechanical</x:v>
      </x:c>
      <x:c r="H82" s="36" t="str">
        <x:v>Boiler System</x:v>
      </x:c>
      <x:c r="I82" s="36" t="str">
        <x:v>Stantec MEP</x:v>
      </x:c>
      <x:c r="J82" s="36" t="str">
        <x:v>Tender – Open</x:v>
      </x:c>
      <x:c r="K82" s="38" t="n">
        <x:v>119</x:v>
      </x:c>
      <x:c r="L82" s="36" t="str">
        <x:v>lot</x:v>
      </x:c>
      <x:c r="M82" s="39" t="n">
        <x:v>35949.58</x:v>
      </x:c>
      <x:c r="N82" s="39" t="n">
        <x:v>42835.87</x:v>
      </x:c>
      <x:c r="O82" s="39" t="n">
        <x:v>4278000.02</x:v>
      </x:c>
      <x:c r="P82" s="39" t="n">
        <x:v>5097468.53</x:v>
      </x:c>
      <x:c r="Q82" s="39" t="n">
        <x:v>-819468.51</x:v>
      </x:c>
      <x:c r="R82" s="40" t="n">
        <x:v>-16.1</x:v>
      </x:c>
      <x:c r="S82" s="41" t="n">
        <x:v>38</x:v>
      </x:c>
      <x:c r="T82" s="36" t="str">
        <x:v>Yes</x:v>
      </x:c>
      <x:c r="U82" s="36" t="str">
        <x:v>Delivered</x:v>
      </x:c>
    </x:row>
    <x:row r="83">
      <x:c r="A83" s="36" t="str">
        <x:v>PO-2025-0082</x:v>
      </x:c>
      <x:c r="B83" s="37" t="n">
        <x:v>45889</x:v>
      </x:c>
      <x:c r="C83" s="36" t="str">
        <x:v>August</x:v>
      </x:c>
      <x:c r="D83" s="36" t="str">
        <x:v>Saddledome Arena Retrofit</x:v>
      </x:c>
      <x:c r="E83" s="36" t="str">
        <x:v>Calgary SW</x:v>
      </x:c>
      <x:c r="F83" s="36" t="str">
        <x:v>Mohammed Siddiqui</x:v>
      </x:c>
      <x:c r="G83" s="36" t="str">
        <x:v>Finishing</x:v>
      </x:c>
      <x:c r="H83" s="36" t="str">
        <x:v>Waterproofing Membrane</x:v>
      </x:c>
      <x:c r="I83" s="36" t="str">
        <x:v>Centura Tile Calgary</x:v>
      </x:c>
      <x:c r="J83" s="36" t="str">
        <x:v>3-Quote Comparison</x:v>
      </x:c>
      <x:c r="K83" s="38" t="n">
        <x:v>115</x:v>
      </x:c>
      <x:c r="L83" s="36" t="str">
        <x:v>m²</x:v>
      </x:c>
      <x:c r="M83" s="39" t="n">
        <x:v>423.73</x:v>
      </x:c>
      <x:c r="N83" s="39" t="n">
        <x:v>496.04</x:v>
      </x:c>
      <x:c r="O83" s="39" t="n">
        <x:v>48728.95</x:v>
      </x:c>
      <x:c r="P83" s="39" t="n">
        <x:v>57044.6</x:v>
      </x:c>
      <x:c r="Q83" s="39" t="n">
        <x:v>-8315.65</x:v>
      </x:c>
      <x:c r="R83" s="40" t="n">
        <x:v>-14.6</x:v>
      </x:c>
      <x:c r="S83" s="41" t="n">
        <x:v>80</x:v>
      </x:c>
      <x:c r="T83" s="36" t="str">
        <x:v>No</x:v>
      </x:c>
      <x:c r="U83" s="36" t="str">
        <x:v>Delivered</x:v>
      </x:c>
    </x:row>
    <x:row r="84">
      <x:c r="A84" s="36" t="str">
        <x:v>PO-2025-0083</x:v>
      </x:c>
      <x:c r="B84" s="37" t="n">
        <x:v>45805</x:v>
      </x:c>
      <x:c r="C84" s="36" t="str">
        <x:v>May</x:v>
      </x:c>
      <x:c r="D84" s="36" t="str">
        <x:v>Rocky View Industrial Logistics Hub</x:v>
      </x:c>
      <x:c r="E84" s="36" t="str">
        <x:v>Calgary SW</x:v>
      </x:c>
      <x:c r="F84" s="36" t="str">
        <x:v>James Okafor</x:v>
      </x:c>
      <x:c r="G84" s="36" t="str">
        <x:v>Finishing</x:v>
      </x:c>
      <x:c r="H84" s="36" t="str">
        <x:v>Acoustic Ceiling Grid</x:v>
      </x:c>
      <x:c r="I84" s="36" t="str">
        <x:v>Armstrong World Industries</x:v>
      </x:c>
      <x:c r="J84" s="36" t="str">
        <x:v>Emergency Procurement</x:v>
      </x:c>
      <x:c r="K84" s="38" t="n">
        <x:v>10</x:v>
      </x:c>
      <x:c r="L84" s="36" t="str">
        <x:v>m²</x:v>
      </x:c>
      <x:c r="M84" s="39" t="n">
        <x:v>279.14</x:v>
      </x:c>
      <x:c r="N84" s="39" t="n">
        <x:v>288.25</x:v>
      </x:c>
      <x:c r="O84" s="39" t="n">
        <x:v>2791.4</x:v>
      </x:c>
      <x:c r="P84" s="39" t="n">
        <x:v>2882.5</x:v>
      </x:c>
      <x:c r="Q84" s="39" t="n">
        <x:v>-91.1</x:v>
      </x:c>
      <x:c r="R84" s="40" t="n">
        <x:v>-3.2</x:v>
      </x:c>
      <x:c r="S84" s="41" t="n">
        <x:v>55</x:v>
      </x:c>
      <x:c r="T84" s="36" t="str">
        <x:v>No</x:v>
      </x:c>
      <x:c r="U84" s="36" t="str">
        <x:v>Cancelled</x:v>
      </x:c>
    </x:row>
    <x:row r="85">
      <x:c r="A85" s="36" t="str">
        <x:v>PO-2025-0084</x:v>
      </x:c>
      <x:c r="B85" s="37" t="n">
        <x:v>45728</x:v>
      </x:c>
      <x:c r="C85" s="36" t="str">
        <x:v>March</x:v>
      </x:c>
      <x:c r="D85" s="36" t="str">
        <x:v>Quarry Park Mixed-Use Development</x:v>
      </x:c>
      <x:c r="E85" s="36" t="str">
        <x:v>Rocky View County</x:v>
      </x:c>
      <x:c r="F85" s="36" t="str">
        <x:v>James Okafor</x:v>
      </x:c>
      <x:c r="G85" s="36" t="str">
        <x:v>Finishing</x:v>
      </x:c>
      <x:c r="H85" s="36" t="str">
        <x:v>Waterproofing Membrane</x:v>
      </x:c>
      <x:c r="I85" s="36" t="str">
        <x:v>Centura Tile Calgary</x:v>
      </x:c>
      <x:c r="J85" s="36" t="str">
        <x:v>3-Quote Comparison</x:v>
      </x:c>
      <x:c r="K85" s="38" t="n">
        <x:v>5</x:v>
      </x:c>
      <x:c r="L85" s="36" t="str">
        <x:v>m²</x:v>
      </x:c>
      <x:c r="M85" s="39" t="n">
        <x:v>224.8</x:v>
      </x:c>
      <x:c r="N85" s="39" t="n">
        <x:v>205.54</x:v>
      </x:c>
      <x:c r="O85" s="39" t="n">
        <x:v>1124</x:v>
      </x:c>
      <x:c r="P85" s="39" t="n">
        <x:v>1027.7</x:v>
      </x:c>
      <x:c r="Q85" s="39" t="n">
        <x:v>96.3</x:v>
      </x:c>
      <x:c r="R85" s="40" t="n">
        <x:v>9.4</x:v>
      </x:c>
      <x:c r="S85" s="41" t="n">
        <x:v>53</x:v>
      </x:c>
      <x:c r="T85" s="36" t="str">
        <x:v>No</x:v>
      </x:c>
      <x:c r="U85" s="36" t="str">
        <x:v>Partially Delivered</x:v>
      </x:c>
    </x:row>
    <x:row r="86">
      <x:c r="A86" s="36" t="str">
        <x:v>PO-2025-0085</x:v>
      </x:c>
      <x:c r="B86" s="37" t="n">
        <x:v>45746</x:v>
      </x:c>
      <x:c r="C86" s="36" t="str">
        <x:v>March</x:v>
      </x:c>
      <x:c r="D86" s="36" t="str">
        <x:v>Rocky View Industrial Logistics Hub</x:v>
      </x:c>
      <x:c r="E86" s="36" t="str">
        <x:v>Calgary SW</x:v>
      </x:c>
      <x:c r="F86" s="36" t="str">
        <x:v>Liam Kowalski</x:v>
      </x:c>
      <x:c r="G86" s="36" t="str">
        <x:v>MEP - Electrical</x:v>
      </x:c>
      <x:c r="H86" s="36" t="str">
        <x:v>LV Switchgear Panel</x:v>
      </x:c>
      <x:c r="I86" s="36" t="str">
        <x:v>Stuart Olson Electrical</x:v>
      </x:c>
      <x:c r="J86" s="36" t="str">
        <x:v>LPO – Direct Award</x:v>
      </x:c>
      <x:c r="K86" s="38" t="n">
        <x:v>101</x:v>
      </x:c>
      <x:c r="L86" s="36" t="str">
        <x:v>lot</x:v>
      </x:c>
      <x:c r="M86" s="39" t="n">
        <x:v>65726.05</x:v>
      </x:c>
      <x:c r="N86" s="39" t="n">
        <x:v>60139.6</x:v>
      </x:c>
      <x:c r="O86" s="39" t="n">
        <x:v>6638331.05</x:v>
      </x:c>
      <x:c r="P86" s="39" t="n">
        <x:v>6074099.6</x:v>
      </x:c>
      <x:c r="Q86" s="39" t="n">
        <x:v>564231.45</x:v>
      </x:c>
      <x:c r="R86" s="40" t="n">
        <x:v>9.3</x:v>
      </x:c>
      <x:c r="S86" s="41" t="n">
        <x:v>67</x:v>
      </x:c>
      <x:c r="T86" s="36" t="str">
        <x:v>Yes</x:v>
      </x:c>
      <x:c r="U86" s="36" t="str">
        <x:v>Partially Delivered</x:v>
      </x:c>
    </x:row>
    <x:row r="87">
      <x:c r="A87" s="36" t="str">
        <x:v>PO-2025-0086</x:v>
      </x:c>
      <x:c r="B87" s="37" t="n">
        <x:v>45834</x:v>
      </x:c>
      <x:c r="C87" s="36" t="str">
        <x:v>June</x:v>
      </x:c>
      <x:c r="D87" s="36" t="str">
        <x:v>University District Residential Phase 3</x:v>
      </x:c>
      <x:c r="E87" s="36" t="str">
        <x:v>Rocky View County</x:v>
      </x:c>
      <x:c r="F87" s="36" t="str">
        <x:v>Derek McLean</x:v>
      </x:c>
      <x:c r="G87" s="36" t="str">
        <x:v>MEP - Electrical</x:v>
      </x:c>
      <x:c r="H87" s="36" t="str">
        <x:v>Grounding System</x:v>
      </x:c>
      <x:c r="I87" s="36" t="str">
        <x:v>Flint Energy Services</x:v>
      </x:c>
      <x:c r="J87" s="36" t="str">
        <x:v>Standing Offer Agreement</x:v>
      </x:c>
      <x:c r="K87" s="38" t="n">
        <x:v>15</x:v>
      </x:c>
      <x:c r="L87" s="36" t="str">
        <x:v>lot</x:v>
      </x:c>
      <x:c r="M87" s="39" t="n">
        <x:v>13034.58</x:v>
      </x:c>
      <x:c r="N87" s="39" t="n">
        <x:v>15693.56</x:v>
      </x:c>
      <x:c r="O87" s="39" t="n">
        <x:v>195518.7</x:v>
      </x:c>
      <x:c r="P87" s="39" t="n">
        <x:v>235403.4</x:v>
      </x:c>
      <x:c r="Q87" s="39" t="n">
        <x:v>-39884.7</x:v>
      </x:c>
      <x:c r="R87" s="40" t="n">
        <x:v>-16.9</x:v>
      </x:c>
      <x:c r="S87" s="41" t="n">
        <x:v>71</x:v>
      </x:c>
      <x:c r="T87" s="36" t="str">
        <x:v>Yes</x:v>
      </x:c>
      <x:c r="U87" s="36" t="str">
        <x:v>Pending</x:v>
      </x:c>
    </x:row>
    <x:row r="88">
      <x:c r="A88" s="36" t="str">
        <x:v>PO-2025-0087</x:v>
      </x:c>
      <x:c r="B88" s="37" t="n">
        <x:v>45879</x:v>
      </x:c>
      <x:c r="C88" s="36" t="str">
        <x:v>August</x:v>
      </x:c>
      <x:c r="D88" s="36" t="str">
        <x:v>University District Residential Phase 3</x:v>
      </x:c>
      <x:c r="E88" s="36" t="str">
        <x:v>Calgary NE</x:v>
      </x:c>
      <x:c r="F88" s="36" t="str">
        <x:v>Derek McLean</x:v>
      </x:c>
      <x:c r="G88" s="36" t="str">
        <x:v>MEP - Electrical</x:v>
      </x:c>
      <x:c r="H88" s="36" t="str">
        <x:v>MV Distribution Cable</x:v>
      </x:c>
      <x:c r="I88" s="36" t="str">
        <x:v>Stuart Olson Electrical</x:v>
      </x:c>
      <x:c r="J88" s="36" t="str">
        <x:v>Standing Offer Agreement</x:v>
      </x:c>
      <x:c r="K88" s="38" t="n">
        <x:v>97</x:v>
      </x:c>
      <x:c r="L88" s="36" t="str">
        <x:v>lot</x:v>
      </x:c>
      <x:c r="M88" s="39" t="n">
        <x:v>54903.89</x:v>
      </x:c>
      <x:c r="N88" s="39" t="n">
        <x:v>63690.47</x:v>
      </x:c>
      <x:c r="O88" s="39" t="n">
        <x:v>5325677.33</x:v>
      </x:c>
      <x:c r="P88" s="39" t="n">
        <x:v>6177975.59</x:v>
      </x:c>
      <x:c r="Q88" s="39" t="n">
        <x:v>-852298.26</x:v>
      </x:c>
      <x:c r="R88" s="40" t="n">
        <x:v>-13.8</x:v>
      </x:c>
      <x:c r="S88" s="41" t="n">
        <x:v>79</x:v>
      </x:c>
      <x:c r="T88" s="36" t="str">
        <x:v>Yes</x:v>
      </x:c>
      <x:c r="U88" s="36" t="str">
        <x:v>Delivered</x:v>
      </x:c>
    </x:row>
    <x:row r="89">
      <x:c r="A89" s="36" t="str">
        <x:v>PO-2025-0088</x:v>
      </x:c>
      <x:c r="B89" s="37" t="n">
        <x:v>45721</x:v>
      </x:c>
      <x:c r="C89" s="36" t="str">
        <x:v>March</x:v>
      </x:c>
      <x:c r="D89" s="36" t="str">
        <x:v>Stampede Park Infrastructure Upgrade</x:v>
      </x:c>
      <x:c r="E89" s="36" t="str">
        <x:v>Calgary SW</x:v>
      </x:c>
      <x:c r="F89" s="36" t="str">
        <x:v>Aisha Nkosi</x:v>
      </x:c>
      <x:c r="G89" s="36" t="str">
        <x:v>Finishing</x:v>
      </x:c>
      <x:c r="H89" s="36" t="str">
        <x:v>Exterior Cladding Panel</x:v>
      </x:c>
      <x:c r="I89" s="36" t="str">
        <x:v>Centura Tile Calgary</x:v>
      </x:c>
      <x:c r="J89" s="36" t="str">
        <x:v>LPO – Direct Award</x:v>
      </x:c>
      <x:c r="K89" s="38" t="n">
        <x:v>31</x:v>
      </x:c>
      <x:c r="L89" s="36" t="str">
        <x:v>m²</x:v>
      </x:c>
      <x:c r="M89" s="39" t="n">
        <x:v>270.49</x:v>
      </x:c>
      <x:c r="N89" s="39" t="n">
        <x:v>288.64</x:v>
      </x:c>
      <x:c r="O89" s="39" t="n">
        <x:v>8385.19</x:v>
      </x:c>
      <x:c r="P89" s="39" t="n">
        <x:v>8947.84</x:v>
      </x:c>
      <x:c r="Q89" s="39" t="n">
        <x:v>-562.65</x:v>
      </x:c>
      <x:c r="R89" s="40" t="n">
        <x:v>-6.3</x:v>
      </x:c>
      <x:c r="S89" s="41" t="n">
        <x:v>54</x:v>
      </x:c>
      <x:c r="T89" s="36" t="str">
        <x:v>Yes</x:v>
      </x:c>
      <x:c r="U89" s="36" t="str">
        <x:v>Delivered</x:v>
      </x:c>
    </x:row>
    <x:row r="90">
      <x:c r="A90" s="36" t="str">
        <x:v>PO-2025-0089</x:v>
      </x:c>
      <x:c r="B90" s="37" t="n">
        <x:v>45846</x:v>
      </x:c>
      <x:c r="C90" s="36" t="str">
        <x:v>July</x:v>
      </x:c>
      <x:c r="D90" s="36" t="str">
        <x:v>Deerfoot Trail Widening - North</x:v>
      </x:c>
      <x:c r="E90" s="36" t="str">
        <x:v>Rocky View County</x:v>
      </x:c>
      <x:c r="F90" s="36" t="str">
        <x:v>Derek McLean</x:v>
      </x:c>
      <x:c r="G90" s="36" t="str">
        <x:v>Finishing</x:v>
      </x:c>
      <x:c r="H90" s="36" t="str">
        <x:v>Drywall &amp; Framing</x:v>
      </x:c>
      <x:c r="I90" s="36" t="str">
        <x:v>Armstrong World Industries</x:v>
      </x:c>
      <x:c r="J90" s="36" t="str">
        <x:v>Emergency Procurement</x:v>
      </x:c>
      <x:c r="K90" s="38" t="n">
        <x:v>10</x:v>
      </x:c>
      <x:c r="L90" s="36" t="str">
        <x:v>m²</x:v>
      </x:c>
      <x:c r="M90" s="39" t="n">
        <x:v>109.07</x:v>
      </x:c>
      <x:c r="N90" s="39" t="n">
        <x:v>97.89</x:v>
      </x:c>
      <x:c r="O90" s="39" t="n">
        <x:v>1090.7</x:v>
      </x:c>
      <x:c r="P90" s="39" t="n">
        <x:v>978.9</x:v>
      </x:c>
      <x:c r="Q90" s="39" t="n">
        <x:v>111.8</x:v>
      </x:c>
      <x:c r="R90" s="40" t="n">
        <x:v>11.4</x:v>
      </x:c>
      <x:c r="S90" s="41" t="n">
        <x:v>20</x:v>
      </x:c>
      <x:c r="T90" s="36" t="str">
        <x:v>No</x:v>
      </x:c>
      <x:c r="U90" s="36" t="str">
        <x:v>Pending</x:v>
      </x:c>
    </x:row>
    <x:row r="91">
      <x:c r="A91" s="36" t="str">
        <x:v>PO-2025-0090</x:v>
      </x:c>
      <x:c r="B91" s="37" t="n">
        <x:v>45720</x:v>
      </x:c>
      <x:c r="C91" s="36" t="str">
        <x:v>March</x:v>
      </x:c>
      <x:c r="D91" s="36" t="str">
        <x:v>Stampede Park Infrastructure Upgrade</x:v>
      </x:c>
      <x:c r="E91" s="36" t="str">
        <x:v>Calgary NE</x:v>
      </x:c>
      <x:c r="F91" s="36" t="str">
        <x:v>Liam Kowalski</x:v>
      </x:c>
      <x:c r="G91" s="36" t="str">
        <x:v>MEP - Electrical</x:v>
      </x:c>
      <x:c r="H91" s="36" t="str">
        <x:v>LV Switchgear Panel</x:v>
      </x:c>
      <x:c r="I91" s="36" t="str">
        <x:v>Stuart Olson Electrical</x:v>
      </x:c>
      <x:c r="J91" s="36" t="str">
        <x:v>Tender – Open</x:v>
      </x:c>
      <x:c r="K91" s="38" t="n">
        <x:v>57</x:v>
      </x:c>
      <x:c r="L91" s="36" t="str">
        <x:v>lot</x:v>
      </x:c>
      <x:c r="M91" s="39" t="n">
        <x:v>17799.52</x:v>
      </x:c>
      <x:c r="N91" s="39" t="n">
        <x:v>21362.05</x:v>
      </x:c>
      <x:c r="O91" s="39" t="n">
        <x:v>1014572.64</x:v>
      </x:c>
      <x:c r="P91" s="39" t="n">
        <x:v>1217636.85</x:v>
      </x:c>
      <x:c r="Q91" s="39" t="n">
        <x:v>-203064.21</x:v>
      </x:c>
      <x:c r="R91" s="40" t="n">
        <x:v>-16.7</x:v>
      </x:c>
      <x:c r="S91" s="41" t="n">
        <x:v>71</x:v>
      </x:c>
      <x:c r="T91" s="36" t="str">
        <x:v>Yes</x:v>
      </x:c>
      <x:c r="U91" s="36" t="str">
        <x:v>Delivered</x:v>
      </x:c>
    </x:row>
    <x:row r="92">
      <x:c r="A92" s="36" t="str">
        <x:v>PO-2025-0091</x:v>
      </x:c>
      <x:c r="B92" s="37" t="n">
        <x:v>45957</x:v>
      </x:c>
      <x:c r="C92" s="36" t="str">
        <x:v>October</x:v>
      </x:c>
      <x:c r="D92" s="36" t="str">
        <x:v>Foothills Medical Centre Expansion</x:v>
      </x:c>
      <x:c r="E92" s="36" t="str">
        <x:v>Calgary NE</x:v>
      </x:c>
      <x:c r="F92" s="36" t="str">
        <x:v>Linda Tran</x:v>
      </x:c>
      <x:c r="G92" s="36" t="str">
        <x:v>MEP - Electrical</x:v>
      </x:c>
      <x:c r="H92" s="36" t="str">
        <x:v>MV Distribution Cable</x:v>
      </x:c>
      <x:c r="I92" s="36" t="str">
        <x:v>Flint Energy Services</x:v>
      </x:c>
      <x:c r="J92" s="36" t="str">
        <x:v>Tender – Open</x:v>
      </x:c>
      <x:c r="K92" s="38" t="n">
        <x:v>19</x:v>
      </x:c>
      <x:c r="L92" s="36" t="str">
        <x:v>lot</x:v>
      </x:c>
      <x:c r="M92" s="39" t="n">
        <x:v>31083.42</x:v>
      </x:c>
      <x:c r="N92" s="39" t="n">
        <x:v>37763.12</x:v>
      </x:c>
      <x:c r="O92" s="39" t="n">
        <x:v>590584.98</x:v>
      </x:c>
      <x:c r="P92" s="39" t="n">
        <x:v>717499.28</x:v>
      </x:c>
      <x:c r="Q92" s="39" t="n">
        <x:v>-126914.3</x:v>
      </x:c>
      <x:c r="R92" s="40" t="n">
        <x:v>-17.7</x:v>
      </x:c>
      <x:c r="S92" s="41" t="n">
        <x:v>64</x:v>
      </x:c>
      <x:c r="T92" s="36" t="str">
        <x:v>Yes</x:v>
      </x:c>
      <x:c r="U92" s="36" t="str">
        <x:v>Delivered</x:v>
      </x:c>
    </x:row>
    <x:row r="93">
      <x:c r="A93" s="36" t="str">
        <x:v>PO-2025-0092</x:v>
      </x:c>
      <x:c r="B93" s="37" t="n">
        <x:v>45809</x:v>
      </x:c>
      <x:c r="C93" s="36" t="str">
        <x:v>June</x:v>
      </x:c>
      <x:c r="D93" s="36" t="str">
        <x:v>Bow River Crossing Overpass</x:v>
      </x:c>
      <x:c r="E93" s="36" t="str">
        <x:v>Calgary SW</x:v>
      </x:c>
      <x:c r="F93" s="36" t="str">
        <x:v>Liam Kowalski</x:v>
      </x:c>
      <x:c r="G93" s="36" t="str">
        <x:v>MEP - Electrical</x:v>
      </x:c>
      <x:c r="H93" s="36" t="str">
        <x:v>LED Site Lighting</x:v>
      </x:c>
      <x:c r="I93" s="36" t="str">
        <x:v>Flint Energy Services</x:v>
      </x:c>
      <x:c r="J93" s="36" t="str">
        <x:v>3-Quote Comparison</x:v>
      </x:c>
      <x:c r="K93" s="38" t="n">
        <x:v>90</x:v>
      </x:c>
      <x:c r="L93" s="36" t="str">
        <x:v>lot</x:v>
      </x:c>
      <x:c r="M93" s="39" t="n">
        <x:v>58204.97</x:v>
      </x:c>
      <x:c r="N93" s="39" t="n">
        <x:v>72072.51</x:v>
      </x:c>
      <x:c r="O93" s="39" t="n">
        <x:v>5238447.3</x:v>
      </x:c>
      <x:c r="P93" s="39" t="n">
        <x:v>6486525.9</x:v>
      </x:c>
      <x:c r="Q93" s="39" t="n">
        <x:v>-1248078.6</x:v>
      </x:c>
      <x:c r="R93" s="40" t="n">
        <x:v>-19.2</x:v>
      </x:c>
      <x:c r="S93" s="41" t="n">
        <x:v>29</x:v>
      </x:c>
      <x:c r="T93" s="36" t="str">
        <x:v>Yes</x:v>
      </x:c>
      <x:c r="U93" s="36" t="str">
        <x:v>Delivered</x:v>
      </x:c>
    </x:row>
    <x:row r="94">
      <x:c r="A94" s="36" t="str">
        <x:v>PO-2025-0093</x:v>
      </x:c>
      <x:c r="B94" s="37" t="n">
        <x:v>45756</x:v>
      </x:c>
      <x:c r="C94" s="36" t="str">
        <x:v>April</x:v>
      </x:c>
      <x:c r="D94" s="36" t="str">
        <x:v>Bow River Crossing Overpass</x:v>
      </x:c>
      <x:c r="E94" s="36" t="str">
        <x:v>Calgary NE</x:v>
      </x:c>
      <x:c r="F94" s="36" t="str">
        <x:v>Derek McLean</x:v>
      </x:c>
      <x:c r="G94" s="36" t="str">
        <x:v>MEP - Electrical</x:v>
      </x:c>
      <x:c r="H94" s="36" t="str">
        <x:v>LED Site Lighting</x:v>
      </x:c>
      <x:c r="I94" s="36" t="str">
        <x:v>Stuart Olson Electrical</x:v>
      </x:c>
      <x:c r="J94" s="36" t="str">
        <x:v>3-Quote Comparison</x:v>
      </x:c>
      <x:c r="K94" s="38" t="n">
        <x:v>100</x:v>
      </x:c>
      <x:c r="L94" s="36" t="str">
        <x:v>lot</x:v>
      </x:c>
      <x:c r="M94" s="39" t="n">
        <x:v>32006.28</x:v>
      </x:c>
      <x:c r="N94" s="39" t="n">
        <x:v>32939.55</x:v>
      </x:c>
      <x:c r="O94" s="39" t="n">
        <x:v>3200628</x:v>
      </x:c>
      <x:c r="P94" s="39" t="n">
        <x:v>3293955</x:v>
      </x:c>
      <x:c r="Q94" s="39" t="n">
        <x:v>-93327</x:v>
      </x:c>
      <x:c r="R94" s="40" t="n">
        <x:v>-2.8</x:v>
      </x:c>
      <x:c r="S94" s="41" t="n">
        <x:v>14</x:v>
      </x:c>
      <x:c r="T94" s="36" t="str">
        <x:v>No</x:v>
      </x:c>
      <x:c r="U94" s="36" t="str">
        <x:v>Delivered</x:v>
      </x:c>
    </x:row>
    <x:row r="95">
      <x:c r="A95" s="36" t="str">
        <x:v>PO-2025-0094</x:v>
      </x:c>
      <x:c r="B95" s="37" t="n">
        <x:v>45719</x:v>
      </x:c>
      <x:c r="C95" s="36" t="str">
        <x:v>March</x:v>
      </x:c>
      <x:c r="D95" s="36" t="str">
        <x:v>Foothills Medical Centre Expansion</x:v>
      </x:c>
      <x:c r="E95" s="36" t="str">
        <x:v>Calgary SE</x:v>
      </x:c>
      <x:c r="F95" s="36" t="str">
        <x:v>Mohammed Siddiqui</x:v>
      </x:c>
      <x:c r="G95" s="36" t="str">
        <x:v>MEP - Mechanical</x:v>
      </x:c>
      <x:c r="H95" s="36" t="str">
        <x:v>Boiler System</x:v>
      </x:c>
      <x:c r="I95" s="36" t="str">
        <x:v>PCL Mechanical</x:v>
      </x:c>
      <x:c r="J95" s="36" t="str">
        <x:v>Tender – Open</x:v>
      </x:c>
      <x:c r="K95" s="38" t="n">
        <x:v>68</x:v>
      </x:c>
      <x:c r="L95" s="36" t="str">
        <x:v>lot</x:v>
      </x:c>
      <x:c r="M95" s="39" t="n">
        <x:v>79843.61</x:v>
      </x:c>
      <x:c r="N95" s="39" t="n">
        <x:v>95499.94</x:v>
      </x:c>
      <x:c r="O95" s="39" t="n">
        <x:v>5429365.48</x:v>
      </x:c>
      <x:c r="P95" s="39" t="n">
        <x:v>6493995.92</x:v>
      </x:c>
      <x:c r="Q95" s="39" t="n">
        <x:v>-1064630.44</x:v>
      </x:c>
      <x:c r="R95" s="40" t="n">
        <x:v>-16.4</x:v>
      </x:c>
      <x:c r="S95" s="41" t="n">
        <x:v>79</x:v>
      </x:c>
      <x:c r="T95" s="36" t="str">
        <x:v>Yes</x:v>
      </x:c>
      <x:c r="U95" s="36" t="str">
        <x:v>Delivered</x:v>
      </x:c>
    </x:row>
    <x:row r="96">
      <x:c r="A96" s="36" t="str">
        <x:v>PO-2025-0095</x:v>
      </x:c>
      <x:c r="B96" s="37" t="n">
        <x:v>45750</x:v>
      </x:c>
      <x:c r="C96" s="36" t="str">
        <x:v>April</x:v>
      </x:c>
      <x:c r="D96" s="36" t="str">
        <x:v>Foothills Medical Centre Expansion</x:v>
      </x:c>
      <x:c r="E96" s="36" t="str">
        <x:v>Calgary SE</x:v>
      </x:c>
      <x:c r="F96" s="36" t="str">
        <x:v>Priya Sharma</x:v>
      </x:c>
      <x:c r="G96" s="36" t="str">
        <x:v>MEP - Mechanical</x:v>
      </x:c>
      <x:c r="H96" s="36" t="str">
        <x:v>HVAC Rooftop Unit</x:v>
      </x:c>
      <x:c r="I96" s="36" t="str">
        <x:v>Stantec MEP</x:v>
      </x:c>
      <x:c r="J96" s="36" t="str">
        <x:v>Standing Offer Agreement</x:v>
      </x:c>
      <x:c r="K96" s="38" t="n">
        <x:v>10</x:v>
      </x:c>
      <x:c r="L96" s="36" t="str">
        <x:v>lot</x:v>
      </x:c>
      <x:c r="M96" s="39" t="n">
        <x:v>90337.64</x:v>
      </x:c>
      <x:c r="N96" s="39" t="n">
        <x:v>95912.26</x:v>
      </x:c>
      <x:c r="O96" s="39" t="n">
        <x:v>903376.4</x:v>
      </x:c>
      <x:c r="P96" s="39" t="n">
        <x:v>959122.6</x:v>
      </x:c>
      <x:c r="Q96" s="39" t="n">
        <x:v>-55746.2</x:v>
      </x:c>
      <x:c r="R96" s="40" t="n">
        <x:v>-5.8</x:v>
      </x:c>
      <x:c r="S96" s="41" t="n">
        <x:v>9</x:v>
      </x:c>
      <x:c r="T96" s="36" t="str">
        <x:v>No</x:v>
      </x:c>
      <x:c r="U96" s="36" t="str">
        <x:v>Pending</x:v>
      </x:c>
    </x:row>
    <x:row r="97">
      <x:c r="A97" s="36" t="str">
        <x:v>PO-2025-0096</x:v>
      </x:c>
      <x:c r="B97" s="37" t="n">
        <x:v>45803</x:v>
      </x:c>
      <x:c r="C97" s="36" t="str">
        <x:v>May</x:v>
      </x:c>
      <x:c r="D97" s="36" t="str">
        <x:v>Deerfoot Trail Widening - North</x:v>
      </x:c>
      <x:c r="E97" s="36" t="str">
        <x:v>Calgary SE</x:v>
      </x:c>
      <x:c r="F97" s="36" t="str">
        <x:v>James Okafor</x:v>
      </x:c>
      <x:c r="G97" s="36" t="str">
        <x:v>Civil Works</x:v>
      </x:c>
      <x:c r="H97" s="36" t="str">
        <x:v>Storm Drainage Pipe</x:v>
      </x:c>
      <x:c r="I97" s="36" t="str">
        <x:v>Ledcor Civil Alberta</x:v>
      </x:c>
      <x:c r="J97" s="36" t="str">
        <x:v>Tender – Open</x:v>
      </x:c>
      <x:c r="K97" s="38" t="n">
        <x:v>25</x:v>
      </x:c>
      <x:c r="L97" s="36" t="str">
        <x:v>m³</x:v>
      </x:c>
      <x:c r="M97" s="39" t="n">
        <x:v>307.03</x:v>
      </x:c>
      <x:c r="N97" s="39" t="n">
        <x:v>292.74</x:v>
      </x:c>
      <x:c r="O97" s="39" t="n">
        <x:v>7675.75</x:v>
      </x:c>
      <x:c r="P97" s="39" t="n">
        <x:v>7318.5</x:v>
      </x:c>
      <x:c r="Q97" s="39" t="n">
        <x:v>357.25</x:v>
      </x:c>
      <x:c r="R97" s="40" t="n">
        <x:v>4.9</x:v>
      </x:c>
      <x:c r="S97" s="41" t="n">
        <x:v>39</x:v>
      </x:c>
      <x:c r="T97" s="36" t="str">
        <x:v>Yes</x:v>
      </x:c>
      <x:c r="U97" s="36" t="str">
        <x:v>Delivered</x:v>
      </x:c>
    </x:row>
    <x:row r="98">
      <x:c r="A98" s="36" t="str">
        <x:v>PO-2025-0097</x:v>
      </x:c>
      <x:c r="B98" s="37" t="n">
        <x:v>45753</x:v>
      </x:c>
      <x:c r="C98" s="36" t="str">
        <x:v>April</x:v>
      </x:c>
      <x:c r="D98" s="36" t="str">
        <x:v>Saddledome Arena Retrofit</x:v>
      </x:c>
      <x:c r="E98" s="36" t="str">
        <x:v>Calgary NE</x:v>
      </x:c>
      <x:c r="F98" s="36" t="str">
        <x:v>Liam Kowalski</x:v>
      </x:c>
      <x:c r="G98" s="36" t="str">
        <x:v>Finishing</x:v>
      </x:c>
      <x:c r="H98" s="36" t="str">
        <x:v>Exterior Cladding Panel</x:v>
      </x:c>
      <x:c r="I98" s="36" t="str">
        <x:v>Dryvit Systems Canada</x:v>
      </x:c>
      <x:c r="J98" s="36" t="str">
        <x:v>Standing Offer Agreement</x:v>
      </x:c>
      <x:c r="K98" s="38" t="n">
        <x:v>9</x:v>
      </x:c>
      <x:c r="L98" s="36" t="str">
        <x:v>m²</x:v>
      </x:c>
      <x:c r="M98" s="39" t="n">
        <x:v>84.09</x:v>
      </x:c>
      <x:c r="N98" s="39" t="n">
        <x:v>90.08</x:v>
      </x:c>
      <x:c r="O98" s="39" t="n">
        <x:v>756.81</x:v>
      </x:c>
      <x:c r="P98" s="39" t="n">
        <x:v>810.72</x:v>
      </x:c>
      <x:c r="Q98" s="39" t="n">
        <x:v>-53.91</x:v>
      </x:c>
      <x:c r="R98" s="40" t="n">
        <x:v>-6.6</x:v>
      </x:c>
      <x:c r="S98" s="41" t="n">
        <x:v>50</x:v>
      </x:c>
      <x:c r="T98" s="36" t="str">
        <x:v>Yes</x:v>
      </x:c>
      <x:c r="U98" s="36" t="str">
        <x:v>Partially Delivered</x:v>
      </x:c>
    </x:row>
    <x:row r="99">
      <x:c r="A99" s="36" t="str">
        <x:v>PO-2025-0098</x:v>
      </x:c>
      <x:c r="B99" s="37" t="n">
        <x:v>45674</x:v>
      </x:c>
      <x:c r="C99" s="36" t="str">
        <x:v>January</x:v>
      </x:c>
      <x:c r="D99" s="36" t="str">
        <x:v>Deerfoot Trail Widening - North</x:v>
      </x:c>
      <x:c r="E99" s="36" t="str">
        <x:v>Calgary SE</x:v>
      </x:c>
      <x:c r="F99" s="36" t="str">
        <x:v>James Okafor</x:v>
      </x:c>
      <x:c r="G99" s="36" t="str">
        <x:v>Finishing</x:v>
      </x:c>
      <x:c r="H99" s="36" t="str">
        <x:v>Waterproofing Membrane</x:v>
      </x:c>
      <x:c r="I99" s="36" t="str">
        <x:v>Armstrong World Industries</x:v>
      </x:c>
      <x:c r="J99" s="36" t="str">
        <x:v>LPO – Direct Award</x:v>
      </x:c>
      <x:c r="K99" s="38" t="n">
        <x:v>31</x:v>
      </x:c>
      <x:c r="L99" s="36" t="str">
        <x:v>m²</x:v>
      </x:c>
      <x:c r="M99" s="39" t="n">
        <x:v>303.23</x:v>
      </x:c>
      <x:c r="N99" s="39" t="n">
        <x:v>337.8</x:v>
      </x:c>
      <x:c r="O99" s="39" t="n">
        <x:v>9400.13</x:v>
      </x:c>
      <x:c r="P99" s="39" t="n">
        <x:v>10471.8</x:v>
      </x:c>
      <x:c r="Q99" s="39" t="n">
        <x:v>-1071.67</x:v>
      </x:c>
      <x:c r="R99" s="40" t="n">
        <x:v>-10.2</x:v>
      </x:c>
      <x:c r="S99" s="41" t="n">
        <x:v>74</x:v>
      </x:c>
      <x:c r="T99" s="36" t="str">
        <x:v>Yes</x:v>
      </x:c>
      <x:c r="U99" s="36" t="str">
        <x:v>Cancelled</x:v>
      </x:c>
    </x:row>
    <x:row r="100">
      <x:c r="A100" s="36" t="str">
        <x:v>PO-2025-0099</x:v>
      </x:c>
      <x:c r="B100" s="37" t="n">
        <x:v>45778</x:v>
      </x:c>
      <x:c r="C100" s="36" t="str">
        <x:v>May</x:v>
      </x:c>
      <x:c r="D100" s="36" t="str">
        <x:v>Quarry Park Mixed-Use Development</x:v>
      </x:c>
      <x:c r="E100" s="36" t="str">
        <x:v>Rocky View County</x:v>
      </x:c>
      <x:c r="F100" s="36" t="str">
        <x:v>Mohammed Siddiqui</x:v>
      </x:c>
      <x:c r="G100" s="36" t="str">
        <x:v>Finishing</x:v>
      </x:c>
      <x:c r="H100" s="36" t="str">
        <x:v>Drywall &amp; Framing</x:v>
      </x:c>
      <x:c r="I100" s="36" t="str">
        <x:v>Dryvit Systems Canada</x:v>
      </x:c>
      <x:c r="J100" s="36" t="str">
        <x:v>LPO – Direct Award</x:v>
      </x:c>
      <x:c r="K100" s="38" t="n">
        <x:v>92</x:v>
      </x:c>
      <x:c r="L100" s="36" t="str">
        <x:v>m²</x:v>
      </x:c>
      <x:c r="M100" s="39" t="n">
        <x:v>141</x:v>
      </x:c>
      <x:c r="N100" s="39" t="n">
        <x:v>124.07</x:v>
      </x:c>
      <x:c r="O100" s="39" t="n">
        <x:v>12972</x:v>
      </x:c>
      <x:c r="P100" s="39" t="n">
        <x:v>11414.44</x:v>
      </x:c>
      <x:c r="Q100" s="39" t="n">
        <x:v>1557.56</x:v>
      </x:c>
      <x:c r="R100" s="40" t="n">
        <x:v>13.6</x:v>
      </x:c>
      <x:c r="S100" s="41" t="n">
        <x:v>61</x:v>
      </x:c>
      <x:c r="T100" s="36" t="str">
        <x:v>Yes</x:v>
      </x:c>
      <x:c r="U100" s="36" t="str">
        <x:v>Delivered</x:v>
      </x:c>
    </x:row>
    <x:row r="101">
      <x:c r="A101" s="36" t="str">
        <x:v>PO-2025-0100</x:v>
      </x:c>
      <x:c r="B101" s="37" t="n">
        <x:v>45824</x:v>
      </x:c>
      <x:c r="C101" s="36" t="str">
        <x:v>June</x:v>
      </x:c>
      <x:c r="D101" s="36" t="str">
        <x:v>Saddledome Arena Retrofit</x:v>
      </x:c>
      <x:c r="E101" s="36" t="str">
        <x:v>Calgary NE</x:v>
      </x:c>
      <x:c r="F101" s="36" t="str">
        <x:v>Aisha Nkosi</x:v>
      </x:c>
      <x:c r="G101" s="36" t="str">
        <x:v>Finishing</x:v>
      </x:c>
      <x:c r="H101" s="36" t="str">
        <x:v>Exterior Cladding Panel</x:v>
      </x:c>
      <x:c r="I101" s="36" t="str">
        <x:v>Dryvit Systems Canada</x:v>
      </x:c>
      <x:c r="J101" s="36" t="str">
        <x:v>Tender – Open</x:v>
      </x:c>
      <x:c r="K101" s="38" t="n">
        <x:v>4</x:v>
      </x:c>
      <x:c r="L101" s="36" t="str">
        <x:v>m²</x:v>
      </x:c>
      <x:c r="M101" s="39" t="n">
        <x:v>402.67</x:v>
      </x:c>
      <x:c r="N101" s="39" t="n">
        <x:v>357.4</x:v>
      </x:c>
      <x:c r="O101" s="39" t="n">
        <x:v>1610.68</x:v>
      </x:c>
      <x:c r="P101" s="39" t="n">
        <x:v>1429.6</x:v>
      </x:c>
      <x:c r="Q101" s="39" t="n">
        <x:v>181.08</x:v>
      </x:c>
      <x:c r="R101" s="40" t="n">
        <x:v>12.7</x:v>
      </x:c>
      <x:c r="S101" s="41" t="n">
        <x:v>26</x:v>
      </x:c>
      <x:c r="T101" s="36" t="str">
        <x:v>Yes</x:v>
      </x:c>
      <x:c r="U101" s="36" t="str">
        <x:v>Pending</x:v>
      </x:c>
    </x:row>
    <x:row r="102">
      <x:c r="A102" s="36" t="str">
        <x:v>PO-2025-0101</x:v>
      </x:c>
      <x:c r="B102" s="37" t="n">
        <x:v>45954</x:v>
      </x:c>
      <x:c r="C102" s="36" t="str">
        <x:v>October</x:v>
      </x:c>
      <x:c r="D102" s="36" t="str">
        <x:v>Foothills Medical Centre Expansion</x:v>
      </x:c>
      <x:c r="E102" s="36" t="str">
        <x:v>Calgary SW</x:v>
      </x:c>
      <x:c r="F102" s="36" t="str">
        <x:v>Liam Kowalski</x:v>
      </x:c>
      <x:c r="G102" s="36" t="str">
        <x:v>Concrete &amp; Structural</x:v>
      </x:c>
      <x:c r="H102" s="36" t="str">
        <x:v>Rebar Steel</x:v>
      </x:c>
      <x:c r="I102" s="36" t="str">
        <x:v>Evraz Steel Calgary</x:v>
      </x:c>
      <x:c r="J102" s="36" t="str">
        <x:v>Tender – Open</x:v>
      </x:c>
      <x:c r="K102" s="38" t="n">
        <x:v>95</x:v>
      </x:c>
      <x:c r="L102" s="36" t="str">
        <x:v>m³</x:v>
      </x:c>
      <x:c r="M102" s="39" t="n">
        <x:v>595.24</x:v>
      </x:c>
      <x:c r="N102" s="39" t="n">
        <x:v>630.76</x:v>
      </x:c>
      <x:c r="O102" s="39" t="n">
        <x:v>56547.8</x:v>
      </x:c>
      <x:c r="P102" s="39" t="n">
        <x:v>59922.2</x:v>
      </x:c>
      <x:c r="Q102" s="39" t="n">
        <x:v>-3374.4</x:v>
      </x:c>
      <x:c r="R102" s="40" t="n">
        <x:v>-5.6</x:v>
      </x:c>
      <x:c r="S102" s="41" t="n">
        <x:v>37</x:v>
      </x:c>
      <x:c r="T102" s="36" t="str">
        <x:v>Yes</x:v>
      </x:c>
      <x:c r="U102" s="36" t="str">
        <x:v>Partially Delivered</x:v>
      </x:c>
    </x:row>
    <x:row r="103">
      <x:c r="A103" s="36" t="str">
        <x:v>PO-2025-0102</x:v>
      </x:c>
      <x:c r="B103" s="37" t="n">
        <x:v>45703</x:v>
      </x:c>
      <x:c r="C103" s="36" t="str">
        <x:v>February</x:v>
      </x:c>
      <x:c r="D103" s="36" t="str">
        <x:v>Deerfoot Trail Widening - North</x:v>
      </x:c>
      <x:c r="E103" s="36" t="str">
        <x:v>Calgary SW</x:v>
      </x:c>
      <x:c r="F103" s="36" t="str">
        <x:v>James Okafor</x:v>
      </x:c>
      <x:c r="G103" s="36" t="str">
        <x:v>Civil Works</x:v>
      </x:c>
      <x:c r="H103" s="36" t="str">
        <x:v>Road Base Aggregate</x:v>
      </x:c>
      <x:c r="I103" s="36" t="str">
        <x:v>Graham Construction</x:v>
      </x:c>
      <x:c r="J103" s="36" t="str">
        <x:v>Standing Offer Agreement</x:v>
      </x:c>
      <x:c r="K103" s="38" t="n">
        <x:v>107</x:v>
      </x:c>
      <x:c r="L103" s="36" t="str">
        <x:v>m³</x:v>
      </x:c>
      <x:c r="M103" s="39" t="n">
        <x:v>231.12</x:v>
      </x:c>
      <x:c r="N103" s="39" t="n">
        <x:v>251.1</x:v>
      </x:c>
      <x:c r="O103" s="39" t="n">
        <x:v>24729.84</x:v>
      </x:c>
      <x:c r="P103" s="39" t="n">
        <x:v>26867.7</x:v>
      </x:c>
      <x:c r="Q103" s="39" t="n">
        <x:v>-2137.86</x:v>
      </x:c>
      <x:c r="R103" s="40" t="n">
        <x:v>-8</x:v>
      </x:c>
      <x:c r="S103" s="41" t="n">
        <x:v>62</x:v>
      </x:c>
      <x:c r="T103" s="36" t="str">
        <x:v>No</x:v>
      </x:c>
      <x:c r="U103" s="36" t="str">
        <x:v>Partially Delivered</x:v>
      </x:c>
    </x:row>
    <x:row r="104">
      <x:c r="A104" s="36" t="str">
        <x:v>PO-2025-0103</x:v>
      </x:c>
      <x:c r="B104" s="37" t="n">
        <x:v>45897</x:v>
      </x:c>
      <x:c r="C104" s="36" t="str">
        <x:v>August</x:v>
      </x:c>
      <x:c r="D104" s="36" t="str">
        <x:v>Rocky View Industrial Logistics Hub</x:v>
      </x:c>
      <x:c r="E104" s="36" t="str">
        <x:v>Calgary SW</x:v>
      </x:c>
      <x:c r="F104" s="36" t="str">
        <x:v>Aisha Nkosi</x:v>
      </x:c>
      <x:c r="G104" s="36" t="str">
        <x:v>Safety &amp; Temp Works</x:v>
      </x:c>
      <x:c r="H104" s="36" t="str">
        <x:v>Site Hoarding &amp; Fencing</x:v>
      </x:c>
      <x:c r="I104" s="36" t="str">
        <x:v>Safway Alberta</x:v>
      </x:c>
      <x:c r="J104" s="36" t="str">
        <x:v>Emergency Procurement</x:v>
      </x:c>
      <x:c r="K104" s="38" t="n">
        <x:v>19</x:v>
      </x:c>
      <x:c r="L104" s="36" t="str">
        <x:v>lot</x:v>
      </x:c>
      <x:c r="M104" s="39" t="n">
        <x:v>19736.16</x:v>
      </x:c>
      <x:c r="N104" s="39" t="n">
        <x:v>22557.43</x:v>
      </x:c>
      <x:c r="O104" s="39" t="n">
        <x:v>374987.04</x:v>
      </x:c>
      <x:c r="P104" s="39" t="n">
        <x:v>428591.17</x:v>
      </x:c>
      <x:c r="Q104" s="39" t="n">
        <x:v>-53604.13</x:v>
      </x:c>
      <x:c r="R104" s="40" t="n">
        <x:v>-12.5</x:v>
      </x:c>
      <x:c r="S104" s="41" t="n">
        <x:v>70</x:v>
      </x:c>
      <x:c r="T104" s="36" t="str">
        <x:v>Yes</x:v>
      </x:c>
      <x:c r="U104" s="36" t="str">
        <x:v>Delivered</x:v>
      </x:c>
    </x:row>
    <x:row r="105">
      <x:c r="A105" s="36" t="str">
        <x:v>PO-2025-0104</x:v>
      </x:c>
      <x:c r="B105" s="37" t="n">
        <x:v>45659</x:v>
      </x:c>
      <x:c r="C105" s="36" t="str">
        <x:v>January</x:v>
      </x:c>
      <x:c r="D105" s="36" t="str">
        <x:v>Foothills Medical Centre Expansion</x:v>
      </x:c>
      <x:c r="E105" s="36" t="str">
        <x:v>Rocky View County</x:v>
      </x:c>
      <x:c r="F105" s="36" t="str">
        <x:v>Derek McLean</x:v>
      </x:c>
      <x:c r="G105" s="36" t="str">
        <x:v>Finishing</x:v>
      </x:c>
      <x:c r="H105" s="36" t="str">
        <x:v>Drywall &amp; Framing</x:v>
      </x:c>
      <x:c r="I105" s="36" t="str">
        <x:v>Centura Tile Calgary</x:v>
      </x:c>
      <x:c r="J105" s="36" t="str">
        <x:v>Emergency Procurement</x:v>
      </x:c>
      <x:c r="K105" s="38" t="n">
        <x:v>55</x:v>
      </x:c>
      <x:c r="L105" s="36" t="str">
        <x:v>m²</x:v>
      </x:c>
      <x:c r="M105" s="39" t="n">
        <x:v>179.23</x:v>
      </x:c>
      <x:c r="N105" s="39" t="n">
        <x:v>217.86</x:v>
      </x:c>
      <x:c r="O105" s="39" t="n">
        <x:v>9857.65</x:v>
      </x:c>
      <x:c r="P105" s="39" t="n">
        <x:v>11982.3</x:v>
      </x:c>
      <x:c r="Q105" s="39" t="n">
        <x:v>-2124.65</x:v>
      </x:c>
      <x:c r="R105" s="40" t="n">
        <x:v>-17.7</x:v>
      </x:c>
      <x:c r="S105" s="41" t="n">
        <x:v>8</x:v>
      </x:c>
      <x:c r="T105" s="36" t="str">
        <x:v>Yes</x:v>
      </x:c>
      <x:c r="U105" s="36" t="str">
        <x:v>Cancelled</x:v>
      </x:c>
    </x:row>
    <x:row r="106">
      <x:c r="A106" s="36" t="str">
        <x:v>PO-2025-0105</x:v>
      </x:c>
      <x:c r="B106" s="37" t="n">
        <x:v>45971</x:v>
      </x:c>
      <x:c r="C106" s="36" t="str">
        <x:v>November</x:v>
      </x:c>
      <x:c r="D106" s="36" t="str">
        <x:v>Foothills Medical Centre Expansion</x:v>
      </x:c>
      <x:c r="E106" s="36" t="str">
        <x:v>Calgary SE</x:v>
      </x:c>
      <x:c r="F106" s="36" t="str">
        <x:v>Derek McLean</x:v>
      </x:c>
      <x:c r="G106" s="36" t="str">
        <x:v>MEP - Electrical</x:v>
      </x:c>
      <x:c r="H106" s="36" t="str">
        <x:v>MV Distribution Cable</x:v>
      </x:c>
      <x:c r="I106" s="36" t="str">
        <x:v>Houle Electric</x:v>
      </x:c>
      <x:c r="J106" s="36" t="str">
        <x:v>Standing Offer Agreement</x:v>
      </x:c>
      <x:c r="K106" s="38" t="n">
        <x:v>30</x:v>
      </x:c>
      <x:c r="L106" s="36" t="str">
        <x:v>lot</x:v>
      </x:c>
      <x:c r="M106" s="39" t="n">
        <x:v>10300.65</x:v>
      </x:c>
      <x:c r="N106" s="39" t="n">
        <x:v>10283.34</x:v>
      </x:c>
      <x:c r="O106" s="39" t="n">
        <x:v>309019.5</x:v>
      </x:c>
      <x:c r="P106" s="39" t="n">
        <x:v>308500.2</x:v>
      </x:c>
      <x:c r="Q106" s="39" t="n">
        <x:v>519.3</x:v>
      </x:c>
      <x:c r="R106" s="40" t="n">
        <x:v>0.2</x:v>
      </x:c>
      <x:c r="S106" s="41" t="n">
        <x:v>47</x:v>
      </x:c>
      <x:c r="T106" s="36" t="str">
        <x:v>Yes</x:v>
      </x:c>
      <x:c r="U106" s="36" t="str">
        <x:v>Pending</x:v>
      </x:c>
    </x:row>
    <x:row r="107">
      <x:c r="A107" s="36" t="str">
        <x:v>PO-2025-0106</x:v>
      </x:c>
      <x:c r="B107" s="37" t="n">
        <x:v>45769</x:v>
      </x:c>
      <x:c r="C107" s="36" t="str">
        <x:v>April</x:v>
      </x:c>
      <x:c r="D107" s="36" t="str">
        <x:v>Bow River Crossing Overpass</x:v>
      </x:c>
      <x:c r="E107" s="36" t="str">
        <x:v>Calgary SW</x:v>
      </x:c>
      <x:c r="F107" s="36" t="str">
        <x:v>Linda Tran</x:v>
      </x:c>
      <x:c r="G107" s="36" t="str">
        <x:v>Civil Works</x:v>
      </x:c>
      <x:c r="H107" s="36" t="str">
        <x:v>Storm Drainage Pipe</x:v>
      </x:c>
      <x:c r="I107" s="36" t="str">
        <x:v>Ledcor Civil Alberta</x:v>
      </x:c>
      <x:c r="J107" s="36" t="str">
        <x:v>Emergency Procurement</x:v>
      </x:c>
      <x:c r="K107" s="38" t="n">
        <x:v>111</x:v>
      </x:c>
      <x:c r="L107" s="36" t="str">
        <x:v>m³</x:v>
      </x:c>
      <x:c r="M107" s="39" t="n">
        <x:v>232.14</x:v>
      </x:c>
      <x:c r="N107" s="39" t="n">
        <x:v>277.66</x:v>
      </x:c>
      <x:c r="O107" s="39" t="n">
        <x:v>25767.54</x:v>
      </x:c>
      <x:c r="P107" s="39" t="n">
        <x:v>30820.26</x:v>
      </x:c>
      <x:c r="Q107" s="39" t="n">
        <x:v>-5052.72</x:v>
      </x:c>
      <x:c r="R107" s="40" t="n">
        <x:v>-16.4</x:v>
      </x:c>
      <x:c r="S107" s="41" t="n">
        <x:v>26</x:v>
      </x:c>
      <x:c r="T107" s="36" t="str">
        <x:v>Yes</x:v>
      </x:c>
      <x:c r="U107" s="36" t="str">
        <x:v>Partially Delivered</x:v>
      </x:c>
    </x:row>
    <x:row r="108">
      <x:c r="A108" s="36" t="str">
        <x:v>PO-2025-0107</x:v>
      </x:c>
      <x:c r="B108" s="37" t="n">
        <x:v>45767</x:v>
      </x:c>
      <x:c r="C108" s="36" t="str">
        <x:v>April</x:v>
      </x:c>
      <x:c r="D108" s="36" t="str">
        <x:v>University District Residential Phase 3</x:v>
      </x:c>
      <x:c r="E108" s="36" t="str">
        <x:v>Rocky View County</x:v>
      </x:c>
      <x:c r="F108" s="36" t="str">
        <x:v>Linda Tran</x:v>
      </x:c>
      <x:c r="G108" s="36" t="str">
        <x:v>Concrete &amp; Structural</x:v>
      </x:c>
      <x:c r="H108" s="36" t="str">
        <x:v>Precast Deck Panels</x:v>
      </x:c>
      <x:c r="I108" s="36" t="str">
        <x:v>Evraz Steel Calgary</x:v>
      </x:c>
      <x:c r="J108" s="36" t="str">
        <x:v>3-Quote Comparison</x:v>
      </x:c>
      <x:c r="K108" s="38" t="n">
        <x:v>71</x:v>
      </x:c>
      <x:c r="L108" s="36" t="str">
        <x:v>m³</x:v>
      </x:c>
      <x:c r="M108" s="39" t="n">
        <x:v>296.3</x:v>
      </x:c>
      <x:c r="N108" s="39" t="n">
        <x:v>345.36</x:v>
      </x:c>
      <x:c r="O108" s="39" t="n">
        <x:v>21037.3</x:v>
      </x:c>
      <x:c r="P108" s="39" t="n">
        <x:v>24520.56</x:v>
      </x:c>
      <x:c r="Q108" s="39" t="n">
        <x:v>-3483.26</x:v>
      </x:c>
      <x:c r="R108" s="40" t="n">
        <x:v>-14.2</x:v>
      </x:c>
      <x:c r="S108" s="41" t="n">
        <x:v>65</x:v>
      </x:c>
      <x:c r="T108" s="36" t="str">
        <x:v>No</x:v>
      </x:c>
      <x:c r="U108" s="36" t="str">
        <x:v>Delivered</x:v>
      </x:c>
    </x:row>
    <x:row r="109">
      <x:c r="A109" s="36" t="str">
        <x:v>PO-2025-0108</x:v>
      </x:c>
      <x:c r="B109" s="37" t="n">
        <x:v>45962</x:v>
      </x:c>
      <x:c r="C109" s="36" t="str">
        <x:v>November</x:v>
      </x:c>
      <x:c r="D109" s="36" t="str">
        <x:v>Stampede Park Infrastructure Upgrade</x:v>
      </x:c>
      <x:c r="E109" s="36" t="str">
        <x:v>Calgary SE</x:v>
      </x:c>
      <x:c r="F109" s="36" t="str">
        <x:v>James Okafor</x:v>
      </x:c>
      <x:c r="G109" s="36" t="str">
        <x:v>Civil Works</x:v>
      </x:c>
      <x:c r="H109" s="36" t="str">
        <x:v>Curb &amp; Gutter Concrete</x:v>
      </x:c>
      <x:c r="I109" s="36" t="str">
        <x:v>EllisDon Civil</x:v>
      </x:c>
      <x:c r="J109" s="36" t="str">
        <x:v>Standing Offer Agreement</x:v>
      </x:c>
      <x:c r="K109" s="38" t="n">
        <x:v>50</x:v>
      </x:c>
      <x:c r="L109" s="36" t="str">
        <x:v>m³</x:v>
      </x:c>
      <x:c r="M109" s="39" t="n">
        <x:v>107.17</x:v>
      </x:c>
      <x:c r="N109" s="39" t="n">
        <x:v>109.24</x:v>
      </x:c>
      <x:c r="O109" s="39" t="n">
        <x:v>5358.5</x:v>
      </x:c>
      <x:c r="P109" s="39" t="n">
        <x:v>5462</x:v>
      </x:c>
      <x:c r="Q109" s="39" t="n">
        <x:v>-103.5</x:v>
      </x:c>
      <x:c r="R109" s="40" t="n">
        <x:v>-1.9</x:v>
      </x:c>
      <x:c r="S109" s="41" t="n">
        <x:v>10</x:v>
      </x:c>
      <x:c r="T109" s="36" t="str">
        <x:v>Yes</x:v>
      </x:c>
      <x:c r="U109" s="36" t="str">
        <x:v>Delivered</x:v>
      </x:c>
    </x:row>
    <x:row r="110">
      <x:c r="A110" s="36" t="str">
        <x:v>PO-2025-0109</x:v>
      </x:c>
      <x:c r="B110" s="37" t="n">
        <x:v>45798</x:v>
      </x:c>
      <x:c r="C110" s="36" t="str">
        <x:v>May</x:v>
      </x:c>
      <x:c r="D110" s="36" t="str">
        <x:v>Springbank Off-Stream Reservoir</x:v>
      </x:c>
      <x:c r="E110" s="36" t="str">
        <x:v>Calgary NE</x:v>
      </x:c>
      <x:c r="F110" s="36" t="str">
        <x:v>Derek McLean</x:v>
      </x:c>
      <x:c r="G110" s="36" t="str">
        <x:v>Finishing</x:v>
      </x:c>
      <x:c r="H110" s="36" t="str">
        <x:v>Drywall &amp; Framing</x:v>
      </x:c>
      <x:c r="I110" s="36" t="str">
        <x:v>Tremco Roofing</x:v>
      </x:c>
      <x:c r="J110" s="36" t="str">
        <x:v>Emergency Procurement</x:v>
      </x:c>
      <x:c r="K110" s="38" t="n">
        <x:v>92</x:v>
      </x:c>
      <x:c r="L110" s="36" t="str">
        <x:v>m²</x:v>
      </x:c>
      <x:c r="M110" s="39" t="n">
        <x:v>429.43</x:v>
      </x:c>
      <x:c r="N110" s="39" t="n">
        <x:v>404.81</x:v>
      </x:c>
      <x:c r="O110" s="39" t="n">
        <x:v>39507.56</x:v>
      </x:c>
      <x:c r="P110" s="39" t="n">
        <x:v>37242.52</x:v>
      </x:c>
      <x:c r="Q110" s="39" t="n">
        <x:v>2265.04</x:v>
      </x:c>
      <x:c r="R110" s="40" t="n">
        <x:v>6.1</x:v>
      </x:c>
      <x:c r="S110" s="41" t="n">
        <x:v>17</x:v>
      </x:c>
      <x:c r="T110" s="36" t="str">
        <x:v>Yes</x:v>
      </x:c>
      <x:c r="U110" s="36" t="str">
        <x:v>Delivered</x:v>
      </x:c>
    </x:row>
    <x:row r="111">
      <x:c r="A111" s="36" t="str">
        <x:v>PO-2025-0110</x:v>
      </x:c>
      <x:c r="B111" s="37" t="n">
        <x:v>45842</x:v>
      </x:c>
      <x:c r="C111" s="36" t="str">
        <x:v>July</x:v>
      </x:c>
      <x:c r="D111" s="36" t="str">
        <x:v>Saddledome Arena Retrofit</x:v>
      </x:c>
      <x:c r="E111" s="36" t="str">
        <x:v>Calgary SW</x:v>
      </x:c>
      <x:c r="F111" s="36" t="str">
        <x:v>Linda Tran</x:v>
      </x:c>
      <x:c r="G111" s="36" t="str">
        <x:v>Safety &amp; Temp Works</x:v>
      </x:c>
      <x:c r="H111" s="36" t="str">
        <x:v>Site Hoarding &amp; Fencing</x:v>
      </x:c>
      <x:c r="I111" s="36" t="str">
        <x:v>BrandSafway Canada</x:v>
      </x:c>
      <x:c r="J111" s="36" t="str">
        <x:v>Standing Offer Agreement</x:v>
      </x:c>
      <x:c r="K111" s="38" t="n">
        <x:v>110</x:v>
      </x:c>
      <x:c r="L111" s="36" t="str">
        <x:v>lot</x:v>
      </x:c>
      <x:c r="M111" s="39" t="n">
        <x:v>9493.75</x:v>
      </x:c>
      <x:c r="N111" s="39" t="n">
        <x:v>11347.94</x:v>
      </x:c>
      <x:c r="O111" s="39" t="n">
        <x:v>1044312.5</x:v>
      </x:c>
      <x:c r="P111" s="39" t="n">
        <x:v>1248273.4</x:v>
      </x:c>
      <x:c r="Q111" s="39" t="n">
        <x:v>-203960.9</x:v>
      </x:c>
      <x:c r="R111" s="40" t="n">
        <x:v>-16.3</x:v>
      </x:c>
      <x:c r="S111" s="41" t="n">
        <x:v>45</x:v>
      </x:c>
      <x:c r="T111" s="36" t="str">
        <x:v>No</x:v>
      </x:c>
      <x:c r="U111" s="36" t="str">
        <x:v>Pending</x:v>
      </x:c>
    </x:row>
    <x:row r="112">
      <x:c r="A112" s="36" t="str">
        <x:v>PO-2025-0111</x:v>
      </x:c>
      <x:c r="B112" s="37" t="n">
        <x:v>45686</x:v>
      </x:c>
      <x:c r="C112" s="36" t="str">
        <x:v>January</x:v>
      </x:c>
      <x:c r="D112" s="36" t="str">
        <x:v>Quarry Park Mixed-Use Development</x:v>
      </x:c>
      <x:c r="E112" s="36" t="str">
        <x:v>Rocky View County</x:v>
      </x:c>
      <x:c r="F112" s="36" t="str">
        <x:v>Liam Kowalski</x:v>
      </x:c>
      <x:c r="G112" s="36" t="str">
        <x:v>Finishing</x:v>
      </x:c>
      <x:c r="H112" s="36" t="str">
        <x:v>Drywall &amp; Framing</x:v>
      </x:c>
      <x:c r="I112" s="36" t="str">
        <x:v>Dryvit Systems Canada</x:v>
      </x:c>
      <x:c r="J112" s="36" t="str">
        <x:v>3-Quote Comparison</x:v>
      </x:c>
      <x:c r="K112" s="38" t="n">
        <x:v>77</x:v>
      </x:c>
      <x:c r="L112" s="36" t="str">
        <x:v>m²</x:v>
      </x:c>
      <x:c r="M112" s="39" t="n">
        <x:v>120.35</x:v>
      </x:c>
      <x:c r="N112" s="39" t="n">
        <x:v>109.34</x:v>
      </x:c>
      <x:c r="O112" s="39" t="n">
        <x:v>9266.95</x:v>
      </x:c>
      <x:c r="P112" s="39" t="n">
        <x:v>8419.18</x:v>
      </x:c>
      <x:c r="Q112" s="39" t="n">
        <x:v>847.77</x:v>
      </x:c>
      <x:c r="R112" s="40" t="n">
        <x:v>10.1</x:v>
      </x:c>
      <x:c r="S112" s="41" t="n">
        <x:v>30</x:v>
      </x:c>
      <x:c r="T112" s="36" t="str">
        <x:v>Yes</x:v>
      </x:c>
      <x:c r="U112" s="36" t="str">
        <x:v>Partially Delivered</x:v>
      </x:c>
    </x:row>
    <x:row r="113">
      <x:c r="A113" s="36" t="str">
        <x:v>PO-2025-0112</x:v>
      </x:c>
      <x:c r="B113" s="37" t="n">
        <x:v>45903</x:v>
      </x:c>
      <x:c r="C113" s="36" t="str">
        <x:v>September</x:v>
      </x:c>
      <x:c r="D113" s="36" t="str">
        <x:v>Deerfoot Trail Widening - North</x:v>
      </x:c>
      <x:c r="E113" s="36" t="str">
        <x:v>Calgary SW</x:v>
      </x:c>
      <x:c r="F113" s="36" t="str">
        <x:v>Linda Tran</x:v>
      </x:c>
      <x:c r="G113" s="36" t="str">
        <x:v>Finishing</x:v>
      </x:c>
      <x:c r="H113" s="36" t="str">
        <x:v>Waterproofing Membrane</x:v>
      </x:c>
      <x:c r="I113" s="36" t="str">
        <x:v>Tremco Roofing</x:v>
      </x:c>
      <x:c r="J113" s="36" t="str">
        <x:v>Standing Offer Agreement</x:v>
      </x:c>
      <x:c r="K113" s="38" t="n">
        <x:v>19</x:v>
      </x:c>
      <x:c r="L113" s="36" t="str">
        <x:v>m²</x:v>
      </x:c>
      <x:c r="M113" s="39" t="n">
        <x:v>326.47</x:v>
      </x:c>
      <x:c r="N113" s="39" t="n">
        <x:v>389.95</x:v>
      </x:c>
      <x:c r="O113" s="39" t="n">
        <x:v>6202.93</x:v>
      </x:c>
      <x:c r="P113" s="39" t="n">
        <x:v>7409.05</x:v>
      </x:c>
      <x:c r="Q113" s="39" t="n">
        <x:v>-1206.12</x:v>
      </x:c>
      <x:c r="R113" s="40" t="n">
        <x:v>-16.3</x:v>
      </x:c>
      <x:c r="S113" s="41" t="n">
        <x:v>39</x:v>
      </x:c>
      <x:c r="T113" s="36" t="str">
        <x:v>Yes</x:v>
      </x:c>
      <x:c r="U113" s="36" t="str">
        <x:v>Partially Delivered</x:v>
      </x:c>
    </x:row>
    <x:row r="114">
      <x:c r="A114" s="36" t="str">
        <x:v>PO-2025-0113</x:v>
      </x:c>
      <x:c r="B114" s="37" t="n">
        <x:v>45865</x:v>
      </x:c>
      <x:c r="C114" s="36" t="str">
        <x:v>July</x:v>
      </x:c>
      <x:c r="D114" s="36" t="str">
        <x:v>Saddledome Arena Retrofit</x:v>
      </x:c>
      <x:c r="E114" s="36" t="str">
        <x:v>Rocky View County</x:v>
      </x:c>
      <x:c r="F114" s="36" t="str">
        <x:v>Priya Sharma</x:v>
      </x:c>
      <x:c r="G114" s="36" t="str">
        <x:v>Finishing</x:v>
      </x:c>
      <x:c r="H114" s="36" t="str">
        <x:v>Acoustic Ceiling Grid</x:v>
      </x:c>
      <x:c r="I114" s="36" t="str">
        <x:v>Armstrong World Industries</x:v>
      </x:c>
      <x:c r="J114" s="36" t="str">
        <x:v>Tender – Open</x:v>
      </x:c>
      <x:c r="K114" s="38" t="n">
        <x:v>79</x:v>
      </x:c>
      <x:c r="L114" s="36" t="str">
        <x:v>m²</x:v>
      </x:c>
      <x:c r="M114" s="39" t="n">
        <x:v>208.19</x:v>
      </x:c>
      <x:c r="N114" s="39" t="n">
        <x:v>196.11</x:v>
      </x:c>
      <x:c r="O114" s="39" t="n">
        <x:v>16447.01</x:v>
      </x:c>
      <x:c r="P114" s="39" t="n">
        <x:v>15492.69</x:v>
      </x:c>
      <x:c r="Q114" s="39" t="n">
        <x:v>954.32</x:v>
      </x:c>
      <x:c r="R114" s="40" t="n">
        <x:v>6.2</x:v>
      </x:c>
      <x:c r="S114" s="41" t="n">
        <x:v>9</x:v>
      </x:c>
      <x:c r="T114" s="36" t="str">
        <x:v>Yes</x:v>
      </x:c>
      <x:c r="U114" s="36" t="str">
        <x:v>Cancelled</x:v>
      </x:c>
    </x:row>
    <x:row r="115">
      <x:c r="A115" s="36" t="str">
        <x:v>PO-2025-0114</x:v>
      </x:c>
      <x:c r="B115" s="37" t="n">
        <x:v>45980</x:v>
      </x:c>
      <x:c r="C115" s="36" t="str">
        <x:v>November</x:v>
      </x:c>
      <x:c r="D115" s="36" t="str">
        <x:v>Stampede Park Infrastructure Upgrade</x:v>
      </x:c>
      <x:c r="E115" s="36" t="str">
        <x:v>Calgary NE</x:v>
      </x:c>
      <x:c r="F115" s="36" t="str">
        <x:v>Sarah Bouchard</x:v>
      </x:c>
      <x:c r="G115" s="36" t="str">
        <x:v>Safety &amp; Temp Works</x:v>
      </x:c>
      <x:c r="H115" s="36" t="str">
        <x:v>Fall Protection Netting</x:v>
      </x:c>
      <x:c r="I115" s="36" t="str">
        <x:v>BrandSafway Canada</x:v>
      </x:c>
      <x:c r="J115" s="36" t="str">
        <x:v>Emergency Procurement</x:v>
      </x:c>
      <x:c r="K115" s="38" t="n">
        <x:v>86</x:v>
      </x:c>
      <x:c r="L115" s="36" t="str">
        <x:v>lot</x:v>
      </x:c>
      <x:c r="M115" s="39" t="n">
        <x:v>14063.93</x:v>
      </x:c>
      <x:c r="N115" s="39" t="n">
        <x:v>12747.53</x:v>
      </x:c>
      <x:c r="O115" s="39" t="n">
        <x:v>1209497.98</x:v>
      </x:c>
      <x:c r="P115" s="39" t="n">
        <x:v>1096287.58</x:v>
      </x:c>
      <x:c r="Q115" s="39" t="n">
        <x:v>113210.4</x:v>
      </x:c>
      <x:c r="R115" s="40" t="n">
        <x:v>10.3</x:v>
      </x:c>
      <x:c r="S115" s="41" t="n">
        <x:v>51</x:v>
      </x:c>
      <x:c r="T115" s="36" t="str">
        <x:v>No</x:v>
      </x:c>
      <x:c r="U115" s="36" t="str">
        <x:v>Cancelled</x:v>
      </x:c>
    </x:row>
    <x:row r="116">
      <x:c r="A116" s="36" t="str">
        <x:v>PO-2025-0115</x:v>
      </x:c>
      <x:c r="B116" s="37" t="n">
        <x:v>45790</x:v>
      </x:c>
      <x:c r="C116" s="36" t="str">
        <x:v>May</x:v>
      </x:c>
      <x:c r="D116" s="36" t="str">
        <x:v>Calgary SE Ring Road Extension</x:v>
      </x:c>
      <x:c r="E116" s="36" t="str">
        <x:v>Rocky View County</x:v>
      </x:c>
      <x:c r="F116" s="36" t="str">
        <x:v>Liam Kowalski</x:v>
      </x:c>
      <x:c r="G116" s="36" t="str">
        <x:v>Concrete &amp; Structural</x:v>
      </x:c>
      <x:c r="H116" s="36" t="str">
        <x:v>Structural Formwork</x:v>
      </x:c>
      <x:c r="I116" s="36" t="str">
        <x:v>Evraz Steel Calgary</x:v>
      </x:c>
      <x:c r="J116" s="36" t="str">
        <x:v>Standing Offer Agreement</x:v>
      </x:c>
      <x:c r="K116" s="38" t="n">
        <x:v>43</x:v>
      </x:c>
      <x:c r="L116" s="36" t="str">
        <x:v>m³</x:v>
      </x:c>
      <x:c r="M116" s="39" t="n">
        <x:v>390.18</x:v>
      </x:c>
      <x:c r="N116" s="39" t="n">
        <x:v>377.75</x:v>
      </x:c>
      <x:c r="O116" s="39" t="n">
        <x:v>16777.74</x:v>
      </x:c>
      <x:c r="P116" s="39" t="n">
        <x:v>16243.25</x:v>
      </x:c>
      <x:c r="Q116" s="39" t="n">
        <x:v>534.49</x:v>
      </x:c>
      <x:c r="R116" s="40" t="n">
        <x:v>3.3</x:v>
      </x:c>
      <x:c r="S116" s="41" t="n">
        <x:v>39</x:v>
      </x:c>
      <x:c r="T116" s="36" t="str">
        <x:v>No</x:v>
      </x:c>
      <x:c r="U116" s="36" t="str">
        <x:v>Partially Delivered</x:v>
      </x:c>
    </x:row>
    <x:row r="117">
      <x:c r="A117" s="36" t="str">
        <x:v>PO-2025-0116</x:v>
      </x:c>
      <x:c r="B117" s="37" t="n">
        <x:v>45761</x:v>
      </x:c>
      <x:c r="C117" s="36" t="str">
        <x:v>April</x:v>
      </x:c>
      <x:c r="D117" s="36" t="str">
        <x:v>Stampede Park Infrastructure Upgrade</x:v>
      </x:c>
      <x:c r="E117" s="36" t="str">
        <x:v>Calgary SW</x:v>
      </x:c>
      <x:c r="F117" s="36" t="str">
        <x:v>Linda Tran</x:v>
      </x:c>
      <x:c r="G117" s="36" t="str">
        <x:v>MEP - Electrical</x:v>
      </x:c>
      <x:c r="H117" s="36" t="str">
        <x:v>LV Switchgear Panel</x:v>
      </x:c>
      <x:c r="I117" s="36" t="str">
        <x:v>Schneider Electric Canada</x:v>
      </x:c>
      <x:c r="J117" s="36" t="str">
        <x:v>Standing Offer Agreement</x:v>
      </x:c>
      <x:c r="K117" s="38" t="n">
        <x:v>62</x:v>
      </x:c>
      <x:c r="L117" s="36" t="str">
        <x:v>lot</x:v>
      </x:c>
      <x:c r="M117" s="39" t="n">
        <x:v>72925.72</x:v>
      </x:c>
      <x:c r="N117" s="39" t="n">
        <x:v>78862.04</x:v>
      </x:c>
      <x:c r="O117" s="39" t="n">
        <x:v>4521394.64</x:v>
      </x:c>
      <x:c r="P117" s="39" t="n">
        <x:v>4889446.48</x:v>
      </x:c>
      <x:c r="Q117" s="39" t="n">
        <x:v>-368051.84</x:v>
      </x:c>
      <x:c r="R117" s="40" t="n">
        <x:v>-7.5</x:v>
      </x:c>
      <x:c r="S117" s="41" t="n">
        <x:v>74</x:v>
      </x:c>
      <x:c r="T117" s="36" t="str">
        <x:v>Yes</x:v>
      </x:c>
      <x:c r="U117" s="36" t="str">
        <x:v>Delivered</x:v>
      </x:c>
    </x:row>
    <x:row r="118">
      <x:c r="A118" s="36" t="str">
        <x:v>PO-2025-0117</x:v>
      </x:c>
      <x:c r="B118" s="37" t="n">
        <x:v>45858</x:v>
      </x:c>
      <x:c r="C118" s="36" t="str">
        <x:v>July</x:v>
      </x:c>
      <x:c r="D118" s="36" t="str">
        <x:v>Calgary SE Ring Road Extension</x:v>
      </x:c>
      <x:c r="E118" s="36" t="str">
        <x:v>Calgary SE</x:v>
      </x:c>
      <x:c r="F118" s="36" t="str">
        <x:v>Liam Kowalski</x:v>
      </x:c>
      <x:c r="G118" s="36" t="str">
        <x:v>Concrete &amp; Structural</x:v>
      </x:c>
      <x:c r="H118" s="36" t="str">
        <x:v>Structural Formwork</x:v>
      </x:c>
      <x:c r="I118" s="36" t="str">
        <x:v>Alberta Precast</x:v>
      </x:c>
      <x:c r="J118" s="36" t="str">
        <x:v>Standing Offer Agreement</x:v>
      </x:c>
      <x:c r="K118" s="38" t="n">
        <x:v>75</x:v>
      </x:c>
      <x:c r="L118" s="36" t="str">
        <x:v>m³</x:v>
      </x:c>
      <x:c r="M118" s="39" t="n">
        <x:v>442.91</x:v>
      </x:c>
      <x:c r="N118" s="39" t="n">
        <x:v>431.39</x:v>
      </x:c>
      <x:c r="O118" s="39" t="n">
        <x:v>33218.25</x:v>
      </x:c>
      <x:c r="P118" s="39" t="n">
        <x:v>32354.25</x:v>
      </x:c>
      <x:c r="Q118" s="39" t="n">
        <x:v>864</x:v>
      </x:c>
      <x:c r="R118" s="40" t="n">
        <x:v>2.7</x:v>
      </x:c>
      <x:c r="S118" s="41" t="n">
        <x:v>45</x:v>
      </x:c>
      <x:c r="T118" s="36" t="str">
        <x:v>Yes</x:v>
      </x:c>
      <x:c r="U118" s="36" t="str">
        <x:v>Delivered</x:v>
      </x:c>
    </x:row>
    <x:row r="119">
      <x:c r="A119" s="36" t="str">
        <x:v>PO-2025-0118</x:v>
      </x:c>
      <x:c r="B119" s="37" t="n">
        <x:v>45670</x:v>
      </x:c>
      <x:c r="C119" s="36" t="str">
        <x:v>January</x:v>
      </x:c>
      <x:c r="D119" s="36" t="str">
        <x:v>Bow River Crossing Overpass</x:v>
      </x:c>
      <x:c r="E119" s="36" t="str">
        <x:v>Calgary SE</x:v>
      </x:c>
      <x:c r="F119" s="36" t="str">
        <x:v>Mohammed Siddiqui</x:v>
      </x:c>
      <x:c r="G119" s="36" t="str">
        <x:v>MEP - Electrical</x:v>
      </x:c>
      <x:c r="H119" s="36" t="str">
        <x:v>LED Site Lighting</x:v>
      </x:c>
      <x:c r="I119" s="36" t="str">
        <x:v>Stuart Olson Electrical</x:v>
      </x:c>
      <x:c r="J119" s="36" t="str">
        <x:v>3-Quote Comparison</x:v>
      </x:c>
      <x:c r="K119" s="38" t="n">
        <x:v>50</x:v>
      </x:c>
      <x:c r="L119" s="36" t="str">
        <x:v>lot</x:v>
      </x:c>
      <x:c r="M119" s="39" t="n">
        <x:v>58810.22</x:v>
      </x:c>
      <x:c r="N119" s="39" t="n">
        <x:v>64326.52</x:v>
      </x:c>
      <x:c r="O119" s="39" t="n">
        <x:v>2940511</x:v>
      </x:c>
      <x:c r="P119" s="39" t="n">
        <x:v>3216326</x:v>
      </x:c>
      <x:c r="Q119" s="39" t="n">
        <x:v>-275815</x:v>
      </x:c>
      <x:c r="R119" s="40" t="n">
        <x:v>-8.6</x:v>
      </x:c>
      <x:c r="S119" s="41" t="n">
        <x:v>50</x:v>
      </x:c>
      <x:c r="T119" s="36" t="str">
        <x:v>No</x:v>
      </x:c>
      <x:c r="U119" s="36" t="str">
        <x:v>Cancelled</x:v>
      </x:c>
    </x:row>
    <x:row r="120">
      <x:c r="A120" s="36" t="str">
        <x:v>PO-2025-0119</x:v>
      </x:c>
      <x:c r="B120" s="37" t="n">
        <x:v>45768</x:v>
      </x:c>
      <x:c r="C120" s="36" t="str">
        <x:v>April</x:v>
      </x:c>
      <x:c r="D120" s="36" t="str">
        <x:v>Calgary SE Ring Road Extension</x:v>
      </x:c>
      <x:c r="E120" s="36" t="str">
        <x:v>Calgary NE</x:v>
      </x:c>
      <x:c r="F120" s="36" t="str">
        <x:v>Derek McLean</x:v>
      </x:c>
      <x:c r="G120" s="36" t="str">
        <x:v>Finishing</x:v>
      </x:c>
      <x:c r="H120" s="36" t="str">
        <x:v>Waterproofing Membrane</x:v>
      </x:c>
      <x:c r="I120" s="36" t="str">
        <x:v>Dryvit Systems Canada</x:v>
      </x:c>
      <x:c r="J120" s="36" t="str">
        <x:v>LPO – Direct Award</x:v>
      </x:c>
      <x:c r="K120" s="38" t="n">
        <x:v>107</x:v>
      </x:c>
      <x:c r="L120" s="36" t="str">
        <x:v>m²</x:v>
      </x:c>
      <x:c r="M120" s="39" t="n">
        <x:v>170.47</x:v>
      </x:c>
      <x:c r="N120" s="39" t="n">
        <x:v>176.66</x:v>
      </x:c>
      <x:c r="O120" s="39" t="n">
        <x:v>18240.29</x:v>
      </x:c>
      <x:c r="P120" s="39" t="n">
        <x:v>18902.62</x:v>
      </x:c>
      <x:c r="Q120" s="39" t="n">
        <x:v>-662.33</x:v>
      </x:c>
      <x:c r="R120" s="40" t="n">
        <x:v>-3.5</x:v>
      </x:c>
      <x:c r="S120" s="41" t="n">
        <x:v>61</x:v>
      </x:c>
      <x:c r="T120" s="36" t="str">
        <x:v>Yes</x:v>
      </x:c>
      <x:c r="U120" s="36" t="str">
        <x:v>Partially Delivered</x:v>
      </x:c>
    </x:row>
    <x:row r="121">
      <x:c r="A121" s="36" t="str">
        <x:v>PO-2025-0120</x:v>
      </x:c>
      <x:c r="B121" s="37" t="n">
        <x:v>45677</x:v>
      </x:c>
      <x:c r="C121" s="36" t="str">
        <x:v>January</x:v>
      </x:c>
      <x:c r="D121" s="36" t="str">
        <x:v>Saddledome Arena Retrofit</x:v>
      </x:c>
      <x:c r="E121" s="36" t="str">
        <x:v>Calgary SE</x:v>
      </x:c>
      <x:c r="F121" s="36" t="str">
        <x:v>Aisha Nkosi</x:v>
      </x:c>
      <x:c r="G121" s="36" t="str">
        <x:v>MEP - Electrical</x:v>
      </x:c>
      <x:c r="H121" s="36" t="str">
        <x:v>Grounding System</x:v>
      </x:c>
      <x:c r="I121" s="36" t="str">
        <x:v>Stuart Olson Electrical</x:v>
      </x:c>
      <x:c r="J121" s="36" t="str">
        <x:v>LPO – Direct Award</x:v>
      </x:c>
      <x:c r="K121" s="38" t="n">
        <x:v>25</x:v>
      </x:c>
      <x:c r="L121" s="36" t="str">
        <x:v>lot</x:v>
      </x:c>
      <x:c r="M121" s="39" t="n">
        <x:v>15867.47</x:v>
      </x:c>
      <x:c r="N121" s="39" t="n">
        <x:v>15272.75</x:v>
      </x:c>
      <x:c r="O121" s="39" t="n">
        <x:v>396686.75</x:v>
      </x:c>
      <x:c r="P121" s="39" t="n">
        <x:v>381818.75</x:v>
      </x:c>
      <x:c r="Q121" s="39" t="n">
        <x:v>14868</x:v>
      </x:c>
      <x:c r="R121" s="40" t="n">
        <x:v>3.9</x:v>
      </x:c>
      <x:c r="S121" s="41" t="n">
        <x:v>37</x:v>
      </x:c>
      <x:c r="T121" s="36" t="str">
        <x:v>Yes</x:v>
      </x:c>
      <x:c r="U121" s="36" t="str">
        <x:v>Delivered</x:v>
      </x:c>
    </x:row>
    <x:row r="122">
      <x:c r="A122" s="36" t="str">
        <x:v>PO-2025-0121</x:v>
      </x:c>
      <x:c r="B122" s="37" t="n">
        <x:v>45924</x:v>
      </x:c>
      <x:c r="C122" s="36" t="str">
        <x:v>September</x:v>
      </x:c>
      <x:c r="D122" s="36" t="str">
        <x:v>Bow River Crossing Overpass</x:v>
      </x:c>
      <x:c r="E122" s="36" t="str">
        <x:v>Rocky View County</x:v>
      </x:c>
      <x:c r="F122" s="36" t="str">
        <x:v>Priya Sharma</x:v>
      </x:c>
      <x:c r="G122" s="36" t="str">
        <x:v>Concrete &amp; Structural</x:v>
      </x:c>
      <x:c r="H122" s="36" t="str">
        <x:v>Precast Deck Panels</x:v>
      </x:c>
      <x:c r="I122" s="36" t="str">
        <x:v>Evraz Steel Calgary</x:v>
      </x:c>
      <x:c r="J122" s="36" t="str">
        <x:v>Emergency Procurement</x:v>
      </x:c>
      <x:c r="K122" s="38" t="n">
        <x:v>114</x:v>
      </x:c>
      <x:c r="L122" s="36" t="str">
        <x:v>m³</x:v>
      </x:c>
      <x:c r="M122" s="39" t="n">
        <x:v>597.03</x:v>
      </x:c>
      <x:c r="N122" s="39" t="n">
        <x:v>702</x:v>
      </x:c>
      <x:c r="O122" s="39" t="n">
        <x:v>68061.42</x:v>
      </x:c>
      <x:c r="P122" s="39" t="n">
        <x:v>80028</x:v>
      </x:c>
      <x:c r="Q122" s="39" t="n">
        <x:v>-11966.58</x:v>
      </x:c>
      <x:c r="R122" s="40" t="n">
        <x:v>-15</x:v>
      </x:c>
      <x:c r="S122" s="41" t="n">
        <x:v>46</x:v>
      </x:c>
      <x:c r="T122" s="36" t="str">
        <x:v>No</x:v>
      </x:c>
      <x:c r="U122" s="36" t="str">
        <x:v>Delivered</x:v>
      </x:c>
    </x:row>
    <x:row r="123">
      <x:c r="A123" s="36" t="str">
        <x:v>PO-2025-0122</x:v>
      </x:c>
      <x:c r="B123" s="37" t="n">
        <x:v>45667</x:v>
      </x:c>
      <x:c r="C123" s="36" t="str">
        <x:v>January</x:v>
      </x:c>
      <x:c r="D123" s="36" t="str">
        <x:v>Rocky View Industrial Logistics Hub</x:v>
      </x:c>
      <x:c r="E123" s="36" t="str">
        <x:v>Calgary SW</x:v>
      </x:c>
      <x:c r="F123" s="36" t="str">
        <x:v>Sarah Bouchard</x:v>
      </x:c>
      <x:c r="G123" s="36" t="str">
        <x:v>Safety &amp; Temp Works</x:v>
      </x:c>
      <x:c r="H123" s="36" t="str">
        <x:v>PPE Bulk Supply</x:v>
      </x:c>
      <x:c r="I123" s="36" t="str">
        <x:v>Safway Alberta</x:v>
      </x:c>
      <x:c r="J123" s="36" t="str">
        <x:v>3-Quote Comparison</x:v>
      </x:c>
      <x:c r="K123" s="38" t="n">
        <x:v>80</x:v>
      </x:c>
      <x:c r="L123" s="36" t="str">
        <x:v>lot</x:v>
      </x:c>
      <x:c r="M123" s="39" t="n">
        <x:v>3945.87</x:v>
      </x:c>
      <x:c r="N123" s="39" t="n">
        <x:v>4426.95</x:v>
      </x:c>
      <x:c r="O123" s="39" t="n">
        <x:v>315669.6</x:v>
      </x:c>
      <x:c r="P123" s="39" t="n">
        <x:v>354156</x:v>
      </x:c>
      <x:c r="Q123" s="39" t="n">
        <x:v>-38486.4</x:v>
      </x:c>
      <x:c r="R123" s="40" t="n">
        <x:v>-10.9</x:v>
      </x:c>
      <x:c r="S123" s="41" t="n">
        <x:v>76</x:v>
      </x:c>
      <x:c r="T123" s="36" t="str">
        <x:v>Yes</x:v>
      </x:c>
      <x:c r="U123" s="36" t="str">
        <x:v>Partially Delivered</x:v>
      </x:c>
    </x:row>
    <x:row r="124">
      <x:c r="A124" s="36" t="str">
        <x:v>PO-2025-0123</x:v>
      </x:c>
      <x:c r="B124" s="37" t="n">
        <x:v>45804</x:v>
      </x:c>
      <x:c r="C124" s="36" t="str">
        <x:v>May</x:v>
      </x:c>
      <x:c r="D124" s="36" t="str">
        <x:v>Rocky View Industrial Logistics Hub</x:v>
      </x:c>
      <x:c r="E124" s="36" t="str">
        <x:v>Rocky View County</x:v>
      </x:c>
      <x:c r="F124" s="36" t="str">
        <x:v>Linda Tran</x:v>
      </x:c>
      <x:c r="G124" s="36" t="str">
        <x:v>MEP - Mechanical</x:v>
      </x:c>
      <x:c r="H124" s="36" t="str">
        <x:v>Boiler System</x:v>
      </x:c>
      <x:c r="I124" s="36" t="str">
        <x:v>PCL Mechanical</x:v>
      </x:c>
      <x:c r="J124" s="36" t="str">
        <x:v>3-Quote Comparison</x:v>
      </x:c>
      <x:c r="K124" s="38" t="n">
        <x:v>95</x:v>
      </x:c>
      <x:c r="L124" s="36" t="str">
        <x:v>lot</x:v>
      </x:c>
      <x:c r="M124" s="39" t="n">
        <x:v>90362.78</x:v>
      </x:c>
      <x:c r="N124" s="39" t="n">
        <x:v>82038.55</x:v>
      </x:c>
      <x:c r="O124" s="39" t="n">
        <x:v>8584464.1</x:v>
      </x:c>
      <x:c r="P124" s="39" t="n">
        <x:v>7793662.25</x:v>
      </x:c>
      <x:c r="Q124" s="39" t="n">
        <x:v>790801.85</x:v>
      </x:c>
      <x:c r="R124" s="40" t="n">
        <x:v>10.1</x:v>
      </x:c>
      <x:c r="S124" s="41" t="n">
        <x:v>12</x:v>
      </x:c>
      <x:c r="T124" s="36" t="str">
        <x:v>Yes</x:v>
      </x:c>
      <x:c r="U124" s="36" t="str">
        <x:v>Delivered</x:v>
      </x:c>
    </x:row>
    <x:row r="125">
      <x:c r="A125" s="36" t="str">
        <x:v>PO-2025-0124</x:v>
      </x:c>
      <x:c r="B125" s="37" t="n">
        <x:v>45816</x:v>
      </x:c>
      <x:c r="C125" s="36" t="str">
        <x:v>June</x:v>
      </x:c>
      <x:c r="D125" s="36" t="str">
        <x:v>Calgary SE Ring Road Extension</x:v>
      </x:c>
      <x:c r="E125" s="36" t="str">
        <x:v>Rocky View County</x:v>
      </x:c>
      <x:c r="F125" s="36" t="str">
        <x:v>James Okafor</x:v>
      </x:c>
      <x:c r="G125" s="36" t="str">
        <x:v>Finishing</x:v>
      </x:c>
      <x:c r="H125" s="36" t="str">
        <x:v>Exterior Cladding Panel</x:v>
      </x:c>
      <x:c r="I125" s="36" t="str">
        <x:v>Centura Tile Calgary</x:v>
      </x:c>
      <x:c r="J125" s="36" t="str">
        <x:v>Emergency Procurement</x:v>
      </x:c>
      <x:c r="K125" s="38" t="n">
        <x:v>112</x:v>
      </x:c>
      <x:c r="L125" s="36" t="str">
        <x:v>m²</x:v>
      </x:c>
      <x:c r="M125" s="39" t="n">
        <x:v>406.52</x:v>
      </x:c>
      <x:c r="N125" s="39" t="n">
        <x:v>424.06</x:v>
      </x:c>
      <x:c r="O125" s="39" t="n">
        <x:v>45530.24</x:v>
      </x:c>
      <x:c r="P125" s="39" t="n">
        <x:v>47494.72</x:v>
      </x:c>
      <x:c r="Q125" s="39" t="n">
        <x:v>-1964.48</x:v>
      </x:c>
      <x:c r="R125" s="40" t="n">
        <x:v>-4.1</x:v>
      </x:c>
      <x:c r="S125" s="41" t="n">
        <x:v>48</x:v>
      </x:c>
      <x:c r="T125" s="36" t="str">
        <x:v>No</x:v>
      </x:c>
      <x:c r="U125" s="36" t="str">
        <x:v>Pending</x:v>
      </x:c>
    </x:row>
    <x:row r="126">
      <x:c r="A126" s="36" t="str">
        <x:v>PO-2025-0125</x:v>
      </x:c>
      <x:c r="B126" s="37" t="n">
        <x:v>45858</x:v>
      </x:c>
      <x:c r="C126" s="36" t="str">
        <x:v>July</x:v>
      </x:c>
      <x:c r="D126" s="36" t="str">
        <x:v>Quarry Park Mixed-Use Development</x:v>
      </x:c>
      <x:c r="E126" s="36" t="str">
        <x:v>Calgary SE</x:v>
      </x:c>
      <x:c r="F126" s="36" t="str">
        <x:v>Linda Tran</x:v>
      </x:c>
      <x:c r="G126" s="36" t="str">
        <x:v>MEP - Electrical</x:v>
      </x:c>
      <x:c r="H126" s="36" t="str">
        <x:v>LED Site Lighting</x:v>
      </x:c>
      <x:c r="I126" s="36" t="str">
        <x:v>Houle Electric</x:v>
      </x:c>
      <x:c r="J126" s="36" t="str">
        <x:v>3-Quote Comparison</x:v>
      </x:c>
      <x:c r="K126" s="38" t="n">
        <x:v>107</x:v>
      </x:c>
      <x:c r="L126" s="36" t="str">
        <x:v>lot</x:v>
      </x:c>
      <x:c r="M126" s="39" t="n">
        <x:v>76284.44</x:v>
      </x:c>
      <x:c r="N126" s="39" t="n">
        <x:v>69354.78</x:v>
      </x:c>
      <x:c r="O126" s="39" t="n">
        <x:v>8162435.08</x:v>
      </x:c>
      <x:c r="P126" s="39" t="n">
        <x:v>7420961.46</x:v>
      </x:c>
      <x:c r="Q126" s="39" t="n">
        <x:v>741473.62</x:v>
      </x:c>
      <x:c r="R126" s="40" t="n">
        <x:v>10</x:v>
      </x:c>
      <x:c r="S126" s="41" t="n">
        <x:v>57</x:v>
      </x:c>
      <x:c r="T126" s="36" t="str">
        <x:v>Yes</x:v>
      </x:c>
      <x:c r="U126" s="36" t="str">
        <x:v>Delivered</x:v>
      </x:c>
    </x:row>
    <x:row r="127">
      <x:c r="A127" s="36" t="str">
        <x:v>PO-2025-0126</x:v>
      </x:c>
      <x:c r="B127" s="37" t="n">
        <x:v>45976</x:v>
      </x:c>
      <x:c r="C127" s="36" t="str">
        <x:v>November</x:v>
      </x:c>
      <x:c r="D127" s="36" t="str">
        <x:v>Quarry Park Mixed-Use Development</x:v>
      </x:c>
      <x:c r="E127" s="36" t="str">
        <x:v>Calgary SW</x:v>
      </x:c>
      <x:c r="F127" s="36" t="str">
        <x:v>Mohammed Siddiqui</x:v>
      </x:c>
      <x:c r="G127" s="36" t="str">
        <x:v>MEP - Mechanical</x:v>
      </x:c>
      <x:c r="H127" s="36" t="str">
        <x:v>Boiler System</x:v>
      </x:c>
      <x:c r="I127" s="36" t="str">
        <x:v>Stantec MEP</x:v>
      </x:c>
      <x:c r="J127" s="36" t="str">
        <x:v>3-Quote Comparison</x:v>
      </x:c>
      <x:c r="K127" s="38" t="n">
        <x:v>2</x:v>
      </x:c>
      <x:c r="L127" s="36" t="str">
        <x:v>lot</x:v>
      </x:c>
      <x:c r="M127" s="39" t="n">
        <x:v>65810.03</x:v>
      </x:c>
      <x:c r="N127" s="39" t="n">
        <x:v>68396.18</x:v>
      </x:c>
      <x:c r="O127" s="39" t="n">
        <x:v>131620.06</x:v>
      </x:c>
      <x:c r="P127" s="39" t="n">
        <x:v>136792.36</x:v>
      </x:c>
      <x:c r="Q127" s="39" t="n">
        <x:v>-5172.3</x:v>
      </x:c>
      <x:c r="R127" s="40" t="n">
        <x:v>-3.8</x:v>
      </x:c>
      <x:c r="S127" s="41" t="n">
        <x:v>21</x:v>
      </x:c>
      <x:c r="T127" s="36" t="str">
        <x:v>No</x:v>
      </x:c>
      <x:c r="U127" s="36" t="str">
        <x:v>Delivered</x:v>
      </x:c>
    </x:row>
    <x:row r="128">
      <x:c r="A128" s="36" t="str">
        <x:v>PO-2025-0127</x:v>
      </x:c>
      <x:c r="B128" s="37" t="n">
        <x:v>45872</x:v>
      </x:c>
      <x:c r="C128" s="36" t="str">
        <x:v>August</x:v>
      </x:c>
      <x:c r="D128" s="36" t="str">
        <x:v>Quarry Park Mixed-Use Development</x:v>
      </x:c>
      <x:c r="E128" s="36" t="str">
        <x:v>Rocky View County</x:v>
      </x:c>
      <x:c r="F128" s="36" t="str">
        <x:v>James Okafor</x:v>
      </x:c>
      <x:c r="G128" s="36" t="str">
        <x:v>Civil Works</x:v>
      </x:c>
      <x:c r="H128" s="36" t="str">
        <x:v>Granular Backfill</x:v>
      </x:c>
      <x:c r="I128" s="36" t="str">
        <x:v>Ledcor Civil Alberta</x:v>
      </x:c>
      <x:c r="J128" s="36" t="str">
        <x:v>LPO – Direct Award</x:v>
      </x:c>
      <x:c r="K128" s="38" t="n">
        <x:v>25</x:v>
      </x:c>
      <x:c r="L128" s="36" t="str">
        <x:v>m³</x:v>
      </x:c>
      <x:c r="M128" s="39" t="n">
        <x:v>277.06</x:v>
      </x:c>
      <x:c r="N128" s="39" t="n">
        <x:v>268.39</x:v>
      </x:c>
      <x:c r="O128" s="39" t="n">
        <x:v>6926.5</x:v>
      </x:c>
      <x:c r="P128" s="39" t="n">
        <x:v>6709.75</x:v>
      </x:c>
      <x:c r="Q128" s="39" t="n">
        <x:v>216.75</x:v>
      </x:c>
      <x:c r="R128" s="40" t="n">
        <x:v>3.2</x:v>
      </x:c>
      <x:c r="S128" s="41" t="n">
        <x:v>72</x:v>
      </x:c>
      <x:c r="T128" s="36" t="str">
        <x:v>Yes</x:v>
      </x:c>
      <x:c r="U128" s="36" t="str">
        <x:v>Delivered</x:v>
      </x:c>
    </x:row>
    <x:row r="129">
      <x:c r="A129" s="36" t="str">
        <x:v>PO-2025-0128</x:v>
      </x:c>
      <x:c r="B129" s="37" t="n">
        <x:v>45865</x:v>
      </x:c>
      <x:c r="C129" s="36" t="str">
        <x:v>July</x:v>
      </x:c>
      <x:c r="D129" s="36" t="str">
        <x:v>Rocky View Industrial Logistics Hub</x:v>
      </x:c>
      <x:c r="E129" s="36" t="str">
        <x:v>Calgary NE</x:v>
      </x:c>
      <x:c r="F129" s="36" t="str">
        <x:v>Linda Tran</x:v>
      </x:c>
      <x:c r="G129" s="36" t="str">
        <x:v>Finishing</x:v>
      </x:c>
      <x:c r="H129" s="36" t="str">
        <x:v>Exterior Cladding Panel</x:v>
      </x:c>
      <x:c r="I129" s="36" t="str">
        <x:v>Armstrong World Industries</x:v>
      </x:c>
      <x:c r="J129" s="36" t="str">
        <x:v>LPO – Direct Award</x:v>
      </x:c>
      <x:c r="K129" s="38" t="n">
        <x:v>103</x:v>
      </x:c>
      <x:c r="L129" s="36" t="str">
        <x:v>m²</x:v>
      </x:c>
      <x:c r="M129" s="39" t="n">
        <x:v>183.68</x:v>
      </x:c>
      <x:c r="N129" s="39" t="n">
        <x:v>218.68</x:v>
      </x:c>
      <x:c r="O129" s="39" t="n">
        <x:v>18919.04</x:v>
      </x:c>
      <x:c r="P129" s="39" t="n">
        <x:v>22524.04</x:v>
      </x:c>
      <x:c r="Q129" s="39" t="n">
        <x:v>-3605</x:v>
      </x:c>
      <x:c r="R129" s="40" t="n">
        <x:v>-16</x:v>
      </x:c>
      <x:c r="S129" s="41" t="n">
        <x:v>40</x:v>
      </x:c>
      <x:c r="T129" s="36" t="str">
        <x:v>No</x:v>
      </x:c>
      <x:c r="U129" s="36" t="str">
        <x:v>Cancelled</x:v>
      </x:c>
    </x:row>
    <x:row r="130">
      <x:c r="A130" s="36" t="str">
        <x:v>PO-2025-0129</x:v>
      </x:c>
      <x:c r="B130" s="37" t="n">
        <x:v>45974</x:v>
      </x:c>
      <x:c r="C130" s="36" t="str">
        <x:v>November</x:v>
      </x:c>
      <x:c r="D130" s="36" t="str">
        <x:v>University District Residential Phase 3</x:v>
      </x:c>
      <x:c r="E130" s="36" t="str">
        <x:v>Calgary SW</x:v>
      </x:c>
      <x:c r="F130" s="36" t="str">
        <x:v>Mohammed Siddiqui</x:v>
      </x:c>
      <x:c r="G130" s="36" t="str">
        <x:v>Finishing</x:v>
      </x:c>
      <x:c r="H130" s="36" t="str">
        <x:v>Exterior Cladding Panel</x:v>
      </x:c>
      <x:c r="I130" s="36" t="str">
        <x:v>Armstrong World Industries</x:v>
      </x:c>
      <x:c r="J130" s="36" t="str">
        <x:v>3-Quote Comparison</x:v>
      </x:c>
      <x:c r="K130" s="38" t="n">
        <x:v>107</x:v>
      </x:c>
      <x:c r="L130" s="36" t="str">
        <x:v>m²</x:v>
      </x:c>
      <x:c r="M130" s="39" t="n">
        <x:v>236.9</x:v>
      </x:c>
      <x:c r="N130" s="39" t="n">
        <x:v>213.38</x:v>
      </x:c>
      <x:c r="O130" s="39" t="n">
        <x:v>25348.3</x:v>
      </x:c>
      <x:c r="P130" s="39" t="n">
        <x:v>22831.66</x:v>
      </x:c>
      <x:c r="Q130" s="39" t="n">
        <x:v>2516.64</x:v>
      </x:c>
      <x:c r="R130" s="40" t="n">
        <x:v>11</x:v>
      </x:c>
      <x:c r="S130" s="41" t="n">
        <x:v>36</x:v>
      </x:c>
      <x:c r="T130" s="36" t="str">
        <x:v>Yes</x:v>
      </x:c>
      <x:c r="U130" s="36" t="str">
        <x:v>Partially Delivered</x:v>
      </x:c>
    </x:row>
    <x:row r="131">
      <x:c r="A131" s="36" t="str">
        <x:v>PO-2025-0130</x:v>
      </x:c>
      <x:c r="B131" s="37" t="n">
        <x:v>45719</x:v>
      </x:c>
      <x:c r="C131" s="36" t="str">
        <x:v>March</x:v>
      </x:c>
      <x:c r="D131" s="36" t="str">
        <x:v>Saddledome Arena Retrofit</x:v>
      </x:c>
      <x:c r="E131" s="36" t="str">
        <x:v>Calgary SE</x:v>
      </x:c>
      <x:c r="F131" s="36" t="str">
        <x:v>Mohammed Siddiqui</x:v>
      </x:c>
      <x:c r="G131" s="36" t="str">
        <x:v>Concrete &amp; Structural</x:v>
      </x:c>
      <x:c r="H131" s="36" t="str">
        <x:v>Rebar Steel</x:v>
      </x:c>
      <x:c r="I131" s="36" t="str">
        <x:v>Inland Concrete</x:v>
      </x:c>
      <x:c r="J131" s="36" t="str">
        <x:v>Standing Offer Agreement</x:v>
      </x:c>
      <x:c r="K131" s="38" t="n">
        <x:v>30</x:v>
      </x:c>
      <x:c r="L131" s="36" t="str">
        <x:v>m³</x:v>
      </x:c>
      <x:c r="M131" s="39" t="n">
        <x:v>338.79</x:v>
      </x:c>
      <x:c r="N131" s="39" t="n">
        <x:v>301.79</x:v>
      </x:c>
      <x:c r="O131" s="39" t="n">
        <x:v>10163.7</x:v>
      </x:c>
      <x:c r="P131" s="39" t="n">
        <x:v>9053.7</x:v>
      </x:c>
      <x:c r="Q131" s="39" t="n">
        <x:v>1110</x:v>
      </x:c>
      <x:c r="R131" s="40" t="n">
        <x:v>12.3</x:v>
      </x:c>
      <x:c r="S131" s="41" t="n">
        <x:v>29</x:v>
      </x:c>
      <x:c r="T131" s="36" t="str">
        <x:v>Yes</x:v>
      </x:c>
      <x:c r="U131" s="36" t="str">
        <x:v>Delivered</x:v>
      </x:c>
    </x:row>
    <x:row r="132">
      <x:c r="A132" s="36" t="str">
        <x:v>PO-2025-0131</x:v>
      </x:c>
      <x:c r="B132" s="37" t="n">
        <x:v>45944</x:v>
      </x:c>
      <x:c r="C132" s="36" t="str">
        <x:v>October</x:v>
      </x:c>
      <x:c r="D132" s="36" t="str">
        <x:v>Bow River Crossing Overpass</x:v>
      </x:c>
      <x:c r="E132" s="36" t="str">
        <x:v>Calgary SW</x:v>
      </x:c>
      <x:c r="F132" s="36" t="str">
        <x:v>Priya Sharma</x:v>
      </x:c>
      <x:c r="G132" s="36" t="str">
        <x:v>Concrete &amp; Structural</x:v>
      </x:c>
      <x:c r="H132" s="36" t="str">
        <x:v>Ready-Mix Concrete</x:v>
      </x:c>
      <x:c r="I132" s="36" t="str">
        <x:v>Alberta Precast</x:v>
      </x:c>
      <x:c r="J132" s="36" t="str">
        <x:v>LPO – Direct Award</x:v>
      </x:c>
      <x:c r="K132" s="38" t="n">
        <x:v>62</x:v>
      </x:c>
      <x:c r="L132" s="36" t="str">
        <x:v>m³</x:v>
      </x:c>
      <x:c r="M132" s="39" t="n">
        <x:v>295.77</x:v>
      </x:c>
      <x:c r="N132" s="39" t="n">
        <x:v>270.07</x:v>
      </x:c>
      <x:c r="O132" s="39" t="n">
        <x:v>18337.74</x:v>
      </x:c>
      <x:c r="P132" s="39" t="n">
        <x:v>16744.34</x:v>
      </x:c>
      <x:c r="Q132" s="39" t="n">
        <x:v>1593.4</x:v>
      </x:c>
      <x:c r="R132" s="40" t="n">
        <x:v>9.5</x:v>
      </x:c>
      <x:c r="S132" s="41" t="n">
        <x:v>29</x:v>
      </x:c>
      <x:c r="T132" s="36" t="str">
        <x:v>Yes</x:v>
      </x:c>
      <x:c r="U132" s="36" t="str">
        <x:v>Partially Delivered</x:v>
      </x:c>
    </x:row>
    <x:row r="133">
      <x:c r="A133" s="36" t="str">
        <x:v>PO-2025-0132</x:v>
      </x:c>
      <x:c r="B133" s="37" t="n">
        <x:v>45905</x:v>
      </x:c>
      <x:c r="C133" s="36" t="str">
        <x:v>September</x:v>
      </x:c>
      <x:c r="D133" s="36" t="str">
        <x:v>Bow River Crossing Overpass</x:v>
      </x:c>
      <x:c r="E133" s="36" t="str">
        <x:v>Rocky View County</x:v>
      </x:c>
      <x:c r="F133" s="36" t="str">
        <x:v>Liam Kowalski</x:v>
      </x:c>
      <x:c r="G133" s="36" t="str">
        <x:v>MEP - Electrical</x:v>
      </x:c>
      <x:c r="H133" s="36" t="str">
        <x:v>Standby Generator</x:v>
      </x:c>
      <x:c r="I133" s="36" t="str">
        <x:v>Flint Energy Services</x:v>
      </x:c>
      <x:c r="J133" s="36" t="str">
        <x:v>3-Quote Comparison</x:v>
      </x:c>
      <x:c r="K133" s="38" t="n">
        <x:v>85</x:v>
      </x:c>
      <x:c r="L133" s="36" t="str">
        <x:v>lot</x:v>
      </x:c>
      <x:c r="M133" s="39" t="n">
        <x:v>50808.26</x:v>
      </x:c>
      <x:c r="N133" s="39" t="n">
        <x:v>59664.52</x:v>
      </x:c>
      <x:c r="O133" s="39" t="n">
        <x:v>4318702.1</x:v>
      </x:c>
      <x:c r="P133" s="39" t="n">
        <x:v>5071484.2</x:v>
      </x:c>
      <x:c r="Q133" s="39" t="n">
        <x:v>-752782.1</x:v>
      </x:c>
      <x:c r="R133" s="40" t="n">
        <x:v>-14.8</x:v>
      </x:c>
      <x:c r="S133" s="41" t="n">
        <x:v>36</x:v>
      </x:c>
      <x:c r="T133" s="36" t="str">
        <x:v>No</x:v>
      </x:c>
      <x:c r="U133" s="36" t="str">
        <x:v>Delivered</x:v>
      </x:c>
    </x:row>
    <x:row r="134">
      <x:c r="A134" s="36" t="str">
        <x:v>PO-2025-0133</x:v>
      </x:c>
      <x:c r="B134" s="37" t="n">
        <x:v>45785</x:v>
      </x:c>
      <x:c r="C134" s="36" t="str">
        <x:v>May</x:v>
      </x:c>
      <x:c r="D134" s="36" t="str">
        <x:v>Stampede Park Infrastructure Upgrade</x:v>
      </x:c>
      <x:c r="E134" s="36" t="str">
        <x:v>Calgary NE</x:v>
      </x:c>
      <x:c r="F134" s="36" t="str">
        <x:v>Priya Sharma</x:v>
      </x:c>
      <x:c r="G134" s="36" t="str">
        <x:v>MEP - Mechanical</x:v>
      </x:c>
      <x:c r="H134" s="36" t="str">
        <x:v>HVAC Rooftop Unit</x:v>
      </x:c>
      <x:c r="I134" s="36" t="str">
        <x:v>Ainsworth Inc.</x:v>
      </x:c>
      <x:c r="J134" s="36" t="str">
        <x:v>LPO – Direct Award</x:v>
      </x:c>
      <x:c r="K134" s="38" t="n">
        <x:v>4</x:v>
      </x:c>
      <x:c r="L134" s="36" t="str">
        <x:v>lot</x:v>
      </x:c>
      <x:c r="M134" s="39" t="n">
        <x:v>30569.86</x:v>
      </x:c>
      <x:c r="N134" s="39" t="n">
        <x:v>35043.89</x:v>
      </x:c>
      <x:c r="O134" s="39" t="n">
        <x:v>122279.44</x:v>
      </x:c>
      <x:c r="P134" s="39" t="n">
        <x:v>140175.56</x:v>
      </x:c>
      <x:c r="Q134" s="39" t="n">
        <x:v>-17896.12</x:v>
      </x:c>
      <x:c r="R134" s="40" t="n">
        <x:v>-12.8</x:v>
      </x:c>
      <x:c r="S134" s="41" t="n">
        <x:v>43</x:v>
      </x:c>
      <x:c r="T134" s="36" t="str">
        <x:v>No</x:v>
      </x:c>
      <x:c r="U134" s="36" t="str">
        <x:v>Partially Delivered</x:v>
      </x:c>
    </x:row>
    <x:row r="135">
      <x:c r="A135" s="36" t="str">
        <x:v>PO-2025-0134</x:v>
      </x:c>
      <x:c r="B135" s="37" t="n">
        <x:v>45663</x:v>
      </x:c>
      <x:c r="C135" s="36" t="str">
        <x:v>January</x:v>
      </x:c>
      <x:c r="D135" s="36" t="str">
        <x:v>Foothills Medical Centre Expansion</x:v>
      </x:c>
      <x:c r="E135" s="36" t="str">
        <x:v>Calgary NE</x:v>
      </x:c>
      <x:c r="F135" s="36" t="str">
        <x:v>Sarah Bouchard</x:v>
      </x:c>
      <x:c r="G135" s="36" t="str">
        <x:v>MEP - Electrical</x:v>
      </x:c>
      <x:c r="H135" s="36" t="str">
        <x:v>MV Distribution Cable</x:v>
      </x:c>
      <x:c r="I135" s="36" t="str">
        <x:v>Stuart Olson Electrical</x:v>
      </x:c>
      <x:c r="J135" s="36" t="str">
        <x:v>Standing Offer Agreement</x:v>
      </x:c>
      <x:c r="K135" s="38" t="n">
        <x:v>103</x:v>
      </x:c>
      <x:c r="L135" s="36" t="str">
        <x:v>lot</x:v>
      </x:c>
      <x:c r="M135" s="39" t="n">
        <x:v>37616.4</x:v>
      </x:c>
      <x:c r="N135" s="39" t="n">
        <x:v>39945.66</x:v>
      </x:c>
      <x:c r="O135" s="39" t="n">
        <x:v>3874489.2</x:v>
      </x:c>
      <x:c r="P135" s="39" t="n">
        <x:v>4114402.98</x:v>
      </x:c>
      <x:c r="Q135" s="39" t="n">
        <x:v>-239913.78</x:v>
      </x:c>
      <x:c r="R135" s="40" t="n">
        <x:v>-5.8</x:v>
      </x:c>
      <x:c r="S135" s="41" t="n">
        <x:v>16</x:v>
      </x:c>
      <x:c r="T135" s="36" t="str">
        <x:v>Yes</x:v>
      </x:c>
      <x:c r="U135" s="36" t="str">
        <x:v>Partially Delivered</x:v>
      </x:c>
    </x:row>
    <x:row r="136">
      <x:c r="A136" s="36" t="str">
        <x:v>PO-2025-0135</x:v>
      </x:c>
      <x:c r="B136" s="37" t="n">
        <x:v>45863</x:v>
      </x:c>
      <x:c r="C136" s="36" t="str">
        <x:v>July</x:v>
      </x:c>
      <x:c r="D136" s="36" t="str">
        <x:v>University District Residential Phase 3</x:v>
      </x:c>
      <x:c r="E136" s="36" t="str">
        <x:v>Calgary SE</x:v>
      </x:c>
      <x:c r="F136" s="36" t="str">
        <x:v>James Okafor</x:v>
      </x:c>
      <x:c r="G136" s="36" t="str">
        <x:v>Finishing</x:v>
      </x:c>
      <x:c r="H136" s="36" t="str">
        <x:v>Ceramic Floor Tile</x:v>
      </x:c>
      <x:c r="I136" s="36" t="str">
        <x:v>Centura Tile Calgary</x:v>
      </x:c>
      <x:c r="J136" s="36" t="str">
        <x:v>3-Quote Comparison</x:v>
      </x:c>
      <x:c r="K136" s="38" t="n">
        <x:v>93</x:v>
      </x:c>
      <x:c r="L136" s="36" t="str">
        <x:v>m²</x:v>
      </x:c>
      <x:c r="M136" s="39" t="n">
        <x:v>189.45</x:v>
      </x:c>
      <x:c r="N136" s="39" t="n">
        <x:v>189.51</x:v>
      </x:c>
      <x:c r="O136" s="39" t="n">
        <x:v>17618.85</x:v>
      </x:c>
      <x:c r="P136" s="39" t="n">
        <x:v>17624.43</x:v>
      </x:c>
      <x:c r="Q136" s="39" t="n">
        <x:v>-5.58</x:v>
      </x:c>
      <x:c r="R136" s="40" t="n">
        <x:v>0</x:v>
      </x:c>
      <x:c r="S136" s="41" t="n">
        <x:v>39</x:v>
      </x:c>
      <x:c r="T136" s="36" t="str">
        <x:v>Yes</x:v>
      </x:c>
      <x:c r="U136" s="36" t="str">
        <x:v>Delivered</x:v>
      </x:c>
    </x:row>
    <x:row r="137">
      <x:c r="A137" s="36" t="str">
        <x:v>PO-2025-0136</x:v>
      </x:c>
      <x:c r="B137" s="37" t="n">
        <x:v>45978</x:v>
      </x:c>
      <x:c r="C137" s="36" t="str">
        <x:v>November</x:v>
      </x:c>
      <x:c r="D137" s="36" t="str">
        <x:v>Stampede Park Infrastructure Upgrade</x:v>
      </x:c>
      <x:c r="E137" s="36" t="str">
        <x:v>Calgary SE</x:v>
      </x:c>
      <x:c r="F137" s="36" t="str">
        <x:v>Linda Tran</x:v>
      </x:c>
      <x:c r="G137" s="36" t="str">
        <x:v>MEP - Electrical</x:v>
      </x:c>
      <x:c r="H137" s="36" t="str">
        <x:v>LED Site Lighting</x:v>
      </x:c>
      <x:c r="I137" s="36" t="str">
        <x:v>Schneider Electric Canada</x:v>
      </x:c>
      <x:c r="J137" s="36" t="str">
        <x:v>Emergency Procurement</x:v>
      </x:c>
      <x:c r="K137" s="38" t="n">
        <x:v>43</x:v>
      </x:c>
      <x:c r="L137" s="36" t="str">
        <x:v>lot</x:v>
      </x:c>
      <x:c r="M137" s="39" t="n">
        <x:v>11009.94</x:v>
      </x:c>
      <x:c r="N137" s="39" t="n">
        <x:v>10362.25</x:v>
      </x:c>
      <x:c r="O137" s="39" t="n">
        <x:v>473427.42</x:v>
      </x:c>
      <x:c r="P137" s="39" t="n">
        <x:v>445576.75</x:v>
      </x:c>
      <x:c r="Q137" s="39" t="n">
        <x:v>27850.67</x:v>
      </x:c>
      <x:c r="R137" s="40" t="n">
        <x:v>6.3</x:v>
      </x:c>
      <x:c r="S137" s="41" t="n">
        <x:v>27</x:v>
      </x:c>
      <x:c r="T137" s="36" t="str">
        <x:v>No</x:v>
      </x:c>
      <x:c r="U137" s="36" t="str">
        <x:v>Cancelled</x:v>
      </x:c>
    </x:row>
    <x:row r="138">
      <x:c r="A138" s="36" t="str">
        <x:v>PO-2025-0137</x:v>
      </x:c>
      <x:c r="B138" s="37" t="n">
        <x:v>45724</x:v>
      </x:c>
      <x:c r="C138" s="36" t="str">
        <x:v>March</x:v>
      </x:c>
      <x:c r="D138" s="36" t="str">
        <x:v>Deerfoot Trail Widening - North</x:v>
      </x:c>
      <x:c r="E138" s="36" t="str">
        <x:v>Calgary SE</x:v>
      </x:c>
      <x:c r="F138" s="36" t="str">
        <x:v>Linda Tran</x:v>
      </x:c>
      <x:c r="G138" s="36" t="str">
        <x:v>Safety &amp; Temp Works</x:v>
      </x:c>
      <x:c r="H138" s="36" t="str">
        <x:v>Scaffolding System</x:v>
      </x:c>
      <x:c r="I138" s="36" t="str">
        <x:v>Safway Alberta</x:v>
      </x:c>
      <x:c r="J138" s="36" t="str">
        <x:v>LPO – Direct Award</x:v>
      </x:c>
      <x:c r="K138" s="38" t="n">
        <x:v>48</x:v>
      </x:c>
      <x:c r="L138" s="36" t="str">
        <x:v>lot</x:v>
      </x:c>
      <x:c r="M138" s="39" t="n">
        <x:v>3872.21</x:v>
      </x:c>
      <x:c r="N138" s="39" t="n">
        <x:v>3845.6</x:v>
      </x:c>
      <x:c r="O138" s="39" t="n">
        <x:v>185866.08</x:v>
      </x:c>
      <x:c r="P138" s="39" t="n">
        <x:v>184588.8</x:v>
      </x:c>
      <x:c r="Q138" s="39" t="n">
        <x:v>1277.28</x:v>
      </x:c>
      <x:c r="R138" s="40" t="n">
        <x:v>0.7</x:v>
      </x:c>
      <x:c r="S138" s="41" t="n">
        <x:v>59</x:v>
      </x:c>
      <x:c r="T138" s="36" t="str">
        <x:v>No</x:v>
      </x:c>
      <x:c r="U138" s="36" t="str">
        <x:v>Partially Delivered</x:v>
      </x:c>
    </x:row>
    <x:row r="139">
      <x:c r="A139" s="36" t="str">
        <x:v>PO-2025-0138</x:v>
      </x:c>
      <x:c r="B139" s="37" t="n">
        <x:v>45915</x:v>
      </x:c>
      <x:c r="C139" s="36" t="str">
        <x:v>September</x:v>
      </x:c>
      <x:c r="D139" s="36" t="str">
        <x:v>Bow River Crossing Overpass</x:v>
      </x:c>
      <x:c r="E139" s="36" t="str">
        <x:v>Rocky View County</x:v>
      </x:c>
      <x:c r="F139" s="36" t="str">
        <x:v>Liam Kowalski</x:v>
      </x:c>
      <x:c r="G139" s="36" t="str">
        <x:v>Concrete &amp; Structural</x:v>
      </x:c>
      <x:c r="H139" s="36" t="str">
        <x:v>Rebar Steel</x:v>
      </x:c>
      <x:c r="I139" s="36" t="str">
        <x:v>Inland Concrete</x:v>
      </x:c>
      <x:c r="J139" s="36" t="str">
        <x:v>3-Quote Comparison</x:v>
      </x:c>
      <x:c r="K139" s="38" t="n">
        <x:v>97</x:v>
      </x:c>
      <x:c r="L139" s="36" t="str">
        <x:v>m³</x:v>
      </x:c>
      <x:c r="M139" s="39" t="n">
        <x:v>360.82</x:v>
      </x:c>
      <x:c r="N139" s="39" t="n">
        <x:v>391.07</x:v>
      </x:c>
      <x:c r="O139" s="39" t="n">
        <x:v>34999.54</x:v>
      </x:c>
      <x:c r="P139" s="39" t="n">
        <x:v>37933.79</x:v>
      </x:c>
      <x:c r="Q139" s="39" t="n">
        <x:v>-2934.25</x:v>
      </x:c>
      <x:c r="R139" s="40" t="n">
        <x:v>-7.7</x:v>
      </x:c>
      <x:c r="S139" s="41" t="n">
        <x:v>78</x:v>
      </x:c>
      <x:c r="T139" s="36" t="str">
        <x:v>Yes</x:v>
      </x:c>
      <x:c r="U139" s="36" t="str">
        <x:v>Partially Delivered</x:v>
      </x:c>
    </x:row>
    <x:row r="140">
      <x:c r="A140" s="36" t="str">
        <x:v>PO-2025-0139</x:v>
      </x:c>
      <x:c r="B140" s="37" t="n">
        <x:v>45900</x:v>
      </x:c>
      <x:c r="C140" s="36" t="str">
        <x:v>August</x:v>
      </x:c>
      <x:c r="D140" s="36" t="str">
        <x:v>Foothills Medical Centre Expansion</x:v>
      </x:c>
      <x:c r="E140" s="36" t="str">
        <x:v>Rocky View County</x:v>
      </x:c>
      <x:c r="F140" s="36" t="str">
        <x:v>Priya Sharma</x:v>
      </x:c>
      <x:c r="G140" s="36" t="str">
        <x:v>Civil Works</x:v>
      </x:c>
      <x:c r="H140" s="36" t="str">
        <x:v>Granular Backfill</x:v>
      </x:c>
      <x:c r="I140" s="36" t="str">
        <x:v>Kiewit Infrastructure</x:v>
      </x:c>
      <x:c r="J140" s="36" t="str">
        <x:v>Standing Offer Agreement</x:v>
      </x:c>
      <x:c r="K140" s="38" t="n">
        <x:v>42</x:v>
      </x:c>
      <x:c r="L140" s="36" t="str">
        <x:v>m³</x:v>
      </x:c>
      <x:c r="M140" s="39" t="n">
        <x:v>296.66</x:v>
      </x:c>
      <x:c r="N140" s="39" t="n">
        <x:v>354.5</x:v>
      </x:c>
      <x:c r="O140" s="39" t="n">
        <x:v>12459.72</x:v>
      </x:c>
      <x:c r="P140" s="39" t="n">
        <x:v>14889</x:v>
      </x:c>
      <x:c r="Q140" s="39" t="n">
        <x:v>-2429.28</x:v>
      </x:c>
      <x:c r="R140" s="40" t="n">
        <x:v>-16.3</x:v>
      </x:c>
      <x:c r="S140" s="41" t="n">
        <x:v>49</x:v>
      </x:c>
      <x:c r="T140" s="36" t="str">
        <x:v>Yes</x:v>
      </x:c>
      <x:c r="U140" s="36" t="str">
        <x:v>Delivered</x:v>
      </x:c>
    </x:row>
    <x:row r="141">
      <x:c r="A141" s="36" t="str">
        <x:v>PO-2025-0140</x:v>
      </x:c>
      <x:c r="B141" s="37" t="n">
        <x:v>45733</x:v>
      </x:c>
      <x:c r="C141" s="36" t="str">
        <x:v>March</x:v>
      </x:c>
      <x:c r="D141" s="36" t="str">
        <x:v>University District Residential Phase 3</x:v>
      </x:c>
      <x:c r="E141" s="36" t="str">
        <x:v>Calgary NE</x:v>
      </x:c>
      <x:c r="F141" s="36" t="str">
        <x:v>Aisha Nkosi</x:v>
      </x:c>
      <x:c r="G141" s="36" t="str">
        <x:v>MEP - Mechanical</x:v>
      </x:c>
      <x:c r="H141" s="36" t="str">
        <x:v>Insulated Pipework</x:v>
      </x:c>
      <x:c r="I141" s="36" t="str">
        <x:v>PCL Mechanical</x:v>
      </x:c>
      <x:c r="J141" s="36" t="str">
        <x:v>Standing Offer Agreement</x:v>
      </x:c>
      <x:c r="K141" s="38" t="n">
        <x:v>73</x:v>
      </x:c>
      <x:c r="L141" s="36" t="str">
        <x:v>lot</x:v>
      </x:c>
      <x:c r="M141" s="39" t="n">
        <x:v>52198.61</x:v>
      </x:c>
      <x:c r="N141" s="39" t="n">
        <x:v>63234.9</x:v>
      </x:c>
      <x:c r="O141" s="39" t="n">
        <x:v>3810498.53</x:v>
      </x:c>
      <x:c r="P141" s="39" t="n">
        <x:v>4616147.7</x:v>
      </x:c>
      <x:c r="Q141" s="39" t="n">
        <x:v>-805649.17</x:v>
      </x:c>
      <x:c r="R141" s="40" t="n">
        <x:v>-17.5</x:v>
      </x:c>
      <x:c r="S141" s="41" t="n">
        <x:v>19</x:v>
      </x:c>
      <x:c r="T141" s="36" t="str">
        <x:v>Yes</x:v>
      </x:c>
      <x:c r="U141" s="36" t="str">
        <x:v>Cancelled</x:v>
      </x:c>
    </x:row>
    <x:row r="142">
      <x:c r="A142" s="36" t="str">
        <x:v>PO-2025-0141</x:v>
      </x:c>
      <x:c r="B142" s="37" t="n">
        <x:v>45890</x:v>
      </x:c>
      <x:c r="C142" s="36" t="str">
        <x:v>August</x:v>
      </x:c>
      <x:c r="D142" s="36" t="str">
        <x:v>University District Residential Phase 3</x:v>
      </x:c>
      <x:c r="E142" s="36" t="str">
        <x:v>Rocky View County</x:v>
      </x:c>
      <x:c r="F142" s="36" t="str">
        <x:v>Derek McLean</x:v>
      </x:c>
      <x:c r="G142" s="36" t="str">
        <x:v>Civil Works</x:v>
      </x:c>
      <x:c r="H142" s="36" t="str">
        <x:v>Curb &amp; Gutter Concrete</x:v>
      </x:c>
      <x:c r="I142" s="36" t="str">
        <x:v>Graham Construction</x:v>
      </x:c>
      <x:c r="J142" s="36" t="str">
        <x:v>Emergency Procurement</x:v>
      </x:c>
      <x:c r="K142" s="38" t="n">
        <x:v>6</x:v>
      </x:c>
      <x:c r="L142" s="36" t="str">
        <x:v>m³</x:v>
      </x:c>
      <x:c r="M142" s="39" t="n">
        <x:v>193</x:v>
      </x:c>
      <x:c r="N142" s="39" t="n">
        <x:v>203.77</x:v>
      </x:c>
      <x:c r="O142" s="39" t="n">
        <x:v>1158</x:v>
      </x:c>
      <x:c r="P142" s="39" t="n">
        <x:v>1222.62</x:v>
      </x:c>
      <x:c r="Q142" s="39" t="n">
        <x:v>-64.62</x:v>
      </x:c>
      <x:c r="R142" s="40" t="n">
        <x:v>-5.3</x:v>
      </x:c>
      <x:c r="S142" s="41" t="n">
        <x:v>8</x:v>
      </x:c>
      <x:c r="T142" s="36" t="str">
        <x:v>Yes</x:v>
      </x:c>
      <x:c r="U142" s="36" t="str">
        <x:v>Partially Delivered</x:v>
      </x:c>
    </x:row>
    <x:row r="143">
      <x:c r="A143" s="36" t="str">
        <x:v>PO-2025-0142</x:v>
      </x:c>
      <x:c r="B143" s="37" t="n">
        <x:v>45886</x:v>
      </x:c>
      <x:c r="C143" s="36" t="str">
        <x:v>August</x:v>
      </x:c>
      <x:c r="D143" s="36" t="str">
        <x:v>Quarry Park Mixed-Use Development</x:v>
      </x:c>
      <x:c r="E143" s="36" t="str">
        <x:v>Calgary NE</x:v>
      </x:c>
      <x:c r="F143" s="36" t="str">
        <x:v>James Okafor</x:v>
      </x:c>
      <x:c r="G143" s="36" t="str">
        <x:v>Finishing</x:v>
      </x:c>
      <x:c r="H143" s="36" t="str">
        <x:v>Ceramic Floor Tile</x:v>
      </x:c>
      <x:c r="I143" s="36" t="str">
        <x:v>Tremco Roofing</x:v>
      </x:c>
      <x:c r="J143" s="36" t="str">
        <x:v>Emergency Procurement</x:v>
      </x:c>
      <x:c r="K143" s="38" t="n">
        <x:v>33</x:v>
      </x:c>
      <x:c r="L143" s="36" t="str">
        <x:v>m²</x:v>
      </x:c>
      <x:c r="M143" s="39" t="n">
        <x:v>247.47</x:v>
      </x:c>
      <x:c r="N143" s="39" t="n">
        <x:v>282.22</x:v>
      </x:c>
      <x:c r="O143" s="39" t="n">
        <x:v>8166.51</x:v>
      </x:c>
      <x:c r="P143" s="39" t="n">
        <x:v>9313.26</x:v>
      </x:c>
      <x:c r="Q143" s="39" t="n">
        <x:v>-1146.75</x:v>
      </x:c>
      <x:c r="R143" s="40" t="n">
        <x:v>-12.3</x:v>
      </x:c>
      <x:c r="S143" s="41" t="n">
        <x:v>44</x:v>
      </x:c>
      <x:c r="T143" s="36" t="str">
        <x:v>No</x:v>
      </x:c>
      <x:c r="U143" s="36" t="str">
        <x:v>Partially Delivered</x:v>
      </x:c>
    </x:row>
    <x:row r="144">
      <x:c r="A144" s="36" t="str">
        <x:v>PO-2025-0143</x:v>
      </x:c>
      <x:c r="B144" s="37" t="n">
        <x:v>45940</x:v>
      </x:c>
      <x:c r="C144" s="36" t="str">
        <x:v>October</x:v>
      </x:c>
      <x:c r="D144" s="36" t="str">
        <x:v>University District Residential Phase 3</x:v>
      </x:c>
      <x:c r="E144" s="36" t="str">
        <x:v>Calgary NE</x:v>
      </x:c>
      <x:c r="F144" s="36" t="str">
        <x:v>Sarah Bouchard</x:v>
      </x:c>
      <x:c r="G144" s="36" t="str">
        <x:v>MEP - Mechanical</x:v>
      </x:c>
      <x:c r="H144" s="36" t="str">
        <x:v>Heat Pump Assembly</x:v>
      </x:c>
      <x:c r="I144" s="36" t="str">
        <x:v>Johnson Controls Alberta</x:v>
      </x:c>
      <x:c r="J144" s="36" t="str">
        <x:v>3-Quote Comparison</x:v>
      </x:c>
      <x:c r="K144" s="38" t="n">
        <x:v>84</x:v>
      </x:c>
      <x:c r="L144" s="36" t="str">
        <x:v>lot</x:v>
      </x:c>
      <x:c r="M144" s="39" t="n">
        <x:v>83220.07</x:v>
      </x:c>
      <x:c r="N144" s="39" t="n">
        <x:v>96549.64</x:v>
      </x:c>
      <x:c r="O144" s="39" t="n">
        <x:v>6990485.88</x:v>
      </x:c>
      <x:c r="P144" s="39" t="n">
        <x:v>8110169.76</x:v>
      </x:c>
      <x:c r="Q144" s="39" t="n">
        <x:v>-1119683.88</x:v>
      </x:c>
      <x:c r="R144" s="40" t="n">
        <x:v>-13.8</x:v>
      </x:c>
      <x:c r="S144" s="41" t="n">
        <x:v>22</x:v>
      </x:c>
      <x:c r="T144" s="36" t="str">
        <x:v>Yes</x:v>
      </x:c>
      <x:c r="U144" s="36" t="str">
        <x:v>Delivered</x:v>
      </x:c>
    </x:row>
    <x:row r="145">
      <x:c r="A145" s="36" t="str">
        <x:v>PO-2025-0144</x:v>
      </x:c>
      <x:c r="B145" s="37" t="n">
        <x:v>45919</x:v>
      </x:c>
      <x:c r="C145" s="36" t="str">
        <x:v>September</x:v>
      </x:c>
      <x:c r="D145" s="36" t="str">
        <x:v>Quarry Park Mixed-Use Development</x:v>
      </x:c>
      <x:c r="E145" s="36" t="str">
        <x:v>Calgary SE</x:v>
      </x:c>
      <x:c r="F145" s="36" t="str">
        <x:v>Linda Tran</x:v>
      </x:c>
      <x:c r="G145" s="36" t="str">
        <x:v>Concrete &amp; Structural</x:v>
      </x:c>
      <x:c r="H145" s="36" t="str">
        <x:v>Precast Deck Panels</x:v>
      </x:c>
      <x:c r="I145" s="36" t="str">
        <x:v>Lafarge Canada - Calgary</x:v>
      </x:c>
      <x:c r="J145" s="36" t="str">
        <x:v>Tender – Open</x:v>
      </x:c>
      <x:c r="K145" s="38" t="n">
        <x:v>45</x:v>
      </x:c>
      <x:c r="L145" s="36" t="str">
        <x:v>m³</x:v>
      </x:c>
      <x:c r="M145" s="39" t="n">
        <x:v>453.3</x:v>
      </x:c>
      <x:c r="N145" s="39" t="n">
        <x:v>468.05</x:v>
      </x:c>
      <x:c r="O145" s="39" t="n">
        <x:v>20398.5</x:v>
      </x:c>
      <x:c r="P145" s="39" t="n">
        <x:v>21062.25</x:v>
      </x:c>
      <x:c r="Q145" s="39" t="n">
        <x:v>-663.75</x:v>
      </x:c>
      <x:c r="R145" s="40" t="n">
        <x:v>-3.2</x:v>
      </x:c>
      <x:c r="S145" s="41" t="n">
        <x:v>72</x:v>
      </x:c>
      <x:c r="T145" s="36" t="str">
        <x:v>No</x:v>
      </x:c>
      <x:c r="U145" s="36" t="str">
        <x:v>Partially Delivered</x:v>
      </x:c>
    </x:row>
    <x:row r="146">
      <x:c r="A146" s="36" t="str">
        <x:v>PO-2025-0145</x:v>
      </x:c>
      <x:c r="B146" s="37" t="n">
        <x:v>45758</x:v>
      </x:c>
      <x:c r="C146" s="36" t="str">
        <x:v>April</x:v>
      </x:c>
      <x:c r="D146" s="36" t="str">
        <x:v>Stampede Park Infrastructure Upgrade</x:v>
      </x:c>
      <x:c r="E146" s="36" t="str">
        <x:v>Calgary SE</x:v>
      </x:c>
      <x:c r="F146" s="36" t="str">
        <x:v>Priya Sharma</x:v>
      </x:c>
      <x:c r="G146" s="36" t="str">
        <x:v>Safety &amp; Temp Works</x:v>
      </x:c>
      <x:c r="H146" s="36" t="str">
        <x:v>Scaffolding System</x:v>
      </x:c>
      <x:c r="I146" s="36" t="str">
        <x:v>BrandSafway Canada</x:v>
      </x:c>
      <x:c r="J146" s="36" t="str">
        <x:v>Emergency Procurement</x:v>
      </x:c>
      <x:c r="K146" s="38" t="n">
        <x:v>97</x:v>
      </x:c>
      <x:c r="L146" s="36" t="str">
        <x:v>lot</x:v>
      </x:c>
      <x:c r="M146" s="39" t="n">
        <x:v>9313.17</x:v>
      </x:c>
      <x:c r="N146" s="39" t="n">
        <x:v>9746.1</x:v>
      </x:c>
      <x:c r="O146" s="39" t="n">
        <x:v>903377.49</x:v>
      </x:c>
      <x:c r="P146" s="39" t="n">
        <x:v>945371.7</x:v>
      </x:c>
      <x:c r="Q146" s="39" t="n">
        <x:v>-41994.21</x:v>
      </x:c>
      <x:c r="R146" s="40" t="n">
        <x:v>-4.4</x:v>
      </x:c>
      <x:c r="S146" s="41" t="n">
        <x:v>34</x:v>
      </x:c>
      <x:c r="T146" s="36" t="str">
        <x:v>No</x:v>
      </x:c>
      <x:c r="U146" s="36" t="str">
        <x:v>Partially Delivered</x:v>
      </x:c>
    </x:row>
    <x:row r="147">
      <x:c r="A147" s="36" t="str">
        <x:v>PO-2025-0146</x:v>
      </x:c>
      <x:c r="B147" s="37" t="n">
        <x:v>45686</x:v>
      </x:c>
      <x:c r="C147" s="36" t="str">
        <x:v>January</x:v>
      </x:c>
      <x:c r="D147" s="36" t="str">
        <x:v>Deerfoot Trail Widening - North</x:v>
      </x:c>
      <x:c r="E147" s="36" t="str">
        <x:v>Calgary NE</x:v>
      </x:c>
      <x:c r="F147" s="36" t="str">
        <x:v>Priya Sharma</x:v>
      </x:c>
      <x:c r="G147" s="36" t="str">
        <x:v>MEP - Mechanical</x:v>
      </x:c>
      <x:c r="H147" s="36" t="str">
        <x:v>Air Handling Unit</x:v>
      </x:c>
      <x:c r="I147" s="36" t="str">
        <x:v>Ainsworth Inc.</x:v>
      </x:c>
      <x:c r="J147" s="36" t="str">
        <x:v>Tender – Open</x:v>
      </x:c>
      <x:c r="K147" s="38" t="n">
        <x:v>45</x:v>
      </x:c>
      <x:c r="L147" s="36" t="str">
        <x:v>lot</x:v>
      </x:c>
      <x:c r="M147" s="39" t="n">
        <x:v>8904.33</x:v>
      </x:c>
      <x:c r="N147" s="39" t="n">
        <x:v>10889.98</x:v>
      </x:c>
      <x:c r="O147" s="39" t="n">
        <x:v>400694.85</x:v>
      </x:c>
      <x:c r="P147" s="39" t="n">
        <x:v>490049.1</x:v>
      </x:c>
      <x:c r="Q147" s="39" t="n">
        <x:v>-89354.25</x:v>
      </x:c>
      <x:c r="R147" s="40" t="n">
        <x:v>-18.2</x:v>
      </x:c>
      <x:c r="S147" s="41" t="n">
        <x:v>32</x:v>
      </x:c>
      <x:c r="T147" s="36" t="str">
        <x:v>Yes</x:v>
      </x:c>
      <x:c r="U147" s="36" t="str">
        <x:v>Delivered</x:v>
      </x:c>
    </x:row>
    <x:row r="148">
      <x:c r="A148" s="36" t="str">
        <x:v>PO-2025-0147</x:v>
      </x:c>
      <x:c r="B148" s="37" t="n">
        <x:v>45871</x:v>
      </x:c>
      <x:c r="C148" s="36" t="str">
        <x:v>August</x:v>
      </x:c>
      <x:c r="D148" s="36" t="str">
        <x:v>Saddledome Arena Retrofit</x:v>
      </x:c>
      <x:c r="E148" s="36" t="str">
        <x:v>Rocky View County</x:v>
      </x:c>
      <x:c r="F148" s="36" t="str">
        <x:v>Aisha Nkosi</x:v>
      </x:c>
      <x:c r="G148" s="36" t="str">
        <x:v>Concrete &amp; Structural</x:v>
      </x:c>
      <x:c r="H148" s="36" t="str">
        <x:v>Post-Tension Cables</x:v>
      </x:c>
      <x:c r="I148" s="36" t="str">
        <x:v>Evraz Steel Calgary</x:v>
      </x:c>
      <x:c r="J148" s="36" t="str">
        <x:v>LPO – Direct Award</x:v>
      </x:c>
      <x:c r="K148" s="38" t="n">
        <x:v>84</x:v>
      </x:c>
      <x:c r="L148" s="36" t="str">
        <x:v>m³</x:v>
      </x:c>
      <x:c r="M148" s="39" t="n">
        <x:v>251.5</x:v>
      </x:c>
      <x:c r="N148" s="39" t="n">
        <x:v>236.05</x:v>
      </x:c>
      <x:c r="O148" s="39" t="n">
        <x:v>21126</x:v>
      </x:c>
      <x:c r="P148" s="39" t="n">
        <x:v>19828.2</x:v>
      </x:c>
      <x:c r="Q148" s="39" t="n">
        <x:v>1297.8</x:v>
      </x:c>
      <x:c r="R148" s="40" t="n">
        <x:v>6.5</x:v>
      </x:c>
      <x:c r="S148" s="41" t="n">
        <x:v>84</x:v>
      </x:c>
      <x:c r="T148" s="36" t="str">
        <x:v>Yes</x:v>
      </x:c>
      <x:c r="U148" s="36" t="str">
        <x:v>Cancelled</x:v>
      </x:c>
    </x:row>
    <x:row r="149">
      <x:c r="A149" s="36" t="str">
        <x:v>PO-2025-0148</x:v>
      </x:c>
      <x:c r="B149" s="37" t="n">
        <x:v>45758</x:v>
      </x:c>
      <x:c r="C149" s="36" t="str">
        <x:v>April</x:v>
      </x:c>
      <x:c r="D149" s="36" t="str">
        <x:v>Deerfoot Trail Widening - North</x:v>
      </x:c>
      <x:c r="E149" s="36" t="str">
        <x:v>Rocky View County</x:v>
      </x:c>
      <x:c r="F149" s="36" t="str">
        <x:v>Linda Tran</x:v>
      </x:c>
      <x:c r="G149" s="36" t="str">
        <x:v>Civil Works</x:v>
      </x:c>
      <x:c r="H149" s="36" t="str">
        <x:v>Bulk Excavation</x:v>
      </x:c>
      <x:c r="I149" s="36" t="str">
        <x:v>Kiewit Infrastructure</x:v>
      </x:c>
      <x:c r="J149" s="36" t="str">
        <x:v>Tender – Open</x:v>
      </x:c>
      <x:c r="K149" s="38" t="n">
        <x:v>27</x:v>
      </x:c>
      <x:c r="L149" s="36" t="str">
        <x:v>m³</x:v>
      </x:c>
      <x:c r="M149" s="39" t="n">
        <x:v>222.86</x:v>
      </x:c>
      <x:c r="N149" s="39" t="n">
        <x:v>250.5</x:v>
      </x:c>
      <x:c r="O149" s="39" t="n">
        <x:v>6017.22</x:v>
      </x:c>
      <x:c r="P149" s="39" t="n">
        <x:v>6763.5</x:v>
      </x:c>
      <x:c r="Q149" s="39" t="n">
        <x:v>-746.28</x:v>
      </x:c>
      <x:c r="R149" s="40" t="n">
        <x:v>-11</x:v>
      </x:c>
      <x:c r="S149" s="41" t="n">
        <x:v>27</x:v>
      </x:c>
      <x:c r="T149" s="36" t="str">
        <x:v>Yes</x:v>
      </x:c>
      <x:c r="U149" s="36" t="str">
        <x:v>Delivered</x:v>
      </x:c>
    </x:row>
    <x:row r="150">
      <x:c r="A150" s="36" t="str">
        <x:v>PO-2025-0149</x:v>
      </x:c>
      <x:c r="B150" s="37" t="n">
        <x:v>45955</x:v>
      </x:c>
      <x:c r="C150" s="36" t="str">
        <x:v>October</x:v>
      </x:c>
      <x:c r="D150" s="36" t="str">
        <x:v>Stampede Park Infrastructure Upgrade</x:v>
      </x:c>
      <x:c r="E150" s="36" t="str">
        <x:v>Calgary NE</x:v>
      </x:c>
      <x:c r="F150" s="36" t="str">
        <x:v>Mohammed Siddiqui</x:v>
      </x:c>
      <x:c r="G150" s="36" t="str">
        <x:v>MEP - Mechanical</x:v>
      </x:c>
      <x:c r="H150" s="36" t="str">
        <x:v>Air Handling Unit</x:v>
      </x:c>
      <x:c r="I150" s="36" t="str">
        <x:v>Johnson Controls Alberta</x:v>
      </x:c>
      <x:c r="J150" s="36" t="str">
        <x:v>Tender – Open</x:v>
      </x:c>
      <x:c r="K150" s="38" t="n">
        <x:v>46</x:v>
      </x:c>
      <x:c r="L150" s="36" t="str">
        <x:v>lot</x:v>
      </x:c>
      <x:c r="M150" s="39" t="n">
        <x:v>61927.14</x:v>
      </x:c>
      <x:c r="N150" s="39" t="n">
        <x:v>60487.38</x:v>
      </x:c>
      <x:c r="O150" s="39" t="n">
        <x:v>2848648.44</x:v>
      </x:c>
      <x:c r="P150" s="39" t="n">
        <x:v>2782419.48</x:v>
      </x:c>
      <x:c r="Q150" s="39" t="n">
        <x:v>66228.96</x:v>
      </x:c>
      <x:c r="R150" s="40" t="n">
        <x:v>2.4</x:v>
      </x:c>
      <x:c r="S150" s="41" t="n">
        <x:v>5</x:v>
      </x:c>
      <x:c r="T150" s="36" t="str">
        <x:v>Yes</x:v>
      </x:c>
      <x:c r="U150" s="36" t="str">
        <x:v>Cancelled</x:v>
      </x:c>
    </x:row>
    <x:row r="151">
      <x:c r="A151" s="36" t="str">
        <x:v>PO-2025-0150</x:v>
      </x:c>
      <x:c r="B151" s="37" t="n">
        <x:v>45763</x:v>
      </x:c>
      <x:c r="C151" s="36" t="str">
        <x:v>April</x:v>
      </x:c>
      <x:c r="D151" s="36" t="str">
        <x:v>Rocky View Industrial Logistics Hub</x:v>
      </x:c>
      <x:c r="E151" s="36" t="str">
        <x:v>Calgary SE</x:v>
      </x:c>
      <x:c r="F151" s="36" t="str">
        <x:v>Priya Sharma</x:v>
      </x:c>
      <x:c r="G151" s="36" t="str">
        <x:v>Civil Works</x:v>
      </x:c>
      <x:c r="H151" s="36" t="str">
        <x:v>Granular Backfill</x:v>
      </x:c>
      <x:c r="I151" s="36" t="str">
        <x:v>Graham Construction</x:v>
      </x:c>
      <x:c r="J151" s="36" t="str">
        <x:v>Tender – Open</x:v>
      </x:c>
      <x:c r="K151" s="38" t="n">
        <x:v>105</x:v>
      </x:c>
      <x:c r="L151" s="36" t="str">
        <x:v>m³</x:v>
      </x:c>
      <x:c r="M151" s="39" t="n">
        <x:v>163.3</x:v>
      </x:c>
      <x:c r="N151" s="39" t="n">
        <x:v>178.46</x:v>
      </x:c>
      <x:c r="O151" s="39" t="n">
        <x:v>17146.5</x:v>
      </x:c>
      <x:c r="P151" s="39" t="n">
        <x:v>18738.3</x:v>
      </x:c>
      <x:c r="Q151" s="39" t="n">
        <x:v>-1591.8</x:v>
      </x:c>
      <x:c r="R151" s="40" t="n">
        <x:v>-8.5</x:v>
      </x:c>
      <x:c r="S151" s="41" t="n">
        <x:v>39</x:v>
      </x:c>
      <x:c r="T151" s="36" t="str">
        <x:v>Yes</x:v>
      </x:c>
      <x:c r="U151" s="36" t="str">
        <x:v>Pending</x:v>
      </x:c>
    </x:row>
    <x:row r="152">
      <x:c r="A152" s="36" t="str">
        <x:v>PO-2025-0151</x:v>
      </x:c>
      <x:c r="B152" s="37" t="n">
        <x:v>45721</x:v>
      </x:c>
      <x:c r="C152" s="36" t="str">
        <x:v>March</x:v>
      </x:c>
      <x:c r="D152" s="36" t="str">
        <x:v>Calgary SE Ring Road Extension</x:v>
      </x:c>
      <x:c r="E152" s="36" t="str">
        <x:v>Calgary SE</x:v>
      </x:c>
      <x:c r="F152" s="36" t="str">
        <x:v>Aisha Nkosi</x:v>
      </x:c>
      <x:c r="G152" s="36" t="str">
        <x:v>Finishing</x:v>
      </x:c>
      <x:c r="H152" s="36" t="str">
        <x:v>Exterior Cladding Panel</x:v>
      </x:c>
      <x:c r="I152" s="36" t="str">
        <x:v>Armstrong World Industries</x:v>
      </x:c>
      <x:c r="J152" s="36" t="str">
        <x:v>Emergency Procurement</x:v>
      </x:c>
      <x:c r="K152" s="38" t="n">
        <x:v>16</x:v>
      </x:c>
      <x:c r="L152" s="36" t="str">
        <x:v>m²</x:v>
      </x:c>
      <x:c r="M152" s="39" t="n">
        <x:v>107.02</x:v>
      </x:c>
      <x:c r="N152" s="39" t="n">
        <x:v>127.53</x:v>
      </x:c>
      <x:c r="O152" s="39" t="n">
        <x:v>1712.32</x:v>
      </x:c>
      <x:c r="P152" s="39" t="n">
        <x:v>2040.48</x:v>
      </x:c>
      <x:c r="Q152" s="39" t="n">
        <x:v>-328.16</x:v>
      </x:c>
      <x:c r="R152" s="40" t="n">
        <x:v>-16.1</x:v>
      </x:c>
      <x:c r="S152" s="41" t="n">
        <x:v>40</x:v>
      </x:c>
      <x:c r="T152" s="36" t="str">
        <x:v>Yes</x:v>
      </x:c>
      <x:c r="U152" s="36" t="str">
        <x:v>Delivered</x:v>
      </x:c>
    </x:row>
    <x:row r="153">
      <x:c r="A153" s="36" t="str">
        <x:v>PO-2025-0152</x:v>
      </x:c>
      <x:c r="B153" s="37" t="n">
        <x:v>45989</x:v>
      </x:c>
      <x:c r="C153" s="36" t="str">
        <x:v>November</x:v>
      </x:c>
      <x:c r="D153" s="36" t="str">
        <x:v>Stampede Park Infrastructure Upgrade</x:v>
      </x:c>
      <x:c r="E153" s="36" t="str">
        <x:v>Calgary SW</x:v>
      </x:c>
      <x:c r="F153" s="36" t="str">
        <x:v>Derek McLean</x:v>
      </x:c>
      <x:c r="G153" s="36" t="str">
        <x:v>Civil Works</x:v>
      </x:c>
      <x:c r="H153" s="36" t="str">
        <x:v>Curb &amp; Gutter Concrete</x:v>
      </x:c>
      <x:c r="I153" s="36" t="str">
        <x:v>Graham Construction</x:v>
      </x:c>
      <x:c r="J153" s="36" t="str">
        <x:v>Emergency Procurement</x:v>
      </x:c>
      <x:c r="K153" s="38" t="n">
        <x:v>82</x:v>
      </x:c>
      <x:c r="L153" s="36" t="str">
        <x:v>m³</x:v>
      </x:c>
      <x:c r="M153" s="39" t="n">
        <x:v>111.2</x:v>
      </x:c>
      <x:c r="N153" s="39" t="n">
        <x:v>98.34</x:v>
      </x:c>
      <x:c r="O153" s="39" t="n">
        <x:v>9118.4</x:v>
      </x:c>
      <x:c r="P153" s="39" t="n">
        <x:v>8063.88</x:v>
      </x:c>
      <x:c r="Q153" s="39" t="n">
        <x:v>1054.52</x:v>
      </x:c>
      <x:c r="R153" s="40" t="n">
        <x:v>13.1</x:v>
      </x:c>
      <x:c r="S153" s="41" t="n">
        <x:v>57</x:v>
      </x:c>
      <x:c r="T153" s="36" t="str">
        <x:v>Yes</x:v>
      </x:c>
      <x:c r="U153" s="36" t="str">
        <x:v>Pending</x:v>
      </x:c>
    </x:row>
    <x:row r="154">
      <x:c r="A154" s="36" t="str">
        <x:v>PO-2025-0153</x:v>
      </x:c>
      <x:c r="B154" s="37" t="n">
        <x:v>45883</x:v>
      </x:c>
      <x:c r="C154" s="36" t="str">
        <x:v>August</x:v>
      </x:c>
      <x:c r="D154" s="36" t="str">
        <x:v>Quarry Park Mixed-Use Development</x:v>
      </x:c>
      <x:c r="E154" s="36" t="str">
        <x:v>Calgary SE</x:v>
      </x:c>
      <x:c r="F154" s="36" t="str">
        <x:v>Liam Kowalski</x:v>
      </x:c>
      <x:c r="G154" s="36" t="str">
        <x:v>Safety &amp; Temp Works</x:v>
      </x:c>
      <x:c r="H154" s="36" t="str">
        <x:v>Site Hoarding &amp; Fencing</x:v>
      </x:c>
      <x:c r="I154" s="36" t="str">
        <x:v>Safway Alberta</x:v>
      </x:c>
      <x:c r="J154" s="36" t="str">
        <x:v>Standing Offer Agreement</x:v>
      </x:c>
      <x:c r="K154" s="38" t="n">
        <x:v>76</x:v>
      </x:c>
      <x:c r="L154" s="36" t="str">
        <x:v>lot</x:v>
      </x:c>
      <x:c r="M154" s="39" t="n">
        <x:v>8059.3</x:v>
      </x:c>
      <x:c r="N154" s="39" t="n">
        <x:v>9673.1</x:v>
      </x:c>
      <x:c r="O154" s="39" t="n">
        <x:v>612506.8</x:v>
      </x:c>
      <x:c r="P154" s="39" t="n">
        <x:v>735155.6</x:v>
      </x:c>
      <x:c r="Q154" s="39" t="n">
        <x:v>-122648.8</x:v>
      </x:c>
      <x:c r="R154" s="40" t="n">
        <x:v>-16.7</x:v>
      </x:c>
      <x:c r="S154" s="41" t="n">
        <x:v>36</x:v>
      </x:c>
      <x:c r="T154" s="36" t="str">
        <x:v>Yes</x:v>
      </x:c>
      <x:c r="U154" s="36" t="str">
        <x:v>Delivered</x:v>
      </x:c>
    </x:row>
    <x:row r="155">
      <x:c r="A155" s="36" t="str">
        <x:v>PO-2025-0154</x:v>
      </x:c>
      <x:c r="B155" s="37" t="n">
        <x:v>45832</x:v>
      </x:c>
      <x:c r="C155" s="36" t="str">
        <x:v>June</x:v>
      </x:c>
      <x:c r="D155" s="36" t="str">
        <x:v>Calgary SE Ring Road Extension</x:v>
      </x:c>
      <x:c r="E155" s="36" t="str">
        <x:v>Calgary NE</x:v>
      </x:c>
      <x:c r="F155" s="36" t="str">
        <x:v>Sarah Bouchard</x:v>
      </x:c>
      <x:c r="G155" s="36" t="str">
        <x:v>Finishing</x:v>
      </x:c>
      <x:c r="H155" s="36" t="str">
        <x:v>Ceramic Floor Tile</x:v>
      </x:c>
      <x:c r="I155" s="36" t="str">
        <x:v>Dryvit Systems Canada</x:v>
      </x:c>
      <x:c r="J155" s="36" t="str">
        <x:v>LPO – Direct Award</x:v>
      </x:c>
      <x:c r="K155" s="38" t="n">
        <x:v>3</x:v>
      </x:c>
      <x:c r="L155" s="36" t="str">
        <x:v>m²</x:v>
      </x:c>
      <x:c r="M155" s="39" t="n">
        <x:v>376.04</x:v>
      </x:c>
      <x:c r="N155" s="39" t="n">
        <x:v>376.91</x:v>
      </x:c>
      <x:c r="O155" s="39" t="n">
        <x:v>1128.12</x:v>
      </x:c>
      <x:c r="P155" s="39" t="n">
        <x:v>1130.73</x:v>
      </x:c>
      <x:c r="Q155" s="39" t="n">
        <x:v>-2.61</x:v>
      </x:c>
      <x:c r="R155" s="40" t="n">
        <x:v>-0.2</x:v>
      </x:c>
      <x:c r="S155" s="41" t="n">
        <x:v>79</x:v>
      </x:c>
      <x:c r="T155" s="36" t="str">
        <x:v>Yes</x:v>
      </x:c>
      <x:c r="U155" s="36" t="str">
        <x:v>Delivered</x:v>
      </x:c>
    </x:row>
    <x:row r="156">
      <x:c r="A156" s="36" t="str">
        <x:v>PO-2025-0155</x:v>
      </x:c>
      <x:c r="B156" s="37" t="n">
        <x:v>45669</x:v>
      </x:c>
      <x:c r="C156" s="36" t="str">
        <x:v>January</x:v>
      </x:c>
      <x:c r="D156" s="36" t="str">
        <x:v>Saddledome Arena Retrofit</x:v>
      </x:c>
      <x:c r="E156" s="36" t="str">
        <x:v>Rocky View County</x:v>
      </x:c>
      <x:c r="F156" s="36" t="str">
        <x:v>Aisha Nkosi</x:v>
      </x:c>
      <x:c r="G156" s="36" t="str">
        <x:v>Concrete &amp; Structural</x:v>
      </x:c>
      <x:c r="H156" s="36" t="str">
        <x:v>Rebar Steel</x:v>
      </x:c>
      <x:c r="I156" s="36" t="str">
        <x:v>Inland Concrete</x:v>
      </x:c>
      <x:c r="J156" s="36" t="str">
        <x:v>Emergency Procurement</x:v>
      </x:c>
      <x:c r="K156" s="38" t="n">
        <x:v>86</x:v>
      </x:c>
      <x:c r="L156" s="36" t="str">
        <x:v>m³</x:v>
      </x:c>
      <x:c r="M156" s="39" t="n">
        <x:v>358.54</x:v>
      </x:c>
      <x:c r="N156" s="39" t="n">
        <x:v>397.17</x:v>
      </x:c>
      <x:c r="O156" s="39" t="n">
        <x:v>30834.44</x:v>
      </x:c>
      <x:c r="P156" s="39" t="n">
        <x:v>34156.62</x:v>
      </x:c>
      <x:c r="Q156" s="39" t="n">
        <x:v>-3322.18</x:v>
      </x:c>
      <x:c r="R156" s="40" t="n">
        <x:v>-9.7</x:v>
      </x:c>
      <x:c r="S156" s="41" t="n">
        <x:v>11</x:v>
      </x:c>
      <x:c r="T156" s="36" t="str">
        <x:v>Yes</x:v>
      </x:c>
      <x:c r="U156" s="36" t="str">
        <x:v>Delivered</x:v>
      </x:c>
    </x:row>
    <x:row r="157">
      <x:c r="A157" s="36" t="str">
        <x:v>PO-2025-0156</x:v>
      </x:c>
      <x:c r="B157" s="37" t="n">
        <x:v>45860</x:v>
      </x:c>
      <x:c r="C157" s="36" t="str">
        <x:v>July</x:v>
      </x:c>
      <x:c r="D157" s="36" t="str">
        <x:v>University District Residential Phase 3</x:v>
      </x:c>
      <x:c r="E157" s="36" t="str">
        <x:v>Calgary SW</x:v>
      </x:c>
      <x:c r="F157" s="36" t="str">
        <x:v>Liam Kowalski</x:v>
      </x:c>
      <x:c r="G157" s="36" t="str">
        <x:v>Safety &amp; Temp Works</x:v>
      </x:c>
      <x:c r="H157" s="36" t="str">
        <x:v>Site Office Trailer</x:v>
      </x:c>
      <x:c r="I157" s="36" t="str">
        <x:v>BrandSafway Canada</x:v>
      </x:c>
      <x:c r="J157" s="36" t="str">
        <x:v>LPO – Direct Award</x:v>
      </x:c>
      <x:c r="K157" s="38" t="n">
        <x:v>84</x:v>
      </x:c>
      <x:c r="L157" s="36" t="str">
        <x:v>lot</x:v>
      </x:c>
      <x:c r="M157" s="39" t="n">
        <x:v>19995.23</x:v>
      </x:c>
      <x:c r="N157" s="39" t="n">
        <x:v>20244.97</x:v>
      </x:c>
      <x:c r="O157" s="39" t="n">
        <x:v>1679599.32</x:v>
      </x:c>
      <x:c r="P157" s="39" t="n">
        <x:v>1700577.48</x:v>
      </x:c>
      <x:c r="Q157" s="39" t="n">
        <x:v>-20978.16</x:v>
      </x:c>
      <x:c r="R157" s="40" t="n">
        <x:v>-1.2</x:v>
      </x:c>
      <x:c r="S157" s="41" t="n">
        <x:v>31</x:v>
      </x:c>
      <x:c r="T157" s="36" t="str">
        <x:v>Yes</x:v>
      </x:c>
      <x:c r="U157" s="36" t="str">
        <x:v>Pending</x:v>
      </x:c>
    </x:row>
    <x:row r="158">
      <x:c r="A158" s="36" t="str">
        <x:v>PO-2025-0157</x:v>
      </x:c>
      <x:c r="B158" s="37" t="n">
        <x:v>45765</x:v>
      </x:c>
      <x:c r="C158" s="36" t="str">
        <x:v>April</x:v>
      </x:c>
      <x:c r="D158" s="36" t="str">
        <x:v>Stampede Park Infrastructure Upgrade</x:v>
      </x:c>
      <x:c r="E158" s="36" t="str">
        <x:v>Calgary SE</x:v>
      </x:c>
      <x:c r="F158" s="36" t="str">
        <x:v>Priya Sharma</x:v>
      </x:c>
      <x:c r="G158" s="36" t="str">
        <x:v>MEP - Mechanical</x:v>
      </x:c>
      <x:c r="H158" s="36" t="str">
        <x:v>Insulated Pipework</x:v>
      </x:c>
      <x:c r="I158" s="36" t="str">
        <x:v>Stantec MEP</x:v>
      </x:c>
      <x:c r="J158" s="36" t="str">
        <x:v>LPO – Direct Award</x:v>
      </x:c>
      <x:c r="K158" s="38" t="n">
        <x:v>84</x:v>
      </x:c>
      <x:c r="L158" s="36" t="str">
        <x:v>lot</x:v>
      </x:c>
      <x:c r="M158" s="39" t="n">
        <x:v>5833.63</x:v>
      </x:c>
      <x:c r="N158" s="39" t="n">
        <x:v>6559.6</x:v>
      </x:c>
      <x:c r="O158" s="39" t="n">
        <x:v>490024.92</x:v>
      </x:c>
      <x:c r="P158" s="39" t="n">
        <x:v>551006.4</x:v>
      </x:c>
      <x:c r="Q158" s="39" t="n">
        <x:v>-60981.48</x:v>
      </x:c>
      <x:c r="R158" s="40" t="n">
        <x:v>-11.1</x:v>
      </x:c>
      <x:c r="S158" s="41" t="n">
        <x:v>36</x:v>
      </x:c>
      <x:c r="T158" s="36" t="str">
        <x:v>Yes</x:v>
      </x:c>
      <x:c r="U158" s="36" t="str">
        <x:v>Cancelled</x:v>
      </x:c>
    </x:row>
    <x:row r="159">
      <x:c r="A159" s="36" t="str">
        <x:v>PO-2025-0158</x:v>
      </x:c>
      <x:c r="B159" s="37" t="n">
        <x:v>45900</x:v>
      </x:c>
      <x:c r="C159" s="36" t="str">
        <x:v>August</x:v>
      </x:c>
      <x:c r="D159" s="36" t="str">
        <x:v>Calgary SE Ring Road Extension</x:v>
      </x:c>
      <x:c r="E159" s="36" t="str">
        <x:v>Rocky View County</x:v>
      </x:c>
      <x:c r="F159" s="36" t="str">
        <x:v>Linda Tran</x:v>
      </x:c>
      <x:c r="G159" s="36" t="str">
        <x:v>Civil Works</x:v>
      </x:c>
      <x:c r="H159" s="36" t="str">
        <x:v>Granular Backfill</x:v>
      </x:c>
      <x:c r="I159" s="36" t="str">
        <x:v>Ledcor Civil Alberta</x:v>
      </x:c>
      <x:c r="J159" s="36" t="str">
        <x:v>Tender – Open</x:v>
      </x:c>
      <x:c r="K159" s="38" t="n">
        <x:v>115</x:v>
      </x:c>
      <x:c r="L159" s="36" t="str">
        <x:v>m³</x:v>
      </x:c>
      <x:c r="M159" s="39" t="n">
        <x:v>295.86</x:v>
      </x:c>
      <x:c r="N159" s="39" t="n">
        <x:v>353.61</x:v>
      </x:c>
      <x:c r="O159" s="39" t="n">
        <x:v>34023.9</x:v>
      </x:c>
      <x:c r="P159" s="39" t="n">
        <x:v>40665.15</x:v>
      </x:c>
      <x:c r="Q159" s="39" t="n">
        <x:v>-6641.25</x:v>
      </x:c>
      <x:c r="R159" s="40" t="n">
        <x:v>-16.3</x:v>
      </x:c>
      <x:c r="S159" s="41" t="n">
        <x:v>17</x:v>
      </x:c>
      <x:c r="T159" s="36" t="str">
        <x:v>Yes</x:v>
      </x:c>
      <x:c r="U159" s="36" t="str">
        <x:v>Pending</x:v>
      </x:c>
    </x:row>
    <x:row r="160">
      <x:c r="A160" s="36" t="str">
        <x:v>PO-2025-0159</x:v>
      </x:c>
      <x:c r="B160" s="37" t="n">
        <x:v>45945</x:v>
      </x:c>
      <x:c r="C160" s="36" t="str">
        <x:v>October</x:v>
      </x:c>
      <x:c r="D160" s="36" t="str">
        <x:v>Deerfoot Trail Widening - North</x:v>
      </x:c>
      <x:c r="E160" s="36" t="str">
        <x:v>Calgary NE</x:v>
      </x:c>
      <x:c r="F160" s="36" t="str">
        <x:v>Priya Sharma</x:v>
      </x:c>
      <x:c r="G160" s="36" t="str">
        <x:v>Concrete &amp; Structural</x:v>
      </x:c>
      <x:c r="H160" s="36" t="str">
        <x:v>Rebar Steel</x:v>
      </x:c>
      <x:c r="I160" s="36" t="str">
        <x:v>Lafarge Canada - Calgary</x:v>
      </x:c>
      <x:c r="J160" s="36" t="str">
        <x:v>Emergency Procurement</x:v>
      </x:c>
      <x:c r="K160" s="38" t="n">
        <x:v>85</x:v>
      </x:c>
      <x:c r="L160" s="36" t="str">
        <x:v>m³</x:v>
      </x:c>
      <x:c r="M160" s="39" t="n">
        <x:v>321.8</x:v>
      </x:c>
      <x:c r="N160" s="39" t="n">
        <x:v>287.55</x:v>
      </x:c>
      <x:c r="O160" s="39" t="n">
        <x:v>27353</x:v>
      </x:c>
      <x:c r="P160" s="39" t="n">
        <x:v>24441.75</x:v>
      </x:c>
      <x:c r="Q160" s="39" t="n">
        <x:v>2911.25</x:v>
      </x:c>
      <x:c r="R160" s="40" t="n">
        <x:v>11.9</x:v>
      </x:c>
      <x:c r="S160" s="41" t="n">
        <x:v>69</x:v>
      </x:c>
      <x:c r="T160" s="36" t="str">
        <x:v>Yes</x:v>
      </x:c>
      <x:c r="U160" s="36" t="str">
        <x:v>Delivered</x:v>
      </x:c>
    </x:row>
    <x:row r="161">
      <x:c r="A161" s="36" t="str">
        <x:v>PO-2025-0160</x:v>
      </x:c>
      <x:c r="B161" s="37" t="n">
        <x:v>45783</x:v>
      </x:c>
      <x:c r="C161" s="36" t="str">
        <x:v>May</x:v>
      </x:c>
      <x:c r="D161" s="36" t="str">
        <x:v>Foothills Medical Centre Expansion</x:v>
      </x:c>
      <x:c r="E161" s="36" t="str">
        <x:v>Rocky View County</x:v>
      </x:c>
      <x:c r="F161" s="36" t="str">
        <x:v>Aisha Nkosi</x:v>
      </x:c>
      <x:c r="G161" s="36" t="str">
        <x:v>Civil Works</x:v>
      </x:c>
      <x:c r="H161" s="36" t="str">
        <x:v>Bulk Excavation</x:v>
      </x:c>
      <x:c r="I161" s="36" t="str">
        <x:v>Graham Construction</x:v>
      </x:c>
      <x:c r="J161" s="36" t="str">
        <x:v>3-Quote Comparison</x:v>
      </x:c>
      <x:c r="K161" s="38" t="n">
        <x:v>59</x:v>
      </x:c>
      <x:c r="L161" s="36" t="str">
        <x:v>m³</x:v>
      </x:c>
      <x:c r="M161" s="39" t="n">
        <x:v>197.32</x:v>
      </x:c>
      <x:c r="N161" s="39" t="n">
        <x:v>180.02</x:v>
      </x:c>
      <x:c r="O161" s="39" t="n">
        <x:v>11641.88</x:v>
      </x:c>
      <x:c r="P161" s="39" t="n">
        <x:v>10621.18</x:v>
      </x:c>
      <x:c r="Q161" s="39" t="n">
        <x:v>1020.7</x:v>
      </x:c>
      <x:c r="R161" s="40" t="n">
        <x:v>9.6</x:v>
      </x:c>
      <x:c r="S161" s="41" t="n">
        <x:v>17</x:v>
      </x:c>
      <x:c r="T161" s="36" t="str">
        <x:v>Yes</x:v>
      </x:c>
      <x:c r="U161" s="36" t="str">
        <x:v>Pending</x:v>
      </x:c>
    </x:row>
    <x:row r="162">
      <x:c r="A162" s="36" t="str">
        <x:v>PO-2025-0161</x:v>
      </x:c>
      <x:c r="B162" s="37" t="n">
        <x:v>45737</x:v>
      </x:c>
      <x:c r="C162" s="36" t="str">
        <x:v>March</x:v>
      </x:c>
      <x:c r="D162" s="36" t="str">
        <x:v>Saddledome Arena Retrofit</x:v>
      </x:c>
      <x:c r="E162" s="36" t="str">
        <x:v>Calgary SW</x:v>
      </x:c>
      <x:c r="F162" s="36" t="str">
        <x:v>Derek McLean</x:v>
      </x:c>
      <x:c r="G162" s="36" t="str">
        <x:v>Civil Works</x:v>
      </x:c>
      <x:c r="H162" s="36" t="str">
        <x:v>Storm Drainage Pipe</x:v>
      </x:c>
      <x:c r="I162" s="36" t="str">
        <x:v>Ledcor Civil Alberta</x:v>
      </x:c>
      <x:c r="J162" s="36" t="str">
        <x:v>LPO – Direct Award</x:v>
      </x:c>
      <x:c r="K162" s="38" t="n">
        <x:v>103</x:v>
      </x:c>
      <x:c r="L162" s="36" t="str">
        <x:v>m³</x:v>
      </x:c>
      <x:c r="M162" s="39" t="n">
        <x:v>113.37</x:v>
      </x:c>
      <x:c r="N162" s="39" t="n">
        <x:v>132.76</x:v>
      </x:c>
      <x:c r="O162" s="39" t="n">
        <x:v>11677.11</x:v>
      </x:c>
      <x:c r="P162" s="39" t="n">
        <x:v>13674.28</x:v>
      </x:c>
      <x:c r="Q162" s="39" t="n">
        <x:v>-1997.17</x:v>
      </x:c>
      <x:c r="R162" s="40" t="n">
        <x:v>-14.6</x:v>
      </x:c>
      <x:c r="S162" s="41" t="n">
        <x:v>52</x:v>
      </x:c>
      <x:c r="T162" s="36" t="str">
        <x:v>No</x:v>
      </x:c>
      <x:c r="U162" s="36" t="str">
        <x:v>Pending</x:v>
      </x:c>
    </x:row>
    <x:row r="163">
      <x:c r="A163" s="36" t="str">
        <x:v>PO-2025-0162</x:v>
      </x:c>
      <x:c r="B163" s="37" t="n">
        <x:v>45974</x:v>
      </x:c>
      <x:c r="C163" s="36" t="str">
        <x:v>November</x:v>
      </x:c>
      <x:c r="D163" s="36" t="str">
        <x:v>Bow River Crossing Overpass</x:v>
      </x:c>
      <x:c r="E163" s="36" t="str">
        <x:v>Rocky View County</x:v>
      </x:c>
      <x:c r="F163" s="36" t="str">
        <x:v>Liam Kowalski</x:v>
      </x:c>
      <x:c r="G163" s="36" t="str">
        <x:v>Concrete &amp; Structural</x:v>
      </x:c>
      <x:c r="H163" s="36" t="str">
        <x:v>Structural Formwork</x:v>
      </x:c>
      <x:c r="I163" s="36" t="str">
        <x:v>Alberta Precast</x:v>
      </x:c>
      <x:c r="J163" s="36" t="str">
        <x:v>Standing Offer Agreement</x:v>
      </x:c>
      <x:c r="K163" s="38" t="n">
        <x:v>11</x:v>
      </x:c>
      <x:c r="L163" s="36" t="str">
        <x:v>m³</x:v>
      </x:c>
      <x:c r="M163" s="39" t="n">
        <x:v>405.58</x:v>
      </x:c>
      <x:c r="N163" s="39" t="n">
        <x:v>381.88</x:v>
      </x:c>
      <x:c r="O163" s="39" t="n">
        <x:v>4461.38</x:v>
      </x:c>
      <x:c r="P163" s="39" t="n">
        <x:v>4200.68</x:v>
      </x:c>
      <x:c r="Q163" s="39" t="n">
        <x:v>260.7</x:v>
      </x:c>
      <x:c r="R163" s="40" t="n">
        <x:v>6.2</x:v>
      </x:c>
      <x:c r="S163" s="41" t="n">
        <x:v>72</x:v>
      </x:c>
      <x:c r="T163" s="36" t="str">
        <x:v>No</x:v>
      </x:c>
      <x:c r="U163" s="36" t="str">
        <x:v>Partially Delivered</x:v>
      </x:c>
    </x:row>
    <x:row r="164">
      <x:c r="A164" s="36" t="str">
        <x:v>PO-2025-0163</x:v>
      </x:c>
      <x:c r="B164" s="37" t="n">
        <x:v>45826</x:v>
      </x:c>
      <x:c r="C164" s="36" t="str">
        <x:v>June</x:v>
      </x:c>
      <x:c r="D164" s="36" t="str">
        <x:v>Stampede Park Infrastructure Upgrade</x:v>
      </x:c>
      <x:c r="E164" s="36" t="str">
        <x:v>Calgary SW</x:v>
      </x:c>
      <x:c r="F164" s="36" t="str">
        <x:v>Priya Sharma</x:v>
      </x:c>
      <x:c r="G164" s="36" t="str">
        <x:v>Safety &amp; Temp Works</x:v>
      </x:c>
      <x:c r="H164" s="36" t="str">
        <x:v>Site Office Trailer</x:v>
      </x:c>
      <x:c r="I164" s="36" t="str">
        <x:v>Safway Alberta</x:v>
      </x:c>
      <x:c r="J164" s="36" t="str">
        <x:v>Standing Offer Agreement</x:v>
      </x:c>
      <x:c r="K164" s="38" t="n">
        <x:v>35</x:v>
      </x:c>
      <x:c r="L164" s="36" t="str">
        <x:v>lot</x:v>
      </x:c>
      <x:c r="M164" s="39" t="n">
        <x:v>12850.11</x:v>
      </x:c>
      <x:c r="N164" s="39" t="n">
        <x:v>14661.25</x:v>
      </x:c>
      <x:c r="O164" s="39" t="n">
        <x:v>449753.85</x:v>
      </x:c>
      <x:c r="P164" s="39" t="n">
        <x:v>513143.75</x:v>
      </x:c>
      <x:c r="Q164" s="39" t="n">
        <x:v>-63389.9</x:v>
      </x:c>
      <x:c r="R164" s="40" t="n">
        <x:v>-12.4</x:v>
      </x:c>
      <x:c r="S164" s="41" t="n">
        <x:v>37</x:v>
      </x:c>
      <x:c r="T164" s="36" t="str">
        <x:v>No</x:v>
      </x:c>
      <x:c r="U164" s="36" t="str">
        <x:v>Delivered</x:v>
      </x:c>
    </x:row>
    <x:row r="165">
      <x:c r="A165" s="36" t="str">
        <x:v>PO-2025-0164</x:v>
      </x:c>
      <x:c r="B165" s="37" t="n">
        <x:v>45877</x:v>
      </x:c>
      <x:c r="C165" s="36" t="str">
        <x:v>August</x:v>
      </x:c>
      <x:c r="D165" s="36" t="str">
        <x:v>Stampede Park Infrastructure Upgrade</x:v>
      </x:c>
      <x:c r="E165" s="36" t="str">
        <x:v>Rocky View County</x:v>
      </x:c>
      <x:c r="F165" s="36" t="str">
        <x:v>Aisha Nkosi</x:v>
      </x:c>
      <x:c r="G165" s="36" t="str">
        <x:v>MEP - Electrical</x:v>
      </x:c>
      <x:c r="H165" s="36" t="str">
        <x:v>Grounding System</x:v>
      </x:c>
      <x:c r="I165" s="36" t="str">
        <x:v>Stuart Olson Electrical</x:v>
      </x:c>
      <x:c r="J165" s="36" t="str">
        <x:v>LPO – Direct Award</x:v>
      </x:c>
      <x:c r="K165" s="38" t="n">
        <x:v>107</x:v>
      </x:c>
      <x:c r="L165" s="36" t="str">
        <x:v>lot</x:v>
      </x:c>
      <x:c r="M165" s="39" t="n">
        <x:v>7122.35</x:v>
      </x:c>
      <x:c r="N165" s="39" t="n">
        <x:v>7562.61</x:v>
      </x:c>
      <x:c r="O165" s="39" t="n">
        <x:v>762091.45</x:v>
      </x:c>
      <x:c r="P165" s="39" t="n">
        <x:v>809199.27</x:v>
      </x:c>
      <x:c r="Q165" s="39" t="n">
        <x:v>-47107.82</x:v>
      </x:c>
      <x:c r="R165" s="40" t="n">
        <x:v>-5.8</x:v>
      </x:c>
      <x:c r="S165" s="41" t="n">
        <x:v>24</x:v>
      </x:c>
      <x:c r="T165" s="36" t="str">
        <x:v>Yes</x:v>
      </x:c>
      <x:c r="U165" s="36" t="str">
        <x:v>Pending</x:v>
      </x:c>
    </x:row>
    <x:row r="166">
      <x:c r="A166" s="36" t="str">
        <x:v>PO-2025-0165</x:v>
      </x:c>
      <x:c r="B166" s="37" t="n">
        <x:v>45823</x:v>
      </x:c>
      <x:c r="C166" s="36" t="str">
        <x:v>June</x:v>
      </x:c>
      <x:c r="D166" s="36" t="str">
        <x:v>University District Residential Phase 3</x:v>
      </x:c>
      <x:c r="E166" s="36" t="str">
        <x:v>Calgary SW</x:v>
      </x:c>
      <x:c r="F166" s="36" t="str">
        <x:v>Liam Kowalski</x:v>
      </x:c>
      <x:c r="G166" s="36" t="str">
        <x:v>Safety &amp; Temp Works</x:v>
      </x:c>
      <x:c r="H166" s="36" t="str">
        <x:v>Site Hoarding &amp; Fencing</x:v>
      </x:c>
      <x:c r="I166" s="36" t="str">
        <x:v>Levitt-Safety Calgary</x:v>
      </x:c>
      <x:c r="J166" s="36" t="str">
        <x:v>Tender – Open</x:v>
      </x:c>
      <x:c r="K166" s="38" t="n">
        <x:v>30</x:v>
      </x:c>
      <x:c r="L166" s="36" t="str">
        <x:v>lot</x:v>
      </x:c>
      <x:c r="M166" s="39" t="n">
        <x:v>7768.35</x:v>
      </x:c>
      <x:c r="N166" s="39" t="n">
        <x:v>8215.43</x:v>
      </x:c>
      <x:c r="O166" s="39" t="n">
        <x:v>233050.5</x:v>
      </x:c>
      <x:c r="P166" s="39" t="n">
        <x:v>246462.9</x:v>
      </x:c>
      <x:c r="Q166" s="39" t="n">
        <x:v>-13412.4</x:v>
      </x:c>
      <x:c r="R166" s="40" t="n">
        <x:v>-5.4</x:v>
      </x:c>
      <x:c r="S166" s="41" t="n">
        <x:v>71</x:v>
      </x:c>
      <x:c r="T166" s="36" t="str">
        <x:v>Yes</x:v>
      </x:c>
      <x:c r="U166" s="36" t="str">
        <x:v>Delivered</x:v>
      </x:c>
    </x:row>
    <x:row r="167">
      <x:c r="A167" s="36" t="str">
        <x:v>PO-2025-0166</x:v>
      </x:c>
      <x:c r="B167" s="37" t="n">
        <x:v>45849</x:v>
      </x:c>
      <x:c r="C167" s="36" t="str">
        <x:v>July</x:v>
      </x:c>
      <x:c r="D167" s="36" t="str">
        <x:v>University District Residential Phase 3</x:v>
      </x:c>
      <x:c r="E167" s="36" t="str">
        <x:v>Calgary NE</x:v>
      </x:c>
      <x:c r="F167" s="36" t="str">
        <x:v>Sarah Bouchard</x:v>
      </x:c>
      <x:c r="G167" s="36" t="str">
        <x:v>Concrete &amp; Structural</x:v>
      </x:c>
      <x:c r="H167" s="36" t="str">
        <x:v>Post-Tension Cables</x:v>
      </x:c>
      <x:c r="I167" s="36" t="str">
        <x:v>Alberta Precast</x:v>
      </x:c>
      <x:c r="J167" s="36" t="str">
        <x:v>Tender – Open</x:v>
      </x:c>
      <x:c r="K167" s="38" t="n">
        <x:v>89</x:v>
      </x:c>
      <x:c r="L167" s="36" t="str">
        <x:v>m³</x:v>
      </x:c>
      <x:c r="M167" s="39" t="n">
        <x:v>662.77</x:v>
      </x:c>
      <x:c r="N167" s="39" t="n">
        <x:v>662.89</x:v>
      </x:c>
      <x:c r="O167" s="39" t="n">
        <x:v>58986.53</x:v>
      </x:c>
      <x:c r="P167" s="39" t="n">
        <x:v>58997.21</x:v>
      </x:c>
      <x:c r="Q167" s="39" t="n">
        <x:v>-10.68</x:v>
      </x:c>
      <x:c r="R167" s="40" t="n">
        <x:v>0</x:v>
      </x:c>
      <x:c r="S167" s="41" t="n">
        <x:v>42</x:v>
      </x:c>
      <x:c r="T167" s="36" t="str">
        <x:v>No</x:v>
      </x:c>
      <x:c r="U167" s="36" t="str">
        <x:v>Pending</x:v>
      </x:c>
    </x:row>
    <x:row r="168">
      <x:c r="A168" s="36" t="str">
        <x:v>PO-2025-0167</x:v>
      </x:c>
      <x:c r="B168" s="37" t="n">
        <x:v>45686</x:v>
      </x:c>
      <x:c r="C168" s="36" t="str">
        <x:v>January</x:v>
      </x:c>
      <x:c r="D168" s="36" t="str">
        <x:v>Rocky View Industrial Logistics Hub</x:v>
      </x:c>
      <x:c r="E168" s="36" t="str">
        <x:v>Calgary SW</x:v>
      </x:c>
      <x:c r="F168" s="36" t="str">
        <x:v>Liam Kowalski</x:v>
      </x:c>
      <x:c r="G168" s="36" t="str">
        <x:v>Civil Works</x:v>
      </x:c>
      <x:c r="H168" s="36" t="str">
        <x:v>Bulk Excavation</x:v>
      </x:c>
      <x:c r="I168" s="36" t="str">
        <x:v>Kiewit Infrastructure</x:v>
      </x:c>
      <x:c r="J168" s="36" t="str">
        <x:v>LPO – Direct Award</x:v>
      </x:c>
      <x:c r="K168" s="38" t="n">
        <x:v>76</x:v>
      </x:c>
      <x:c r="L168" s="36" t="str">
        <x:v>m³</x:v>
      </x:c>
      <x:c r="M168" s="39" t="n">
        <x:v>109.39</x:v>
      </x:c>
      <x:c r="N168" s="39" t="n">
        <x:v>105.3</x:v>
      </x:c>
      <x:c r="O168" s="39" t="n">
        <x:v>8313.64</x:v>
      </x:c>
      <x:c r="P168" s="39" t="n">
        <x:v>8002.8</x:v>
      </x:c>
      <x:c r="Q168" s="39" t="n">
        <x:v>310.84</x:v>
      </x:c>
      <x:c r="R168" s="40" t="n">
        <x:v>3.9</x:v>
      </x:c>
      <x:c r="S168" s="41" t="n">
        <x:v>58</x:v>
      </x:c>
      <x:c r="T168" s="36" t="str">
        <x:v>Yes</x:v>
      </x:c>
      <x:c r="U168" s="36" t="str">
        <x:v>Delivered</x:v>
      </x:c>
    </x:row>
    <x:row r="169">
      <x:c r="A169" s="36" t="str">
        <x:v>PO-2025-0168</x:v>
      </x:c>
      <x:c r="B169" s="37" t="n">
        <x:v>45863</x:v>
      </x:c>
      <x:c r="C169" s="36" t="str">
        <x:v>July</x:v>
      </x:c>
      <x:c r="D169" s="36" t="str">
        <x:v>Calgary SE Ring Road Extension</x:v>
      </x:c>
      <x:c r="E169" s="36" t="str">
        <x:v>Calgary SE</x:v>
      </x:c>
      <x:c r="F169" s="36" t="str">
        <x:v>Derek McLean</x:v>
      </x:c>
      <x:c r="G169" s="36" t="str">
        <x:v>Finishing</x:v>
      </x:c>
      <x:c r="H169" s="36" t="str">
        <x:v>Ceramic Floor Tile</x:v>
      </x:c>
      <x:c r="I169" s="36" t="str">
        <x:v>Centura Tile Calgary</x:v>
      </x:c>
      <x:c r="J169" s="36" t="str">
        <x:v>3-Quote Comparison</x:v>
      </x:c>
      <x:c r="K169" s="38" t="n">
        <x:v>43</x:v>
      </x:c>
      <x:c r="L169" s="36" t="str">
        <x:v>m²</x:v>
      </x:c>
      <x:c r="M169" s="39" t="n">
        <x:v>392.61</x:v>
      </x:c>
      <x:c r="N169" s="39" t="n">
        <x:v>342.5</x:v>
      </x:c>
      <x:c r="O169" s="39" t="n">
        <x:v>16882.23</x:v>
      </x:c>
      <x:c r="P169" s="39" t="n">
        <x:v>14727.5</x:v>
      </x:c>
      <x:c r="Q169" s="39" t="n">
        <x:v>2154.73</x:v>
      </x:c>
      <x:c r="R169" s="40" t="n">
        <x:v>14.6</x:v>
      </x:c>
      <x:c r="S169" s="41" t="n">
        <x:v>23</x:v>
      </x:c>
      <x:c r="T169" s="36" t="str">
        <x:v>Yes</x:v>
      </x:c>
      <x:c r="U169" s="36" t="str">
        <x:v>Delivered</x:v>
      </x:c>
    </x:row>
    <x:row r="170">
      <x:c r="A170" s="36" t="str">
        <x:v>PO-2025-0169</x:v>
      </x:c>
      <x:c r="B170" s="37" t="n">
        <x:v>45986</x:v>
      </x:c>
      <x:c r="C170" s="36" t="str">
        <x:v>November</x:v>
      </x:c>
      <x:c r="D170" s="36" t="str">
        <x:v>Quarry Park Mixed-Use Development</x:v>
      </x:c>
      <x:c r="E170" s="36" t="str">
        <x:v>Calgary NE</x:v>
      </x:c>
      <x:c r="F170" s="36" t="str">
        <x:v>Priya Sharma</x:v>
      </x:c>
      <x:c r="G170" s="36" t="str">
        <x:v>Civil Works</x:v>
      </x:c>
      <x:c r="H170" s="36" t="str">
        <x:v>Bulk Excavation</x:v>
      </x:c>
      <x:c r="I170" s="36" t="str">
        <x:v>EllisDon Civil</x:v>
      </x:c>
      <x:c r="J170" s="36" t="str">
        <x:v>Emergency Procurement</x:v>
      </x:c>
      <x:c r="K170" s="38" t="n">
        <x:v>44</x:v>
      </x:c>
      <x:c r="L170" s="36" t="str">
        <x:v>m³</x:v>
      </x:c>
      <x:c r="M170" s="39" t="n">
        <x:v>90.32</x:v>
      </x:c>
      <x:c r="N170" s="39" t="n">
        <x:v>99.6</x:v>
      </x:c>
      <x:c r="O170" s="39" t="n">
        <x:v>3974.08</x:v>
      </x:c>
      <x:c r="P170" s="39" t="n">
        <x:v>4382.4</x:v>
      </x:c>
      <x:c r="Q170" s="39" t="n">
        <x:v>-408.32</x:v>
      </x:c>
      <x:c r="R170" s="40" t="n">
        <x:v>-9.3</x:v>
      </x:c>
      <x:c r="S170" s="41" t="n">
        <x:v>6</x:v>
      </x:c>
      <x:c r="T170" s="36" t="str">
        <x:v>Yes</x:v>
      </x:c>
      <x:c r="U170" s="36" t="str">
        <x:v>Cancelled</x:v>
      </x:c>
    </x:row>
    <x:row r="171">
      <x:c r="A171" s="36" t="str">
        <x:v>PO-2025-0170</x:v>
      </x:c>
      <x:c r="B171" s="37" t="n">
        <x:v>45766</x:v>
      </x:c>
      <x:c r="C171" s="36" t="str">
        <x:v>April</x:v>
      </x:c>
      <x:c r="D171" s="36" t="str">
        <x:v>Springbank Off-Stream Reservoir</x:v>
      </x:c>
      <x:c r="E171" s="36" t="str">
        <x:v>Calgary NE</x:v>
      </x:c>
      <x:c r="F171" s="36" t="str">
        <x:v>Linda Tran</x:v>
      </x:c>
      <x:c r="G171" s="36" t="str">
        <x:v>Safety &amp; Temp Works</x:v>
      </x:c>
      <x:c r="H171" s="36" t="str">
        <x:v>PPE Bulk Supply</x:v>
      </x:c>
      <x:c r="I171" s="36" t="str">
        <x:v>Sunbelt Rentals Canada</x:v>
      </x:c>
      <x:c r="J171" s="36" t="str">
        <x:v>LPO – Direct Award</x:v>
      </x:c>
      <x:c r="K171" s="38" t="n">
        <x:v>11</x:v>
      </x:c>
      <x:c r="L171" s="36" t="str">
        <x:v>lot</x:v>
      </x:c>
      <x:c r="M171" s="39" t="n">
        <x:v>4194.39</x:v>
      </x:c>
      <x:c r="N171" s="39" t="n">
        <x:v>4309.31</x:v>
      </x:c>
      <x:c r="O171" s="39" t="n">
        <x:v>46138.29</x:v>
      </x:c>
      <x:c r="P171" s="39" t="n">
        <x:v>47402.41</x:v>
      </x:c>
      <x:c r="Q171" s="39" t="n">
        <x:v>-1264.12</x:v>
      </x:c>
      <x:c r="R171" s="40" t="n">
        <x:v>-2.7</x:v>
      </x:c>
      <x:c r="S171" s="41" t="n">
        <x:v>21</x:v>
      </x:c>
      <x:c r="T171" s="36" t="str">
        <x:v>Yes</x:v>
      </x:c>
      <x:c r="U171" s="36" t="str">
        <x:v>Partially Delivered</x:v>
      </x:c>
    </x:row>
    <x:row r="172">
      <x:c r="A172" s="36" t="str">
        <x:v>PO-2025-0171</x:v>
      </x:c>
      <x:c r="B172" s="37" t="n">
        <x:v>45881</x:v>
      </x:c>
      <x:c r="C172" s="36" t="str">
        <x:v>August</x:v>
      </x:c>
      <x:c r="D172" s="36" t="str">
        <x:v>Calgary SE Ring Road Extension</x:v>
      </x:c>
      <x:c r="E172" s="36" t="str">
        <x:v>Rocky View County</x:v>
      </x:c>
      <x:c r="F172" s="36" t="str">
        <x:v>Linda Tran</x:v>
      </x:c>
      <x:c r="G172" s="36" t="str">
        <x:v>MEP - Electrical</x:v>
      </x:c>
      <x:c r="H172" s="36" t="str">
        <x:v>MV Distribution Cable</x:v>
      </x:c>
      <x:c r="I172" s="36" t="str">
        <x:v>Schneider Electric Canada</x:v>
      </x:c>
      <x:c r="J172" s="36" t="str">
        <x:v>Emergency Procurement</x:v>
      </x:c>
      <x:c r="K172" s="38" t="n">
        <x:v>90</x:v>
      </x:c>
      <x:c r="L172" s="36" t="str">
        <x:v>lot</x:v>
      </x:c>
      <x:c r="M172" s="39" t="n">
        <x:v>64884.05</x:v>
      </x:c>
      <x:c r="N172" s="39" t="n">
        <x:v>58719.33</x:v>
      </x:c>
      <x:c r="O172" s="39" t="n">
        <x:v>5839564.5</x:v>
      </x:c>
      <x:c r="P172" s="39" t="n">
        <x:v>5284739.7</x:v>
      </x:c>
      <x:c r="Q172" s="39" t="n">
        <x:v>554824.8</x:v>
      </x:c>
      <x:c r="R172" s="40" t="n">
        <x:v>10.5</x:v>
      </x:c>
      <x:c r="S172" s="41" t="n">
        <x:v>43</x:v>
      </x:c>
      <x:c r="T172" s="36" t="str">
        <x:v>Yes</x:v>
      </x:c>
      <x:c r="U172" s="36" t="str">
        <x:v>Cancelled</x:v>
      </x:c>
    </x:row>
    <x:row r="173">
      <x:c r="A173" s="36" t="str">
        <x:v>PO-2025-0172</x:v>
      </x:c>
      <x:c r="B173" s="37" t="n">
        <x:v>45944</x:v>
      </x:c>
      <x:c r="C173" s="36" t="str">
        <x:v>October</x:v>
      </x:c>
      <x:c r="D173" s="36" t="str">
        <x:v>Calgary SE Ring Road Extension</x:v>
      </x:c>
      <x:c r="E173" s="36" t="str">
        <x:v>Calgary SW</x:v>
      </x:c>
      <x:c r="F173" s="36" t="str">
        <x:v>James Okafor</x:v>
      </x:c>
      <x:c r="G173" s="36" t="str">
        <x:v>Concrete &amp; Structural</x:v>
      </x:c>
      <x:c r="H173" s="36" t="str">
        <x:v>Structural Formwork</x:v>
      </x:c>
      <x:c r="I173" s="36" t="str">
        <x:v>Alberta Precast</x:v>
      </x:c>
      <x:c r="J173" s="36" t="str">
        <x:v>LPO – Direct Award</x:v>
      </x:c>
      <x:c r="K173" s="38" t="n">
        <x:v>36</x:v>
      </x:c>
      <x:c r="L173" s="36" t="str">
        <x:v>m³</x:v>
      </x:c>
      <x:c r="M173" s="39" t="n">
        <x:v>282.88</x:v>
      </x:c>
      <x:c r="N173" s="39" t="n">
        <x:v>294.06</x:v>
      </x:c>
      <x:c r="O173" s="39" t="n">
        <x:v>10183.68</x:v>
      </x:c>
      <x:c r="P173" s="39" t="n">
        <x:v>10586.16</x:v>
      </x:c>
      <x:c r="Q173" s="39" t="n">
        <x:v>-402.48</x:v>
      </x:c>
      <x:c r="R173" s="40" t="n">
        <x:v>-3.8</x:v>
      </x:c>
      <x:c r="S173" s="41" t="n">
        <x:v>8</x:v>
      </x:c>
      <x:c r="T173" s="36" t="str">
        <x:v>Yes</x:v>
      </x:c>
      <x:c r="U173" s="36" t="str">
        <x:v>Partially Delivered</x:v>
      </x:c>
    </x:row>
    <x:row r="174">
      <x:c r="A174" s="36" t="str">
        <x:v>PO-2025-0173</x:v>
      </x:c>
      <x:c r="B174" s="37" t="n">
        <x:v>45760</x:v>
      </x:c>
      <x:c r="C174" s="36" t="str">
        <x:v>April</x:v>
      </x:c>
      <x:c r="D174" s="36" t="str">
        <x:v>Stampede Park Infrastructure Upgrade</x:v>
      </x:c>
      <x:c r="E174" s="36" t="str">
        <x:v>Rocky View County</x:v>
      </x:c>
      <x:c r="F174" s="36" t="str">
        <x:v>Priya Sharma</x:v>
      </x:c>
      <x:c r="G174" s="36" t="str">
        <x:v>Civil Works</x:v>
      </x:c>
      <x:c r="H174" s="36" t="str">
        <x:v>Curb &amp; Gutter Concrete</x:v>
      </x:c>
      <x:c r="I174" s="36" t="str">
        <x:v>EllisDon Civil</x:v>
      </x:c>
      <x:c r="J174" s="36" t="str">
        <x:v>Emergency Procurement</x:v>
      </x:c>
      <x:c r="K174" s="38" t="n">
        <x:v>22</x:v>
      </x:c>
      <x:c r="L174" s="36" t="str">
        <x:v>m³</x:v>
      </x:c>
      <x:c r="M174" s="39" t="n">
        <x:v>244.3</x:v>
      </x:c>
      <x:c r="N174" s="39" t="n">
        <x:v>281.86</x:v>
      </x:c>
      <x:c r="O174" s="39" t="n">
        <x:v>5374.6</x:v>
      </x:c>
      <x:c r="P174" s="39" t="n">
        <x:v>6200.92</x:v>
      </x:c>
      <x:c r="Q174" s="39" t="n">
        <x:v>-826.32</x:v>
      </x:c>
      <x:c r="R174" s="40" t="n">
        <x:v>-13.3</x:v>
      </x:c>
      <x:c r="S174" s="41" t="n">
        <x:v>45</x:v>
      </x:c>
      <x:c r="T174" s="36" t="str">
        <x:v>No</x:v>
      </x:c>
      <x:c r="U174" s="36" t="str">
        <x:v>Delivered</x:v>
      </x:c>
    </x:row>
    <x:row r="175">
      <x:c r="A175" s="36" t="str">
        <x:v>PO-2025-0174</x:v>
      </x:c>
      <x:c r="B175" s="37" t="n">
        <x:v>45741</x:v>
      </x:c>
      <x:c r="C175" s="36" t="str">
        <x:v>March</x:v>
      </x:c>
      <x:c r="D175" s="36" t="str">
        <x:v>Rocky View Industrial Logistics Hub</x:v>
      </x:c>
      <x:c r="E175" s="36" t="str">
        <x:v>Rocky View County</x:v>
      </x:c>
      <x:c r="F175" s="36" t="str">
        <x:v>Aisha Nkosi</x:v>
      </x:c>
      <x:c r="G175" s="36" t="str">
        <x:v>Finishing</x:v>
      </x:c>
      <x:c r="H175" s="36" t="str">
        <x:v>Waterproofing Membrane</x:v>
      </x:c>
      <x:c r="I175" s="36" t="str">
        <x:v>Dryvit Systems Canada</x:v>
      </x:c>
      <x:c r="J175" s="36" t="str">
        <x:v>Emergency Procurement</x:v>
      </x:c>
      <x:c r="K175" s="38" t="n">
        <x:v>60</x:v>
      </x:c>
      <x:c r="L175" s="36" t="str">
        <x:v>m²</x:v>
      </x:c>
      <x:c r="M175" s="39" t="n">
        <x:v>295.52</x:v>
      </x:c>
      <x:c r="N175" s="39" t="n">
        <x:v>294.38</x:v>
      </x:c>
      <x:c r="O175" s="39" t="n">
        <x:v>17731.2</x:v>
      </x:c>
      <x:c r="P175" s="39" t="n">
        <x:v>17662.8</x:v>
      </x:c>
      <x:c r="Q175" s="39" t="n">
        <x:v>68.4</x:v>
      </x:c>
      <x:c r="R175" s="40" t="n">
        <x:v>0.4</x:v>
      </x:c>
      <x:c r="S175" s="41" t="n">
        <x:v>78</x:v>
      </x:c>
      <x:c r="T175" s="36" t="str">
        <x:v>No</x:v>
      </x:c>
      <x:c r="U175" s="36" t="str">
        <x:v>Cancelled</x:v>
      </x:c>
    </x:row>
    <x:row r="176">
      <x:c r="A176" s="36" t="str">
        <x:v>PO-2025-0175</x:v>
      </x:c>
      <x:c r="B176" s="37" t="n">
        <x:v>45860</x:v>
      </x:c>
      <x:c r="C176" s="36" t="str">
        <x:v>July</x:v>
      </x:c>
      <x:c r="D176" s="36" t="str">
        <x:v>Rocky View Industrial Logistics Hub</x:v>
      </x:c>
      <x:c r="E176" s="36" t="str">
        <x:v>Calgary NE</x:v>
      </x:c>
      <x:c r="F176" s="36" t="str">
        <x:v>Mohammed Siddiqui</x:v>
      </x:c>
      <x:c r="G176" s="36" t="str">
        <x:v>Safety &amp; Temp Works</x:v>
      </x:c>
      <x:c r="H176" s="36" t="str">
        <x:v>PPE Bulk Supply</x:v>
      </x:c>
      <x:c r="I176" s="36" t="str">
        <x:v>Safway Alberta</x:v>
      </x:c>
      <x:c r="J176" s="36" t="str">
        <x:v>Tender – Open</x:v>
      </x:c>
      <x:c r="K176" s="38" t="n">
        <x:v>74</x:v>
      </x:c>
      <x:c r="L176" s="36" t="str">
        <x:v>lot</x:v>
      </x:c>
      <x:c r="M176" s="39" t="n">
        <x:v>14850.82</x:v>
      </x:c>
      <x:c r="N176" s="39" t="n">
        <x:v>13026.34</x:v>
      </x:c>
      <x:c r="O176" s="39" t="n">
        <x:v>1098960.68</x:v>
      </x:c>
      <x:c r="P176" s="39" t="n">
        <x:v>963949.16</x:v>
      </x:c>
      <x:c r="Q176" s="39" t="n">
        <x:v>135011.52</x:v>
      </x:c>
      <x:c r="R176" s="40" t="n">
        <x:v>14</x:v>
      </x:c>
      <x:c r="S176" s="41" t="n">
        <x:v>12</x:v>
      </x:c>
      <x:c r="T176" s="36" t="str">
        <x:v>Yes</x:v>
      </x:c>
      <x:c r="U176" s="36" t="str">
        <x:v>Delivered</x:v>
      </x:c>
    </x:row>
    <x:row r="177">
      <x:c r="A177" s="36" t="str">
        <x:v>PO-2025-0176</x:v>
      </x:c>
      <x:c r="B177" s="37" t="n">
        <x:v>45851</x:v>
      </x:c>
      <x:c r="C177" s="36" t="str">
        <x:v>July</x:v>
      </x:c>
      <x:c r="D177" s="36" t="str">
        <x:v>Foothills Medical Centre Expansion</x:v>
      </x:c>
      <x:c r="E177" s="36" t="str">
        <x:v>Calgary SW</x:v>
      </x:c>
      <x:c r="F177" s="36" t="str">
        <x:v>James Okafor</x:v>
      </x:c>
      <x:c r="G177" s="36" t="str">
        <x:v>Civil Works</x:v>
      </x:c>
      <x:c r="H177" s="36" t="str">
        <x:v>Storm Drainage Pipe</x:v>
      </x:c>
      <x:c r="I177" s="36" t="str">
        <x:v>Ledcor Civil Alberta</x:v>
      </x:c>
      <x:c r="J177" s="36" t="str">
        <x:v>Standing Offer Agreement</x:v>
      </x:c>
      <x:c r="K177" s="38" t="n">
        <x:v>59</x:v>
      </x:c>
      <x:c r="L177" s="36" t="str">
        <x:v>m³</x:v>
      </x:c>
      <x:c r="M177" s="39" t="n">
        <x:v>286.96</x:v>
      </x:c>
      <x:c r="N177" s="39" t="n">
        <x:v>288.96</x:v>
      </x:c>
      <x:c r="O177" s="39" t="n">
        <x:v>16930.64</x:v>
      </x:c>
      <x:c r="P177" s="39" t="n">
        <x:v>17048.64</x:v>
      </x:c>
      <x:c r="Q177" s="39" t="n">
        <x:v>-118</x:v>
      </x:c>
      <x:c r="R177" s="40" t="n">
        <x:v>-0.7</x:v>
      </x:c>
      <x:c r="S177" s="41" t="n">
        <x:v>19</x:v>
      </x:c>
      <x:c r="T177" s="36" t="str">
        <x:v>No</x:v>
      </x:c>
      <x:c r="U177" s="36" t="str">
        <x:v>Pending</x:v>
      </x:c>
    </x:row>
    <x:row r="178">
      <x:c r="A178" s="36" t="str">
        <x:v>PO-2025-0177</x:v>
      </x:c>
      <x:c r="B178" s="37" t="n">
        <x:v>45710</x:v>
      </x:c>
      <x:c r="C178" s="36" t="str">
        <x:v>February</x:v>
      </x:c>
      <x:c r="D178" s="36" t="str">
        <x:v>Quarry Park Mixed-Use Development</x:v>
      </x:c>
      <x:c r="E178" s="36" t="str">
        <x:v>Calgary SW</x:v>
      </x:c>
      <x:c r="F178" s="36" t="str">
        <x:v>Aisha Nkosi</x:v>
      </x:c>
      <x:c r="G178" s="36" t="str">
        <x:v>Concrete &amp; Structural</x:v>
      </x:c>
      <x:c r="H178" s="36" t="str">
        <x:v>Rebar Steel</x:v>
      </x:c>
      <x:c r="I178" s="36" t="str">
        <x:v>Inland Concrete</x:v>
      </x:c>
      <x:c r="J178" s="36" t="str">
        <x:v>Tender – Open</x:v>
      </x:c>
      <x:c r="K178" s="38" t="n">
        <x:v>58</x:v>
      </x:c>
      <x:c r="L178" s="36" t="str">
        <x:v>m³</x:v>
      </x:c>
      <x:c r="M178" s="39" t="n">
        <x:v>440.1</x:v>
      </x:c>
      <x:c r="N178" s="39" t="n">
        <x:v>537.5</x:v>
      </x:c>
      <x:c r="O178" s="39" t="n">
        <x:v>25525.8</x:v>
      </x:c>
      <x:c r="P178" s="39" t="n">
        <x:v>31175</x:v>
      </x:c>
      <x:c r="Q178" s="39" t="n">
        <x:v>-5649.2</x:v>
      </x:c>
      <x:c r="R178" s="40" t="n">
        <x:v>-18.1</x:v>
      </x:c>
      <x:c r="S178" s="41" t="n">
        <x:v>49</x:v>
      </x:c>
      <x:c r="T178" s="36" t="str">
        <x:v>Yes</x:v>
      </x:c>
      <x:c r="U178" s="36" t="str">
        <x:v>Delivered</x:v>
      </x:c>
    </x:row>
    <x:row r="179">
      <x:c r="A179" s="36" t="str">
        <x:v>PO-2025-0178</x:v>
      </x:c>
      <x:c r="B179" s="37" t="n">
        <x:v>45784</x:v>
      </x:c>
      <x:c r="C179" s="36" t="str">
        <x:v>May</x:v>
      </x:c>
      <x:c r="D179" s="36" t="str">
        <x:v>Saddledome Arena Retrofit</x:v>
      </x:c>
      <x:c r="E179" s="36" t="str">
        <x:v>Calgary SW</x:v>
      </x:c>
      <x:c r="F179" s="36" t="str">
        <x:v>Priya Sharma</x:v>
      </x:c>
      <x:c r="G179" s="36" t="str">
        <x:v>MEP - Mechanical</x:v>
      </x:c>
      <x:c r="H179" s="36" t="str">
        <x:v>Insulated Pipework</x:v>
      </x:c>
      <x:c r="I179" s="36" t="str">
        <x:v>PCL Mechanical</x:v>
      </x:c>
      <x:c r="J179" s="36" t="str">
        <x:v>3-Quote Comparison</x:v>
      </x:c>
      <x:c r="K179" s="38" t="n">
        <x:v>75</x:v>
      </x:c>
      <x:c r="L179" s="36" t="str">
        <x:v>lot</x:v>
      </x:c>
      <x:c r="M179" s="39" t="n">
        <x:v>76251.99</x:v>
      </x:c>
      <x:c r="N179" s="39" t="n">
        <x:v>70456.32</x:v>
      </x:c>
      <x:c r="O179" s="39" t="n">
        <x:v>5718899.25</x:v>
      </x:c>
      <x:c r="P179" s="39" t="n">
        <x:v>5284224</x:v>
      </x:c>
      <x:c r="Q179" s="39" t="n">
        <x:v>434675.25</x:v>
      </x:c>
      <x:c r="R179" s="40" t="n">
        <x:v>8.2</x:v>
      </x:c>
      <x:c r="S179" s="41" t="n">
        <x:v>51</x:v>
      </x:c>
      <x:c r="T179" s="36" t="str">
        <x:v>Yes</x:v>
      </x:c>
      <x:c r="U179" s="36" t="str">
        <x:v>Delivered</x:v>
      </x:c>
    </x:row>
    <x:row r="180">
      <x:c r="A180" s="36" t="str">
        <x:v>PO-2025-0179</x:v>
      </x:c>
      <x:c r="B180" s="37" t="n">
        <x:v>45713</x:v>
      </x:c>
      <x:c r="C180" s="36" t="str">
        <x:v>February</x:v>
      </x:c>
      <x:c r="D180" s="36" t="str">
        <x:v>Quarry Park Mixed-Use Development</x:v>
      </x:c>
      <x:c r="E180" s="36" t="str">
        <x:v>Calgary SE</x:v>
      </x:c>
      <x:c r="F180" s="36" t="str">
        <x:v>Liam Kowalski</x:v>
      </x:c>
      <x:c r="G180" s="36" t="str">
        <x:v>Concrete &amp; Structural</x:v>
      </x:c>
      <x:c r="H180" s="36" t="str">
        <x:v>Precast Deck Panels</x:v>
      </x:c>
      <x:c r="I180" s="36" t="str">
        <x:v>Alberta Precast</x:v>
      </x:c>
      <x:c r="J180" s="36" t="str">
        <x:v>3-Quote Comparison</x:v>
      </x:c>
      <x:c r="K180" s="38" t="n">
        <x:v>33</x:v>
      </x:c>
      <x:c r="L180" s="36" t="str">
        <x:v>m³</x:v>
      </x:c>
      <x:c r="M180" s="39" t="n">
        <x:v>462.49</x:v>
      </x:c>
      <x:c r="N180" s="39" t="n">
        <x:v>515.1</x:v>
      </x:c>
      <x:c r="O180" s="39" t="n">
        <x:v>15262.17</x:v>
      </x:c>
      <x:c r="P180" s="39" t="n">
        <x:v>16998.3</x:v>
      </x:c>
      <x:c r="Q180" s="39" t="n">
        <x:v>-1736.13</x:v>
      </x:c>
      <x:c r="R180" s="40" t="n">
        <x:v>-10.2</x:v>
      </x:c>
      <x:c r="S180" s="41" t="n">
        <x:v>40</x:v>
      </x:c>
      <x:c r="T180" s="36" t="str">
        <x:v>No</x:v>
      </x:c>
      <x:c r="U180" s="36" t="str">
        <x:v>Delivered</x:v>
      </x:c>
    </x:row>
    <x:row r="181">
      <x:c r="A181" s="36" t="str">
        <x:v>PO-2025-0180</x:v>
      </x:c>
      <x:c r="B181" s="37" t="n">
        <x:v>45792</x:v>
      </x:c>
      <x:c r="C181" s="36" t="str">
        <x:v>May</x:v>
      </x:c>
      <x:c r="D181" s="36" t="str">
        <x:v>Stampede Park Infrastructure Upgrade</x:v>
      </x:c>
      <x:c r="E181" s="36" t="str">
        <x:v>Calgary NE</x:v>
      </x:c>
      <x:c r="F181" s="36" t="str">
        <x:v>Mohammed Siddiqui</x:v>
      </x:c>
      <x:c r="G181" s="36" t="str">
        <x:v>MEP - Electrical</x:v>
      </x:c>
      <x:c r="H181" s="36" t="str">
        <x:v>MV Distribution Cable</x:v>
      </x:c>
      <x:c r="I181" s="36" t="str">
        <x:v>Stuart Olson Electrical</x:v>
      </x:c>
      <x:c r="J181" s="36" t="str">
        <x:v>Emergency Procurement</x:v>
      </x:c>
      <x:c r="K181" s="38" t="n">
        <x:v>50</x:v>
      </x:c>
      <x:c r="L181" s="36" t="str">
        <x:v>lot</x:v>
      </x:c>
      <x:c r="M181" s="39" t="n">
        <x:v>16069.61</x:v>
      </x:c>
      <x:c r="N181" s="39" t="n">
        <x:v>14797.54</x:v>
      </x:c>
      <x:c r="O181" s="39" t="n">
        <x:v>803480.5</x:v>
      </x:c>
      <x:c r="P181" s="39" t="n">
        <x:v>739877</x:v>
      </x:c>
      <x:c r="Q181" s="39" t="n">
        <x:v>63603.5</x:v>
      </x:c>
      <x:c r="R181" s="40" t="n">
        <x:v>8.6</x:v>
      </x:c>
      <x:c r="S181" s="41" t="n">
        <x:v>73</x:v>
      </x:c>
      <x:c r="T181" s="36" t="str">
        <x:v>Yes</x:v>
      </x:c>
      <x:c r="U181" s="36" t="str">
        <x:v>Pending</x:v>
      </x:c>
    </x:row>
    <x:row r="182">
      <x:c r="A182" s="36" t="str">
        <x:v>PO-2025-0181</x:v>
      </x:c>
      <x:c r="B182" s="37" t="n">
        <x:v>45703</x:v>
      </x:c>
      <x:c r="C182" s="36" t="str">
        <x:v>February</x:v>
      </x:c>
      <x:c r="D182" s="36" t="str">
        <x:v>Deerfoot Trail Widening - North</x:v>
      </x:c>
      <x:c r="E182" s="36" t="str">
        <x:v>Calgary SW</x:v>
      </x:c>
      <x:c r="F182" s="36" t="str">
        <x:v>Mohammed Siddiqui</x:v>
      </x:c>
      <x:c r="G182" s="36" t="str">
        <x:v>Finishing</x:v>
      </x:c>
      <x:c r="H182" s="36" t="str">
        <x:v>Waterproofing Membrane</x:v>
      </x:c>
      <x:c r="I182" s="36" t="str">
        <x:v>Tremco Roofing</x:v>
      </x:c>
      <x:c r="J182" s="36" t="str">
        <x:v>LPO – Direct Award</x:v>
      </x:c>
      <x:c r="K182" s="38" t="n">
        <x:v>100</x:v>
      </x:c>
      <x:c r="L182" s="36" t="str">
        <x:v>m²</x:v>
      </x:c>
      <x:c r="M182" s="39" t="n">
        <x:v>230.85</x:v>
      </x:c>
      <x:c r="N182" s="39" t="n">
        <x:v>230.35</x:v>
      </x:c>
      <x:c r="O182" s="39" t="n">
        <x:v>23085</x:v>
      </x:c>
      <x:c r="P182" s="39" t="n">
        <x:v>23035</x:v>
      </x:c>
      <x:c r="Q182" s="39" t="n">
        <x:v>50</x:v>
      </x:c>
      <x:c r="R182" s="40" t="n">
        <x:v>0.2</x:v>
      </x:c>
      <x:c r="S182" s="41" t="n">
        <x:v>73</x:v>
      </x:c>
      <x:c r="T182" s="36" t="str">
        <x:v>No</x:v>
      </x:c>
      <x:c r="U182" s="36" t="str">
        <x:v>Partially Delivered</x:v>
      </x:c>
    </x:row>
    <x:row r="183">
      <x:c r="A183" s="36" t="str">
        <x:v>PO-2025-0182</x:v>
      </x:c>
      <x:c r="B183" s="37" t="n">
        <x:v>45847</x:v>
      </x:c>
      <x:c r="C183" s="36" t="str">
        <x:v>July</x:v>
      </x:c>
      <x:c r="D183" s="36" t="str">
        <x:v>Rocky View Industrial Logistics Hub</x:v>
      </x:c>
      <x:c r="E183" s="36" t="str">
        <x:v>Calgary SW</x:v>
      </x:c>
      <x:c r="F183" s="36" t="str">
        <x:v>Linda Tran</x:v>
      </x:c>
      <x:c r="G183" s="36" t="str">
        <x:v>Safety &amp; Temp Works</x:v>
      </x:c>
      <x:c r="H183" s="36" t="str">
        <x:v>Site Office Trailer</x:v>
      </x:c>
      <x:c r="I183" s="36" t="str">
        <x:v>Levitt-Safety Calgary</x:v>
      </x:c>
      <x:c r="J183" s="36" t="str">
        <x:v>3-Quote Comparison</x:v>
      </x:c>
      <x:c r="K183" s="38" t="n">
        <x:v>71</x:v>
      </x:c>
      <x:c r="L183" s="36" t="str">
        <x:v>lot</x:v>
      </x:c>
      <x:c r="M183" s="39" t="n">
        <x:v>2339.36</x:v>
      </x:c>
      <x:c r="N183" s="39" t="n">
        <x:v>2109.86</x:v>
      </x:c>
      <x:c r="O183" s="39" t="n">
        <x:v>166094.56</x:v>
      </x:c>
      <x:c r="P183" s="39" t="n">
        <x:v>149800.06</x:v>
      </x:c>
      <x:c r="Q183" s="39" t="n">
        <x:v>16294.5</x:v>
      </x:c>
      <x:c r="R183" s="40" t="n">
        <x:v>10.9</x:v>
      </x:c>
      <x:c r="S183" s="41" t="n">
        <x:v>13</x:v>
      </x:c>
      <x:c r="T183" s="36" t="str">
        <x:v>Yes</x:v>
      </x:c>
      <x:c r="U183" s="36" t="str">
        <x:v>Delivered</x:v>
      </x:c>
    </x:row>
    <x:row r="184">
      <x:c r="A184" s="36" t="str">
        <x:v>PO-2025-0183</x:v>
      </x:c>
      <x:c r="B184" s="37" t="n">
        <x:v>45710</x:v>
      </x:c>
      <x:c r="C184" s="36" t="str">
        <x:v>February</x:v>
      </x:c>
      <x:c r="D184" s="36" t="str">
        <x:v>Springbank Off-Stream Reservoir</x:v>
      </x:c>
      <x:c r="E184" s="36" t="str">
        <x:v>Calgary NE</x:v>
      </x:c>
      <x:c r="F184" s="36" t="str">
        <x:v>Linda Tran</x:v>
      </x:c>
      <x:c r="G184" s="36" t="str">
        <x:v>MEP - Mechanical</x:v>
      </x:c>
      <x:c r="H184" s="36" t="str">
        <x:v>Air Handling Unit</x:v>
      </x:c>
      <x:c r="I184" s="36" t="str">
        <x:v>PCL Mechanical</x:v>
      </x:c>
      <x:c r="J184" s="36" t="str">
        <x:v>3-Quote Comparison</x:v>
      </x:c>
      <x:c r="K184" s="38" t="n">
        <x:v>86</x:v>
      </x:c>
      <x:c r="L184" s="36" t="str">
        <x:v>lot</x:v>
      </x:c>
      <x:c r="M184" s="39" t="n">
        <x:v>11182.55</x:v>
      </x:c>
      <x:c r="N184" s="39" t="n">
        <x:v>12441.87</x:v>
      </x:c>
      <x:c r="O184" s="39" t="n">
        <x:v>961699.3</x:v>
      </x:c>
      <x:c r="P184" s="39" t="n">
        <x:v>1070000.82</x:v>
      </x:c>
      <x:c r="Q184" s="39" t="n">
        <x:v>-108301.52</x:v>
      </x:c>
      <x:c r="R184" s="40" t="n">
        <x:v>-10.1</x:v>
      </x:c>
      <x:c r="S184" s="41" t="n">
        <x:v>22</x:v>
      </x:c>
      <x:c r="T184" s="36" t="str">
        <x:v>No</x:v>
      </x:c>
      <x:c r="U184" s="36" t="str">
        <x:v>Pending</x:v>
      </x:c>
    </x:row>
    <x:row r="185">
      <x:c r="A185" s="36" t="str">
        <x:v>PO-2025-0184</x:v>
      </x:c>
      <x:c r="B185" s="37" t="n">
        <x:v>45731</x:v>
      </x:c>
      <x:c r="C185" s="36" t="str">
        <x:v>March</x:v>
      </x:c>
      <x:c r="D185" s="36" t="str">
        <x:v>Deerfoot Trail Widening - North</x:v>
      </x:c>
      <x:c r="E185" s="36" t="str">
        <x:v>Calgary NE</x:v>
      </x:c>
      <x:c r="F185" s="36" t="str">
        <x:v>Priya Sharma</x:v>
      </x:c>
      <x:c r="G185" s="36" t="str">
        <x:v>Civil Works</x:v>
      </x:c>
      <x:c r="H185" s="36" t="str">
        <x:v>Storm Drainage Pipe</x:v>
      </x:c>
      <x:c r="I185" s="36" t="str">
        <x:v>Graham Construction</x:v>
      </x:c>
      <x:c r="J185" s="36" t="str">
        <x:v>Emergency Procurement</x:v>
      </x:c>
      <x:c r="K185" s="38" t="n">
        <x:v>79</x:v>
      </x:c>
      <x:c r="L185" s="36" t="str">
        <x:v>m³</x:v>
      </x:c>
      <x:c r="M185" s="39" t="n">
        <x:v>232.13</x:v>
      </x:c>
      <x:c r="N185" s="39" t="n">
        <x:v>243.65</x:v>
      </x:c>
      <x:c r="O185" s="39" t="n">
        <x:v>18338.27</x:v>
      </x:c>
      <x:c r="P185" s="39" t="n">
        <x:v>19248.35</x:v>
      </x:c>
      <x:c r="Q185" s="39" t="n">
        <x:v>-910.08</x:v>
      </x:c>
      <x:c r="R185" s="40" t="n">
        <x:v>-4.7</x:v>
      </x:c>
      <x:c r="S185" s="41" t="n">
        <x:v>29</x:v>
      </x:c>
      <x:c r="T185" s="36" t="str">
        <x:v>Yes</x:v>
      </x:c>
      <x:c r="U185" s="36" t="str">
        <x:v>Delivered</x:v>
      </x:c>
    </x:row>
    <x:row r="186">
      <x:c r="A186" s="36" t="str">
        <x:v>PO-2025-0185</x:v>
      </x:c>
      <x:c r="B186" s="37" t="n">
        <x:v>45871</x:v>
      </x:c>
      <x:c r="C186" s="36" t="str">
        <x:v>August</x:v>
      </x:c>
      <x:c r="D186" s="36" t="str">
        <x:v>Saddledome Arena Retrofit</x:v>
      </x:c>
      <x:c r="E186" s="36" t="str">
        <x:v>Rocky View County</x:v>
      </x:c>
      <x:c r="F186" s="36" t="str">
        <x:v>Liam Kowalski</x:v>
      </x:c>
      <x:c r="G186" s="36" t="str">
        <x:v>MEP - Mechanical</x:v>
      </x:c>
      <x:c r="H186" s="36" t="str">
        <x:v>HVAC Rooftop Unit</x:v>
      </x:c>
      <x:c r="I186" s="36" t="str">
        <x:v>Stantec MEP</x:v>
      </x:c>
      <x:c r="J186" s="36" t="str">
        <x:v>Emergency Procurement</x:v>
      </x:c>
      <x:c r="K186" s="38" t="n">
        <x:v>116</x:v>
      </x:c>
      <x:c r="L186" s="36" t="str">
        <x:v>lot</x:v>
      </x:c>
      <x:c r="M186" s="39" t="n">
        <x:v>92444.49</x:v>
      </x:c>
      <x:c r="N186" s="39" t="n">
        <x:v>99225.47</x:v>
      </x:c>
      <x:c r="O186" s="39" t="n">
        <x:v>10723560.84</x:v>
      </x:c>
      <x:c r="P186" s="39" t="n">
        <x:v>11510154.52</x:v>
      </x:c>
      <x:c r="Q186" s="39" t="n">
        <x:v>-786593.68</x:v>
      </x:c>
      <x:c r="R186" s="40" t="n">
        <x:v>-6.8</x:v>
      </x:c>
      <x:c r="S186" s="41" t="n">
        <x:v>21</x:v>
      </x:c>
      <x:c r="T186" s="36" t="str">
        <x:v>Yes</x:v>
      </x:c>
      <x:c r="U186" s="36" t="str">
        <x:v>Delivered</x:v>
      </x:c>
    </x:row>
    <x:row r="187">
      <x:c r="A187" s="36" t="str">
        <x:v>PO-2025-0186</x:v>
      </x:c>
      <x:c r="B187" s="37" t="n">
        <x:v>45829</x:v>
      </x:c>
      <x:c r="C187" s="36" t="str">
        <x:v>June</x:v>
      </x:c>
      <x:c r="D187" s="36" t="str">
        <x:v>Foothills Medical Centre Expansion</x:v>
      </x:c>
      <x:c r="E187" s="36" t="str">
        <x:v>Calgary SE</x:v>
      </x:c>
      <x:c r="F187" s="36" t="str">
        <x:v>Derek McLean</x:v>
      </x:c>
      <x:c r="G187" s="36" t="str">
        <x:v>MEP - Mechanical</x:v>
      </x:c>
      <x:c r="H187" s="36" t="str">
        <x:v>Insulated Pipework</x:v>
      </x:c>
      <x:c r="I187" s="36" t="str">
        <x:v>Ainsworth Inc.</x:v>
      </x:c>
      <x:c r="J187" s="36" t="str">
        <x:v>LPO – Direct Award</x:v>
      </x:c>
      <x:c r="K187" s="38" t="n">
        <x:v>102</x:v>
      </x:c>
      <x:c r="L187" s="36" t="str">
        <x:v>lot</x:v>
      </x:c>
      <x:c r="M187" s="39" t="n">
        <x:v>61826.62</x:v>
      </x:c>
      <x:c r="N187" s="39" t="n">
        <x:v>67047.67</x:v>
      </x:c>
      <x:c r="O187" s="39" t="n">
        <x:v>6306315.24</x:v>
      </x:c>
      <x:c r="P187" s="39" t="n">
        <x:v>6838862.34</x:v>
      </x:c>
      <x:c r="Q187" s="39" t="n">
        <x:v>-532547.1</x:v>
      </x:c>
      <x:c r="R187" s="40" t="n">
        <x:v>-7.8</x:v>
      </x:c>
      <x:c r="S187" s="41" t="n">
        <x:v>77</x:v>
      </x:c>
      <x:c r="T187" s="36" t="str">
        <x:v>Yes</x:v>
      </x:c>
      <x:c r="U187" s="36" t="str">
        <x:v>Pending</x:v>
      </x:c>
    </x:row>
    <x:row r="188">
      <x:c r="A188" s="36" t="str">
        <x:v>PO-2025-0187</x:v>
      </x:c>
      <x:c r="B188" s="37" t="n">
        <x:v>45819</x:v>
      </x:c>
      <x:c r="C188" s="36" t="str">
        <x:v>June</x:v>
      </x:c>
      <x:c r="D188" s="36" t="str">
        <x:v>Saddledome Arena Retrofit</x:v>
      </x:c>
      <x:c r="E188" s="36" t="str">
        <x:v>Calgary NE</x:v>
      </x:c>
      <x:c r="F188" s="36" t="str">
        <x:v>Priya Sharma</x:v>
      </x:c>
      <x:c r="G188" s="36" t="str">
        <x:v>Finishing</x:v>
      </x:c>
      <x:c r="H188" s="36" t="str">
        <x:v>Drywall &amp; Framing</x:v>
      </x:c>
      <x:c r="I188" s="36" t="str">
        <x:v>Centura Tile Calgary</x:v>
      </x:c>
      <x:c r="J188" s="36" t="str">
        <x:v>LPO – Direct Award</x:v>
      </x:c>
      <x:c r="K188" s="38" t="n">
        <x:v>39</x:v>
      </x:c>
      <x:c r="L188" s="36" t="str">
        <x:v>m²</x:v>
      </x:c>
      <x:c r="M188" s="39" t="n">
        <x:v>179.17</x:v>
      </x:c>
      <x:c r="N188" s="39" t="n">
        <x:v>219.25</x:v>
      </x:c>
      <x:c r="O188" s="39" t="n">
        <x:v>6987.63</x:v>
      </x:c>
      <x:c r="P188" s="39" t="n">
        <x:v>8550.75</x:v>
      </x:c>
      <x:c r="Q188" s="39" t="n">
        <x:v>-1563.12</x:v>
      </x:c>
      <x:c r="R188" s="40" t="n">
        <x:v>-18.3</x:v>
      </x:c>
      <x:c r="S188" s="41" t="n">
        <x:v>7</x:v>
      </x:c>
      <x:c r="T188" s="36" t="str">
        <x:v>Yes</x:v>
      </x:c>
      <x:c r="U188" s="36" t="str">
        <x:v>Delivered</x:v>
      </x:c>
    </x:row>
    <x:row r="189">
      <x:c r="A189" s="36" t="str">
        <x:v>PO-2025-0188</x:v>
      </x:c>
      <x:c r="B189" s="37" t="n">
        <x:v>45753</x:v>
      </x:c>
      <x:c r="C189" s="36" t="str">
        <x:v>April</x:v>
      </x:c>
      <x:c r="D189" s="36" t="str">
        <x:v>Springbank Off-Stream Reservoir</x:v>
      </x:c>
      <x:c r="E189" s="36" t="str">
        <x:v>Calgary NE</x:v>
      </x:c>
      <x:c r="F189" s="36" t="str">
        <x:v>Sarah Bouchard</x:v>
      </x:c>
      <x:c r="G189" s="36" t="str">
        <x:v>Concrete &amp; Structural</x:v>
      </x:c>
      <x:c r="H189" s="36" t="str">
        <x:v>Rebar Steel</x:v>
      </x:c>
      <x:c r="I189" s="36" t="str">
        <x:v>Lafarge Canada - Calgary</x:v>
      </x:c>
      <x:c r="J189" s="36" t="str">
        <x:v>Standing Offer Agreement</x:v>
      </x:c>
      <x:c r="K189" s="38" t="n">
        <x:v>53</x:v>
      </x:c>
      <x:c r="L189" s="36" t="str">
        <x:v>m³</x:v>
      </x:c>
      <x:c r="M189" s="39" t="n">
        <x:v>601.69</x:v>
      </x:c>
      <x:c r="N189" s="39" t="n">
        <x:v>597.61</x:v>
      </x:c>
      <x:c r="O189" s="39" t="n">
        <x:v>31889.57</x:v>
      </x:c>
      <x:c r="P189" s="39" t="n">
        <x:v>31673.33</x:v>
      </x:c>
      <x:c r="Q189" s="39" t="n">
        <x:v>216.24</x:v>
      </x:c>
      <x:c r="R189" s="40" t="n">
        <x:v>0.7</x:v>
      </x:c>
      <x:c r="S189" s="41" t="n">
        <x:v>32</x:v>
      </x:c>
      <x:c r="T189" s="36" t="str">
        <x:v>Yes</x:v>
      </x:c>
      <x:c r="U189" s="36" t="str">
        <x:v>Delivered</x:v>
      </x:c>
    </x:row>
    <x:row r="190">
      <x:c r="A190" s="36" t="str">
        <x:v>PO-2025-0189</x:v>
      </x:c>
      <x:c r="B190" s="37" t="n">
        <x:v>45781</x:v>
      </x:c>
      <x:c r="C190" s="36" t="str">
        <x:v>May</x:v>
      </x:c>
      <x:c r="D190" s="36" t="str">
        <x:v>Quarry Park Mixed-Use Development</x:v>
      </x:c>
      <x:c r="E190" s="36" t="str">
        <x:v>Calgary NE</x:v>
      </x:c>
      <x:c r="F190" s="36" t="str">
        <x:v>Linda Tran</x:v>
      </x:c>
      <x:c r="G190" s="36" t="str">
        <x:v>Finishing</x:v>
      </x:c>
      <x:c r="H190" s="36" t="str">
        <x:v>Acoustic Ceiling Grid</x:v>
      </x:c>
      <x:c r="I190" s="36" t="str">
        <x:v>Tremco Roofing</x:v>
      </x:c>
      <x:c r="J190" s="36" t="str">
        <x:v>Standing Offer Agreement</x:v>
      </x:c>
      <x:c r="K190" s="38" t="n">
        <x:v>120</x:v>
      </x:c>
      <x:c r="L190" s="36" t="str">
        <x:v>m²</x:v>
      </x:c>
      <x:c r="M190" s="39" t="n">
        <x:v>320.63</x:v>
      </x:c>
      <x:c r="N190" s="39" t="n">
        <x:v>383.19</x:v>
      </x:c>
      <x:c r="O190" s="39" t="n">
        <x:v>38475.6</x:v>
      </x:c>
      <x:c r="P190" s="39" t="n">
        <x:v>45982.8</x:v>
      </x:c>
      <x:c r="Q190" s="39" t="n">
        <x:v>-7507.2</x:v>
      </x:c>
      <x:c r="R190" s="40" t="n">
        <x:v>-16.3</x:v>
      </x:c>
      <x:c r="S190" s="41" t="n">
        <x:v>26</x:v>
      </x:c>
      <x:c r="T190" s="36" t="str">
        <x:v>No</x:v>
      </x:c>
      <x:c r="U190" s="36" t="str">
        <x:v>Delivered</x:v>
      </x:c>
    </x:row>
    <x:row r="191">
      <x:c r="A191" s="36" t="str">
        <x:v>PO-2025-0190</x:v>
      </x:c>
      <x:c r="B191" s="37" t="n">
        <x:v>45787</x:v>
      </x:c>
      <x:c r="C191" s="36" t="str">
        <x:v>May</x:v>
      </x:c>
      <x:c r="D191" s="36" t="str">
        <x:v>Stampede Park Infrastructure Upgrade</x:v>
      </x:c>
      <x:c r="E191" s="36" t="str">
        <x:v>Rocky View County</x:v>
      </x:c>
      <x:c r="F191" s="36" t="str">
        <x:v>Sarah Bouchard</x:v>
      </x:c>
      <x:c r="G191" s="36" t="str">
        <x:v>MEP - Mechanical</x:v>
      </x:c>
      <x:c r="H191" s="36" t="str">
        <x:v>Air Handling Unit</x:v>
      </x:c>
      <x:c r="I191" s="36" t="str">
        <x:v>Ainsworth Inc.</x:v>
      </x:c>
      <x:c r="J191" s="36" t="str">
        <x:v>Emergency Procurement</x:v>
      </x:c>
      <x:c r="K191" s="38" t="n">
        <x:v>67</x:v>
      </x:c>
      <x:c r="L191" s="36" t="str">
        <x:v>lot</x:v>
      </x:c>
      <x:c r="M191" s="39" t="n">
        <x:v>29572.58</x:v>
      </x:c>
      <x:c r="N191" s="39" t="n">
        <x:v>31885.72</x:v>
      </x:c>
      <x:c r="O191" s="39" t="n">
        <x:v>1981362.86</x:v>
      </x:c>
      <x:c r="P191" s="39" t="n">
        <x:v>2136343.24</x:v>
      </x:c>
      <x:c r="Q191" s="39" t="n">
        <x:v>-154980.38</x:v>
      </x:c>
      <x:c r="R191" s="40" t="n">
        <x:v>-7.3</x:v>
      </x:c>
      <x:c r="S191" s="41" t="n">
        <x:v>77</x:v>
      </x:c>
      <x:c r="T191" s="36" t="str">
        <x:v>Yes</x:v>
      </x:c>
      <x:c r="U191" s="36" t="str">
        <x:v>Delivered</x:v>
      </x:c>
    </x:row>
    <x:row r="192">
      <x:c r="A192" s="36" t="str">
        <x:v>PO-2025-0191</x:v>
      </x:c>
      <x:c r="B192" s="37" t="n">
        <x:v>45817</x:v>
      </x:c>
      <x:c r="C192" s="36" t="str">
        <x:v>June</x:v>
      </x:c>
      <x:c r="D192" s="36" t="str">
        <x:v>Foothills Medical Centre Expansion</x:v>
      </x:c>
      <x:c r="E192" s="36" t="str">
        <x:v>Calgary NE</x:v>
      </x:c>
      <x:c r="F192" s="36" t="str">
        <x:v>Sarah Bouchard</x:v>
      </x:c>
      <x:c r="G192" s="36" t="str">
        <x:v>MEP - Electrical</x:v>
      </x:c>
      <x:c r="H192" s="36" t="str">
        <x:v>Standby Generator</x:v>
      </x:c>
      <x:c r="I192" s="36" t="str">
        <x:v>Stuart Olson Electrical</x:v>
      </x:c>
      <x:c r="J192" s="36" t="str">
        <x:v>LPO – Direct Award</x:v>
      </x:c>
      <x:c r="K192" s="38" t="n">
        <x:v>70</x:v>
      </x:c>
      <x:c r="L192" s="36" t="str">
        <x:v>lot</x:v>
      </x:c>
      <x:c r="M192" s="39" t="n">
        <x:v>71715.6</x:v>
      </x:c>
      <x:c r="N192" s="39" t="n">
        <x:v>64198.67</x:v>
      </x:c>
      <x:c r="O192" s="39" t="n">
        <x:v>5020092</x:v>
      </x:c>
      <x:c r="P192" s="39" t="n">
        <x:v>4493906.9</x:v>
      </x:c>
      <x:c r="Q192" s="39" t="n">
        <x:v>526185.1</x:v>
      </x:c>
      <x:c r="R192" s="40" t="n">
        <x:v>11.7</x:v>
      </x:c>
      <x:c r="S192" s="41" t="n">
        <x:v>68</x:v>
      </x:c>
      <x:c r="T192" s="36" t="str">
        <x:v>No</x:v>
      </x:c>
      <x:c r="U192" s="36" t="str">
        <x:v>Delivered</x:v>
      </x:c>
    </x:row>
    <x:row r="193">
      <x:c r="A193" s="36" t="str">
        <x:v>PO-2025-0192</x:v>
      </x:c>
      <x:c r="B193" s="37" t="n">
        <x:v>45680</x:v>
      </x:c>
      <x:c r="C193" s="36" t="str">
        <x:v>January</x:v>
      </x:c>
      <x:c r="D193" s="36" t="str">
        <x:v>University District Residential Phase 3</x:v>
      </x:c>
      <x:c r="E193" s="36" t="str">
        <x:v>Calgary SW</x:v>
      </x:c>
      <x:c r="F193" s="36" t="str">
        <x:v>Priya Sharma</x:v>
      </x:c>
      <x:c r="G193" s="36" t="str">
        <x:v>MEP - Electrical</x:v>
      </x:c>
      <x:c r="H193" s="36" t="str">
        <x:v>LED Site Lighting</x:v>
      </x:c>
      <x:c r="I193" s="36" t="str">
        <x:v>Schneider Electric Canada</x:v>
      </x:c>
      <x:c r="J193" s="36" t="str">
        <x:v>Standing Offer Agreement</x:v>
      </x:c>
      <x:c r="K193" s="38" t="n">
        <x:v>54</x:v>
      </x:c>
      <x:c r="L193" s="36" t="str">
        <x:v>lot</x:v>
      </x:c>
      <x:c r="M193" s="39" t="n">
        <x:v>89998.03</x:v>
      </x:c>
      <x:c r="N193" s="39" t="n">
        <x:v>104402.67</x:v>
      </x:c>
      <x:c r="O193" s="39" t="n">
        <x:v>4859893.62</x:v>
      </x:c>
      <x:c r="P193" s="39" t="n">
        <x:v>5637744.18</x:v>
      </x:c>
      <x:c r="Q193" s="39" t="n">
        <x:v>-777850.56</x:v>
      </x:c>
      <x:c r="R193" s="40" t="n">
        <x:v>-13.8</x:v>
      </x:c>
      <x:c r="S193" s="41" t="n">
        <x:v>33</x:v>
      </x:c>
      <x:c r="T193" s="36" t="str">
        <x:v>Yes</x:v>
      </x:c>
      <x:c r="U193" s="36" t="str">
        <x:v>Delivered</x:v>
      </x:c>
    </x:row>
    <x:row r="194">
      <x:c r="A194" s="36" t="str">
        <x:v>PO-2025-0193</x:v>
      </x:c>
      <x:c r="B194" s="37" t="n">
        <x:v>45852</x:v>
      </x:c>
      <x:c r="C194" s="36" t="str">
        <x:v>July</x:v>
      </x:c>
      <x:c r="D194" s="36" t="str">
        <x:v>Quarry Park Mixed-Use Development</x:v>
      </x:c>
      <x:c r="E194" s="36" t="str">
        <x:v>Calgary NE</x:v>
      </x:c>
      <x:c r="F194" s="36" t="str">
        <x:v>Aisha Nkosi</x:v>
      </x:c>
      <x:c r="G194" s="36" t="str">
        <x:v>Civil Works</x:v>
      </x:c>
      <x:c r="H194" s="36" t="str">
        <x:v>Bulk Excavation</x:v>
      </x:c>
      <x:c r="I194" s="36" t="str">
        <x:v>Ledcor Civil Alberta</x:v>
      </x:c>
      <x:c r="J194" s="36" t="str">
        <x:v>LPO – Direct Award</x:v>
      </x:c>
      <x:c r="K194" s="38" t="n">
        <x:v>9</x:v>
      </x:c>
      <x:c r="L194" s="36" t="str">
        <x:v>m³</x:v>
      </x:c>
      <x:c r="M194" s="39" t="n">
        <x:v>152</x:v>
      </x:c>
      <x:c r="N194" s="39" t="n">
        <x:v>155.26</x:v>
      </x:c>
      <x:c r="O194" s="39" t="n">
        <x:v>1368</x:v>
      </x:c>
      <x:c r="P194" s="39" t="n">
        <x:v>1397.34</x:v>
      </x:c>
      <x:c r="Q194" s="39" t="n">
        <x:v>-29.34</x:v>
      </x:c>
      <x:c r="R194" s="40" t="n">
        <x:v>-2.1</x:v>
      </x:c>
      <x:c r="S194" s="41" t="n">
        <x:v>24</x:v>
      </x:c>
      <x:c r="T194" s="36" t="str">
        <x:v>No</x:v>
      </x:c>
      <x:c r="U194" s="36" t="str">
        <x:v>Delivered</x:v>
      </x:c>
    </x:row>
    <x:row r="195">
      <x:c r="A195" s="36" t="str">
        <x:v>PO-2025-0194</x:v>
      </x:c>
      <x:c r="B195" s="37" t="n">
        <x:v>45739</x:v>
      </x:c>
      <x:c r="C195" s="36" t="str">
        <x:v>March</x:v>
      </x:c>
      <x:c r="D195" s="36" t="str">
        <x:v>Stampede Park Infrastructure Upgrade</x:v>
      </x:c>
      <x:c r="E195" s="36" t="str">
        <x:v>Calgary SW</x:v>
      </x:c>
      <x:c r="F195" s="36" t="str">
        <x:v>James Okafor</x:v>
      </x:c>
      <x:c r="G195" s="36" t="str">
        <x:v>MEP - Electrical</x:v>
      </x:c>
      <x:c r="H195" s="36" t="str">
        <x:v>LED Site Lighting</x:v>
      </x:c>
      <x:c r="I195" s="36" t="str">
        <x:v>Houle Electric</x:v>
      </x:c>
      <x:c r="J195" s="36" t="str">
        <x:v>3-Quote Comparison</x:v>
      </x:c>
      <x:c r="K195" s="38" t="n">
        <x:v>41</x:v>
      </x:c>
      <x:c r="L195" s="36" t="str">
        <x:v>lot</x:v>
      </x:c>
      <x:c r="M195" s="39" t="n">
        <x:v>72871.89</x:v>
      </x:c>
      <x:c r="N195" s="39" t="n">
        <x:v>88854.79</x:v>
      </x:c>
      <x:c r="O195" s="39" t="n">
        <x:v>2987747.49</x:v>
      </x:c>
      <x:c r="P195" s="39" t="n">
        <x:v>3643046.39</x:v>
      </x:c>
      <x:c r="Q195" s="39" t="n">
        <x:v>-655298.9</x:v>
      </x:c>
      <x:c r="R195" s="40" t="n">
        <x:v>-18</x:v>
      </x:c>
      <x:c r="S195" s="41" t="n">
        <x:v>28</x:v>
      </x:c>
      <x:c r="T195" s="36" t="str">
        <x:v>No</x:v>
      </x:c>
      <x:c r="U195" s="36" t="str">
        <x:v>Cancelled</x:v>
      </x:c>
    </x:row>
    <x:row r="196">
      <x:c r="A196" s="36" t="str">
        <x:v>PO-2025-0195</x:v>
      </x:c>
      <x:c r="B196" s="37" t="n">
        <x:v>45779</x:v>
      </x:c>
      <x:c r="C196" s="36" t="str">
        <x:v>May</x:v>
      </x:c>
      <x:c r="D196" s="36" t="str">
        <x:v>Stampede Park Infrastructure Upgrade</x:v>
      </x:c>
      <x:c r="E196" s="36" t="str">
        <x:v>Calgary SE</x:v>
      </x:c>
      <x:c r="F196" s="36" t="str">
        <x:v>James Okafor</x:v>
      </x:c>
      <x:c r="G196" s="36" t="str">
        <x:v>MEP - Electrical</x:v>
      </x:c>
      <x:c r="H196" s="36" t="str">
        <x:v>MV Distribution Cable</x:v>
      </x:c>
      <x:c r="I196" s="36" t="str">
        <x:v>Stuart Olson Electrical</x:v>
      </x:c>
      <x:c r="J196" s="36" t="str">
        <x:v>LPO – Direct Award</x:v>
      </x:c>
      <x:c r="K196" s="38" t="n">
        <x:v>93</x:v>
      </x:c>
      <x:c r="L196" s="36" t="str">
        <x:v>lot</x:v>
      </x:c>
      <x:c r="M196" s="39" t="n">
        <x:v>88559.64</x:v>
      </x:c>
      <x:c r="N196" s="39" t="n">
        <x:v>87856.5</x:v>
      </x:c>
      <x:c r="O196" s="39" t="n">
        <x:v>8236046.52</x:v>
      </x:c>
      <x:c r="P196" s="39" t="n">
        <x:v>8170654.5</x:v>
      </x:c>
      <x:c r="Q196" s="39" t="n">
        <x:v>65392.02</x:v>
      </x:c>
      <x:c r="R196" s="40" t="n">
        <x:v>0.8</x:v>
      </x:c>
      <x:c r="S196" s="41" t="n">
        <x:v>10</x:v>
      </x:c>
      <x:c r="T196" s="36" t="str">
        <x:v>No</x:v>
      </x:c>
      <x:c r="U196" s="36" t="str">
        <x:v>Delivered</x:v>
      </x:c>
    </x:row>
    <x:row r="197">
      <x:c r="A197" s="36" t="str">
        <x:v>PO-2025-0196</x:v>
      </x:c>
      <x:c r="B197" s="37" t="n">
        <x:v>45751</x:v>
      </x:c>
      <x:c r="C197" s="36" t="str">
        <x:v>April</x:v>
      </x:c>
      <x:c r="D197" s="36" t="str">
        <x:v>Springbank Off-Stream Reservoir</x:v>
      </x:c>
      <x:c r="E197" s="36" t="str">
        <x:v>Calgary NE</x:v>
      </x:c>
      <x:c r="F197" s="36" t="str">
        <x:v>Mohammed Siddiqui</x:v>
      </x:c>
      <x:c r="G197" s="36" t="str">
        <x:v>MEP - Electrical</x:v>
      </x:c>
      <x:c r="H197" s="36" t="str">
        <x:v>Standby Generator</x:v>
      </x:c>
      <x:c r="I197" s="36" t="str">
        <x:v>Flint Energy Services</x:v>
      </x:c>
      <x:c r="J197" s="36" t="str">
        <x:v>LPO – Direct Award</x:v>
      </x:c>
      <x:c r="K197" s="38" t="n">
        <x:v>29</x:v>
      </x:c>
      <x:c r="L197" s="36" t="str">
        <x:v>lot</x:v>
      </x:c>
      <x:c r="M197" s="39" t="n">
        <x:v>9905.46</x:v>
      </x:c>
      <x:c r="N197" s="39" t="n">
        <x:v>8580.86</x:v>
      </x:c>
      <x:c r="O197" s="39" t="n">
        <x:v>287258.34</x:v>
      </x:c>
      <x:c r="P197" s="39" t="n">
        <x:v>248844.94</x:v>
      </x:c>
      <x:c r="Q197" s="39" t="n">
        <x:v>38413.4</x:v>
      </x:c>
      <x:c r="R197" s="40" t="n">
        <x:v>15.4</x:v>
      </x:c>
      <x:c r="S197" s="41" t="n">
        <x:v>43</x:v>
      </x:c>
      <x:c r="T197" s="36" t="str">
        <x:v>Yes</x:v>
      </x:c>
      <x:c r="U197" s="36" t="str">
        <x:v>Cancelled</x:v>
      </x:c>
    </x:row>
    <x:row r="198">
      <x:c r="A198" s="36" t="str">
        <x:v>PO-2025-0197</x:v>
      </x:c>
      <x:c r="B198" s="37" t="n">
        <x:v>45915</x:v>
      </x:c>
      <x:c r="C198" s="36" t="str">
        <x:v>September</x:v>
      </x:c>
      <x:c r="D198" s="36" t="str">
        <x:v>Saddledome Arena Retrofit</x:v>
      </x:c>
      <x:c r="E198" s="36" t="str">
        <x:v>Calgary SW</x:v>
      </x:c>
      <x:c r="F198" s="36" t="str">
        <x:v>Mohammed Siddiqui</x:v>
      </x:c>
      <x:c r="G198" s="36" t="str">
        <x:v>MEP - Electrical</x:v>
      </x:c>
      <x:c r="H198" s="36" t="str">
        <x:v>Standby Generator</x:v>
      </x:c>
      <x:c r="I198" s="36" t="str">
        <x:v>Schneider Electric Canada</x:v>
      </x:c>
      <x:c r="J198" s="36" t="str">
        <x:v>Standing Offer Agreement</x:v>
      </x:c>
      <x:c r="K198" s="38" t="n">
        <x:v>77</x:v>
      </x:c>
      <x:c r="L198" s="36" t="str">
        <x:v>lot</x:v>
      </x:c>
      <x:c r="M198" s="39" t="n">
        <x:v>71931.78</x:v>
      </x:c>
      <x:c r="N198" s="39" t="n">
        <x:v>74428.22</x:v>
      </x:c>
      <x:c r="O198" s="39" t="n">
        <x:v>5538747.06</x:v>
      </x:c>
      <x:c r="P198" s="39" t="n">
        <x:v>5730972.94</x:v>
      </x:c>
      <x:c r="Q198" s="39" t="n">
        <x:v>-192225.88</x:v>
      </x:c>
      <x:c r="R198" s="40" t="n">
        <x:v>-3.4</x:v>
      </x:c>
      <x:c r="S198" s="41" t="n">
        <x:v>81</x:v>
      </x:c>
      <x:c r="T198" s="36" t="str">
        <x:v>Yes</x:v>
      </x:c>
      <x:c r="U198" s="36" t="str">
        <x:v>Partially Delivered</x:v>
      </x:c>
    </x:row>
    <x:row r="199">
      <x:c r="A199" s="36" t="str">
        <x:v>PO-2025-0198</x:v>
      </x:c>
      <x:c r="B199" s="37" t="n">
        <x:v>45896</x:v>
      </x:c>
      <x:c r="C199" s="36" t="str">
        <x:v>August</x:v>
      </x:c>
      <x:c r="D199" s="36" t="str">
        <x:v>Bow River Crossing Overpass</x:v>
      </x:c>
      <x:c r="E199" s="36" t="str">
        <x:v>Calgary SW</x:v>
      </x:c>
      <x:c r="F199" s="36" t="str">
        <x:v>Aisha Nkosi</x:v>
      </x:c>
      <x:c r="G199" s="36" t="str">
        <x:v>MEP - Mechanical</x:v>
      </x:c>
      <x:c r="H199" s="36" t="str">
        <x:v>Heat Pump Assembly</x:v>
      </x:c>
      <x:c r="I199" s="36" t="str">
        <x:v>Johnson Controls Alberta</x:v>
      </x:c>
      <x:c r="J199" s="36" t="str">
        <x:v>Emergency Procurement</x:v>
      </x:c>
      <x:c r="K199" s="38" t="n">
        <x:v>7</x:v>
      </x:c>
      <x:c r="L199" s="36" t="str">
        <x:v>lot</x:v>
      </x:c>
      <x:c r="M199" s="39" t="n">
        <x:v>42549.26</x:v>
      </x:c>
      <x:c r="N199" s="39" t="n">
        <x:v>41148.07</x:v>
      </x:c>
      <x:c r="O199" s="39" t="n">
        <x:v>297844.82</x:v>
      </x:c>
      <x:c r="P199" s="39" t="n">
        <x:v>288036.49</x:v>
      </x:c>
      <x:c r="Q199" s="39" t="n">
        <x:v>9808.33</x:v>
      </x:c>
      <x:c r="R199" s="40" t="n">
        <x:v>3.4</x:v>
      </x:c>
      <x:c r="S199" s="41" t="n">
        <x:v>9</x:v>
      </x:c>
      <x:c r="T199" s="36" t="str">
        <x:v>No</x:v>
      </x:c>
      <x:c r="U199" s="36" t="str">
        <x:v>Cancelled</x:v>
      </x:c>
    </x:row>
    <x:row r="200">
      <x:c r="A200" s="36" t="str">
        <x:v>PO-2025-0199</x:v>
      </x:c>
      <x:c r="B200" s="37" t="n">
        <x:v>45766</x:v>
      </x:c>
      <x:c r="C200" s="36" t="str">
        <x:v>April</x:v>
      </x:c>
      <x:c r="D200" s="36" t="str">
        <x:v>Bow River Crossing Overpass</x:v>
      </x:c>
      <x:c r="E200" s="36" t="str">
        <x:v>Calgary NE</x:v>
      </x:c>
      <x:c r="F200" s="36" t="str">
        <x:v>Priya Sharma</x:v>
      </x:c>
      <x:c r="G200" s="36" t="str">
        <x:v>MEP - Mechanical</x:v>
      </x:c>
      <x:c r="H200" s="36" t="str">
        <x:v>Heat Pump Assembly</x:v>
      </x:c>
      <x:c r="I200" s="36" t="str">
        <x:v>Stantec MEP</x:v>
      </x:c>
      <x:c r="J200" s="36" t="str">
        <x:v>Standing Offer Agreement</x:v>
      </x:c>
      <x:c r="K200" s="38" t="n">
        <x:v>44</x:v>
      </x:c>
      <x:c r="L200" s="36" t="str">
        <x:v>lot</x:v>
      </x:c>
      <x:c r="M200" s="39" t="n">
        <x:v>7777.84</x:v>
      </x:c>
      <x:c r="N200" s="39" t="n">
        <x:v>6733.82</x:v>
      </x:c>
      <x:c r="O200" s="39" t="n">
        <x:v>342224.96</x:v>
      </x:c>
      <x:c r="P200" s="39" t="n">
        <x:v>296288.08</x:v>
      </x:c>
      <x:c r="Q200" s="39" t="n">
        <x:v>45936.88</x:v>
      </x:c>
      <x:c r="R200" s="40" t="n">
        <x:v>15.5</x:v>
      </x:c>
      <x:c r="S200" s="41" t="n">
        <x:v>42</x:v>
      </x:c>
      <x:c r="T200" s="36" t="str">
        <x:v>Yes</x:v>
      </x:c>
      <x:c r="U200" s="36" t="str">
        <x:v>Delivered</x:v>
      </x:c>
    </x:row>
    <x:row r="201">
      <x:c r="A201" s="36" t="str">
        <x:v>PO-2025-0200</x:v>
      </x:c>
      <x:c r="B201" s="37" t="n">
        <x:v>45853</x:v>
      </x:c>
      <x:c r="C201" s="36" t="str">
        <x:v>July</x:v>
      </x:c>
      <x:c r="D201" s="36" t="str">
        <x:v>Springbank Off-Stream Reservoir</x:v>
      </x:c>
      <x:c r="E201" s="36" t="str">
        <x:v>Calgary SE</x:v>
      </x:c>
      <x:c r="F201" s="36" t="str">
        <x:v>Linda Tran</x:v>
      </x:c>
      <x:c r="G201" s="36" t="str">
        <x:v>Safety &amp; Temp Works</x:v>
      </x:c>
      <x:c r="H201" s="36" t="str">
        <x:v>PPE Bulk Supply</x:v>
      </x:c>
      <x:c r="I201" s="36" t="str">
        <x:v>Levitt-Safety Calgary</x:v>
      </x:c>
      <x:c r="J201" s="36" t="str">
        <x:v>3-Quote Comparison</x:v>
      </x:c>
      <x:c r="K201" s="38" t="n">
        <x:v>114</x:v>
      </x:c>
      <x:c r="L201" s="36" t="str">
        <x:v>lot</x:v>
      </x:c>
      <x:c r="M201" s="39" t="n">
        <x:v>7710.58</x:v>
      </x:c>
      <x:c r="N201" s="39" t="n">
        <x:v>8328.53</x:v>
      </x:c>
      <x:c r="O201" s="39" t="n">
        <x:v>879006.12</x:v>
      </x:c>
      <x:c r="P201" s="39" t="n">
        <x:v>949452.42</x:v>
      </x:c>
      <x:c r="Q201" s="39" t="n">
        <x:v>-70446.3</x:v>
      </x:c>
      <x:c r="R201" s="40" t="n">
        <x:v>-7.4</x:v>
      </x:c>
      <x:c r="S201" s="41" t="n">
        <x:v>82</x:v>
      </x:c>
      <x:c r="T201" s="36" t="str">
        <x:v>Yes</x:v>
      </x:c>
      <x:c r="U201" s="36" t="str">
        <x:v>Pending</x:v>
      </x:c>
    </x:row>
    <x:row r="202">
      <x:c r="A202" s="36" t="str">
        <x:v>PO-2025-0201</x:v>
      </x:c>
      <x:c r="B202" s="37" t="n">
        <x:v>45958</x:v>
      </x:c>
      <x:c r="C202" s="36" t="str">
        <x:v>October</x:v>
      </x:c>
      <x:c r="D202" s="36" t="str">
        <x:v>Stampede Park Infrastructure Upgrade</x:v>
      </x:c>
      <x:c r="E202" s="36" t="str">
        <x:v>Calgary SE</x:v>
      </x:c>
      <x:c r="F202" s="36" t="str">
        <x:v>James Okafor</x:v>
      </x:c>
      <x:c r="G202" s="36" t="str">
        <x:v>MEP - Electrical</x:v>
      </x:c>
      <x:c r="H202" s="36" t="str">
        <x:v>Grounding System</x:v>
      </x:c>
      <x:c r="I202" s="36" t="str">
        <x:v>Houle Electric</x:v>
      </x:c>
      <x:c r="J202" s="36" t="str">
        <x:v>Standing Offer Agreement</x:v>
      </x:c>
      <x:c r="K202" s="38" t="n">
        <x:v>118</x:v>
      </x:c>
      <x:c r="L202" s="36" t="str">
        <x:v>lot</x:v>
      </x:c>
      <x:c r="M202" s="39" t="n">
        <x:f>ROUND(O202/K202,2)</x:f>
        <x:v>47171.89</x:v>
      </x:c>
      <x:c r="N202" s="39" t="n">
        <x:v>45742.03</x:v>
      </x:c>
      <x:c r="O202" s="39" t="n">
        <x:v>5566283.02</x:v>
      </x:c>
      <x:c r="P202" s="39" t="n">
        <x:v>5397559.54</x:v>
      </x:c>
      <x:c r="Q202" s="39" t="n">
        <x:v>168723.48</x:v>
      </x:c>
      <x:c r="R202" s="40" t="n">
        <x:v>3.1</x:v>
      </x:c>
      <x:c r="S202" s="41" t="n">
        <x:v>25</x:v>
      </x:c>
      <x:c r="T202" s="36" t="str">
        <x:v>Yes</x:v>
      </x:c>
      <x:c r="U202" s="36" t="str">
        <x:v>Delivered</x:v>
      </x:c>
    </x:row>
    <x:row r="203">
      <x:c r="A203" s="36" t="str">
        <x:v>PO-2025-0202</x:v>
      </x:c>
      <x:c r="B203" s="37" t="n">
        <x:v>45778</x:v>
      </x:c>
      <x:c r="C203" s="36" t="str">
        <x:v>May</x:v>
      </x:c>
      <x:c r="D203" s="36" t="str">
        <x:v>Deerfoot Trail Widening - North</x:v>
      </x:c>
      <x:c r="E203" s="36" t="str">
        <x:v>Rocky View County</x:v>
      </x:c>
      <x:c r="F203" s="36" t="str">
        <x:v>Priya Sharma</x:v>
      </x:c>
      <x:c r="G203" s="36" t="str">
        <x:v>MEP - Mechanical</x:v>
      </x:c>
      <x:c r="H203" s="36" t="str">
        <x:v>Air Handling Unit</x:v>
      </x:c>
      <x:c r="I203" s="36" t="str">
        <x:v>PCL Mechanical</x:v>
      </x:c>
      <x:c r="J203" s="36" t="str">
        <x:v>LPO – Direct Award</x:v>
      </x:c>
      <x:c r="K203" s="38" t="n">
        <x:v>72</x:v>
      </x:c>
      <x:c r="L203" s="36" t="str">
        <x:v>lot</x:v>
      </x:c>
      <x:c r="M203" s="39" t="n">
        <x:v>37607.22</x:v>
      </x:c>
      <x:c r="N203" s="39" t="n">
        <x:v>33943.85</x:v>
      </x:c>
      <x:c r="O203" s="39" t="n">
        <x:v>2707719.84</x:v>
      </x:c>
      <x:c r="P203" s="39" t="n">
        <x:v>2443957.2</x:v>
      </x:c>
      <x:c r="Q203" s="39" t="n">
        <x:v>263762.64</x:v>
      </x:c>
      <x:c r="R203" s="40" t="n">
        <x:v>10.8</x:v>
      </x:c>
      <x:c r="S203" s="41" t="n">
        <x:v>69</x:v>
      </x:c>
      <x:c r="T203" s="36" t="str">
        <x:v>Yes</x:v>
      </x:c>
      <x:c r="U203" s="36" t="str">
        <x:v>Cancelled</x:v>
      </x:c>
    </x:row>
    <x:row r="204">
      <x:c r="A204" s="36" t="str">
        <x:v>PO-2025-0203</x:v>
      </x:c>
      <x:c r="B204" s="37" t="n">
        <x:v>45658</x:v>
      </x:c>
      <x:c r="C204" s="36" t="str">
        <x:v>January</x:v>
      </x:c>
      <x:c r="D204" s="36" t="str">
        <x:v>Stampede Park Infrastructure Upgrade</x:v>
      </x:c>
      <x:c r="E204" s="36" t="str">
        <x:v>Rocky View County</x:v>
      </x:c>
      <x:c r="F204" s="36" t="str">
        <x:v>Liam Kowalski</x:v>
      </x:c>
      <x:c r="G204" s="36" t="str">
        <x:v>MEP - Electrical</x:v>
      </x:c>
      <x:c r="H204" s="36" t="str">
        <x:v>Grounding System</x:v>
      </x:c>
      <x:c r="I204" s="36" t="str">
        <x:v>Flint Energy Services</x:v>
      </x:c>
      <x:c r="J204" s="36" t="str">
        <x:v>LPO – Direct Award</x:v>
      </x:c>
      <x:c r="K204" s="38" t="n">
        <x:v>82</x:v>
      </x:c>
      <x:c r="L204" s="36" t="str">
        <x:v>lot</x:v>
      </x:c>
      <x:c r="M204" s="39" t="n">
        <x:v>30660.2</x:v>
      </x:c>
      <x:c r="N204" s="39" t="n">
        <x:v>31981.06</x:v>
      </x:c>
      <x:c r="O204" s="39" t="n">
        <x:v>2514136.4</x:v>
      </x:c>
      <x:c r="P204" s="39" t="n">
        <x:v>2622446.92</x:v>
      </x:c>
      <x:c r="Q204" s="39" t="n">
        <x:v>-108310.52</x:v>
      </x:c>
      <x:c r="R204" s="40" t="n">
        <x:v>-4.1</x:v>
      </x:c>
      <x:c r="S204" s="41" t="n">
        <x:v>22</x:v>
      </x:c>
      <x:c r="T204" s="36" t="str">
        <x:v>Yes</x:v>
      </x:c>
      <x:c r="U204" s="36" t="str">
        <x:v>Delivered</x:v>
      </x:c>
    </x:row>
    <x:row r="205">
      <x:c r="A205" s="36" t="str">
        <x:v>PO-2025-0204</x:v>
      </x:c>
      <x:c r="B205" s="37" t="n">
        <x:v>45933</x:v>
      </x:c>
      <x:c r="C205" s="36" t="str">
        <x:v>October</x:v>
      </x:c>
      <x:c r="D205" s="36" t="str">
        <x:v>Stampede Park Infrastructure Upgrade</x:v>
      </x:c>
      <x:c r="E205" s="36" t="str">
        <x:v>Calgary NE</x:v>
      </x:c>
      <x:c r="F205" s="36" t="str">
        <x:v>Sarah Bouchard</x:v>
      </x:c>
      <x:c r="G205" s="36" t="str">
        <x:v>Concrete &amp; Structural</x:v>
      </x:c>
      <x:c r="H205" s="36" t="str">
        <x:v>Rebar Steel</x:v>
      </x:c>
      <x:c r="I205" s="36" t="str">
        <x:v>Lafarge Canada - Calgary</x:v>
      </x:c>
      <x:c r="J205" s="36" t="str">
        <x:v>Emergency Procurement</x:v>
      </x:c>
      <x:c r="K205" s="38" t="n">
        <x:v>103</x:v>
      </x:c>
      <x:c r="L205" s="36" t="str">
        <x:v>m³</x:v>
      </x:c>
      <x:c r="M205" s="39" t="n">
        <x:v>599.66</x:v>
      </x:c>
      <x:c r="N205" s="39" t="n">
        <x:v>525.21</x:v>
      </x:c>
      <x:c r="O205" s="39" t="n">
        <x:v>61764.98</x:v>
      </x:c>
      <x:c r="P205" s="39" t="n">
        <x:v>54096.63</x:v>
      </x:c>
      <x:c r="Q205" s="39" t="n">
        <x:v>7668.35</x:v>
      </x:c>
      <x:c r="R205" s="40" t="n">
        <x:v>14.2</x:v>
      </x:c>
      <x:c r="S205" s="41" t="n">
        <x:v>28</x:v>
      </x:c>
      <x:c r="T205" s="36" t="str">
        <x:v>Yes</x:v>
      </x:c>
      <x:c r="U205" s="36" t="str">
        <x:v>Pending</x:v>
      </x:c>
    </x:row>
    <x:row r="206">
      <x:c r="A206" s="36" t="str">
        <x:v>PO-2025-0205</x:v>
      </x:c>
      <x:c r="B206" s="37" t="n">
        <x:v>45710</x:v>
      </x:c>
      <x:c r="C206" s="36" t="str">
        <x:v>February</x:v>
      </x:c>
      <x:c r="D206" s="36" t="str">
        <x:v>University District Residential Phase 3</x:v>
      </x:c>
      <x:c r="E206" s="36" t="str">
        <x:v>Calgary SE</x:v>
      </x:c>
      <x:c r="F206" s="36" t="str">
        <x:v>Aisha Nkosi</x:v>
      </x:c>
      <x:c r="G206" s="36" t="str">
        <x:v>Finishing</x:v>
      </x:c>
      <x:c r="H206" s="36" t="str">
        <x:v>Ceramic Floor Tile</x:v>
      </x:c>
      <x:c r="I206" s="36" t="str">
        <x:v>Centura Tile Calgary</x:v>
      </x:c>
      <x:c r="J206" s="36" t="str">
        <x:v>Standing Offer Agreement</x:v>
      </x:c>
      <x:c r="K206" s="38" t="n">
        <x:v>41</x:v>
      </x:c>
      <x:c r="L206" s="36" t="str">
        <x:v>m²</x:v>
      </x:c>
      <x:c r="M206" s="39" t="n">
        <x:v>120.59</x:v>
      </x:c>
      <x:c r="N206" s="39" t="n">
        <x:v>142.25</x:v>
      </x:c>
      <x:c r="O206" s="39" t="n">
        <x:v>4944.19</x:v>
      </x:c>
      <x:c r="P206" s="39" t="n">
        <x:v>5832.25</x:v>
      </x:c>
      <x:c r="Q206" s="39" t="n">
        <x:v>-888.06</x:v>
      </x:c>
      <x:c r="R206" s="40" t="n">
        <x:v>-15.2</x:v>
      </x:c>
      <x:c r="S206" s="41" t="n">
        <x:v>68</x:v>
      </x:c>
      <x:c r="T206" s="36" t="str">
        <x:v>Yes</x:v>
      </x:c>
      <x:c r="U206" s="36" t="str">
        <x:v>Delivered</x:v>
      </x:c>
    </x:row>
    <x:row r="207">
      <x:c r="A207" s="36" t="str">
        <x:v>PO-2025-0206</x:v>
      </x:c>
      <x:c r="B207" s="37" t="n">
        <x:v>45989</x:v>
      </x:c>
      <x:c r="C207" s="36" t="str">
        <x:v>November</x:v>
      </x:c>
      <x:c r="D207" s="36" t="str">
        <x:v>Foothills Medical Centre Expansion</x:v>
      </x:c>
      <x:c r="E207" s="36" t="str">
        <x:v>Rocky View County</x:v>
      </x:c>
      <x:c r="F207" s="36" t="str">
        <x:v>Mohammed Siddiqui</x:v>
      </x:c>
      <x:c r="G207" s="36" t="str">
        <x:v>MEP - Electrical</x:v>
      </x:c>
      <x:c r="H207" s="36" t="str">
        <x:v>LV Switchgear Panel</x:v>
      </x:c>
      <x:c r="I207" s="36" t="str">
        <x:v>Houle Electric</x:v>
      </x:c>
      <x:c r="J207" s="36" t="str">
        <x:v>Tender – Open</x:v>
      </x:c>
      <x:c r="K207" s="38" t="n">
        <x:v>23</x:v>
      </x:c>
      <x:c r="L207" s="36" t="str">
        <x:v>lot</x:v>
      </x:c>
      <x:c r="M207" s="39" t="n">
        <x:v>72671.38</x:v>
      </x:c>
      <x:c r="N207" s="39" t="n">
        <x:v>65746.09</x:v>
      </x:c>
      <x:c r="O207" s="39" t="n">
        <x:v>1671441.74</x:v>
      </x:c>
      <x:c r="P207" s="39" t="n">
        <x:v>1512160.07</x:v>
      </x:c>
      <x:c r="Q207" s="39" t="n">
        <x:v>159281.67</x:v>
      </x:c>
      <x:c r="R207" s="40" t="n">
        <x:v>10.5</x:v>
      </x:c>
      <x:c r="S207" s="41" t="n">
        <x:v>64</x:v>
      </x:c>
      <x:c r="T207" s="36" t="str">
        <x:v>Yes</x:v>
      </x:c>
      <x:c r="U207" s="36" t="str">
        <x:v>Delivered</x:v>
      </x:c>
    </x:row>
    <x:row r="208">
      <x:c r="A208" s="36" t="str">
        <x:v>PO-2025-0207</x:v>
      </x:c>
      <x:c r="B208" s="37" t="n">
        <x:v>45680</x:v>
      </x:c>
      <x:c r="C208" s="36" t="str">
        <x:v>January</x:v>
      </x:c>
      <x:c r="D208" s="36" t="str">
        <x:v>Bow River Crossing Overpass</x:v>
      </x:c>
      <x:c r="E208" s="36" t="str">
        <x:v>Calgary SE</x:v>
      </x:c>
      <x:c r="F208" s="36" t="str">
        <x:v>Priya Sharma</x:v>
      </x:c>
      <x:c r="G208" s="36" t="str">
        <x:v>Civil Works</x:v>
      </x:c>
      <x:c r="H208" s="36" t="str">
        <x:v>Storm Drainage Pipe</x:v>
      </x:c>
      <x:c r="I208" s="36" t="str">
        <x:v>EllisDon Civil</x:v>
      </x:c>
      <x:c r="J208" s="36" t="str">
        <x:v>3-Quote Comparison</x:v>
      </x:c>
      <x:c r="K208" s="38" t="n">
        <x:v>37</x:v>
      </x:c>
      <x:c r="L208" s="36" t="str">
        <x:v>m³</x:v>
      </x:c>
      <x:c r="M208" s="39" t="n">
        <x:v>82.89</x:v>
      </x:c>
      <x:c r="N208" s="39" t="n">
        <x:v>98.73</x:v>
      </x:c>
      <x:c r="O208" s="39" t="n">
        <x:v>3066.93</x:v>
      </x:c>
      <x:c r="P208" s="39" t="n">
        <x:v>3653.01</x:v>
      </x:c>
      <x:c r="Q208" s="39" t="n">
        <x:v>-586.08</x:v>
      </x:c>
      <x:c r="R208" s="40" t="n">
        <x:v>-16</x:v>
      </x:c>
      <x:c r="S208" s="41" t="n">
        <x:v>43</x:v>
      </x:c>
      <x:c r="T208" s="36" t="str">
        <x:v>No</x:v>
      </x:c>
      <x:c r="U208" s="36" t="str">
        <x:v>Pending</x:v>
      </x:c>
    </x:row>
    <x:row r="209">
      <x:c r="A209" s="36" t="str">
        <x:v>PO-2025-0208</x:v>
      </x:c>
      <x:c r="B209" s="37" t="n">
        <x:v>45791</x:v>
      </x:c>
      <x:c r="C209" s="36" t="str">
        <x:v>May</x:v>
      </x:c>
      <x:c r="D209" s="36" t="str">
        <x:v>Springbank Off-Stream Reservoir</x:v>
      </x:c>
      <x:c r="E209" s="36" t="str">
        <x:v>Calgary SW</x:v>
      </x:c>
      <x:c r="F209" s="36" t="str">
        <x:v>Derek McLean</x:v>
      </x:c>
      <x:c r="G209" s="36" t="str">
        <x:v>Safety &amp; Temp Works</x:v>
      </x:c>
      <x:c r="H209" s="36" t="str">
        <x:v>Site Hoarding &amp; Fencing</x:v>
      </x:c>
      <x:c r="I209" s="36" t="str">
        <x:v>Sunbelt Rentals Canada</x:v>
      </x:c>
      <x:c r="J209" s="36" t="str">
        <x:v>Standing Offer Agreement</x:v>
      </x:c>
      <x:c r="K209" s="38" t="n">
        <x:v>112</x:v>
      </x:c>
      <x:c r="L209" s="36" t="str">
        <x:v>lot</x:v>
      </x:c>
      <x:c r="M209" s="39" t="n">
        <x:v>15900.37</x:v>
      </x:c>
      <x:c r="N209" s="39" t="n">
        <x:v>13689.46</x:v>
      </x:c>
      <x:c r="O209" s="39" t="n">
        <x:v>1780841.44</x:v>
      </x:c>
      <x:c r="P209" s="39" t="n">
        <x:v>1533219.52</x:v>
      </x:c>
      <x:c r="Q209" s="39" t="n">
        <x:v>247621.92</x:v>
      </x:c>
      <x:c r="R209" s="40" t="n">
        <x:v>16.2</x:v>
      </x:c>
      <x:c r="S209" s="41" t="n">
        <x:v>37</x:v>
      </x:c>
      <x:c r="T209" s="36" t="str">
        <x:v>Yes</x:v>
      </x:c>
      <x:c r="U209" s="36" t="str">
        <x:v>Cancelled</x:v>
      </x:c>
    </x:row>
    <x:row r="210">
      <x:c r="A210" s="36" t="str">
        <x:v>PO-2025-0209</x:v>
      </x:c>
      <x:c r="B210" s="37" t="n">
        <x:v>45909</x:v>
      </x:c>
      <x:c r="C210" s="36" t="str">
        <x:v>September</x:v>
      </x:c>
      <x:c r="D210" s="36" t="str">
        <x:v>Foothills Medical Centre Expansion</x:v>
      </x:c>
      <x:c r="E210" s="36" t="str">
        <x:v>Rocky View County</x:v>
      </x:c>
      <x:c r="F210" s="36" t="str">
        <x:v>Liam Kowalski</x:v>
      </x:c>
      <x:c r="G210" s="36" t="str">
        <x:v>Safety &amp; Temp Works</x:v>
      </x:c>
      <x:c r="H210" s="36" t="str">
        <x:v>Fall Protection Netting</x:v>
      </x:c>
      <x:c r="I210" s="36" t="str">
        <x:v>BrandSafway Canada</x:v>
      </x:c>
      <x:c r="J210" s="36" t="str">
        <x:v>3-Quote Comparison</x:v>
      </x:c>
      <x:c r="K210" s="38" t="n">
        <x:v>30</x:v>
      </x:c>
      <x:c r="L210" s="36" t="str">
        <x:v>lot</x:v>
      </x:c>
      <x:c r="M210" s="39" t="n">
        <x:v>10448.16</x:v>
      </x:c>
      <x:c r="N210" s="39" t="n">
        <x:v>9901.92</x:v>
      </x:c>
      <x:c r="O210" s="39" t="n">
        <x:v>313444.8</x:v>
      </x:c>
      <x:c r="P210" s="39" t="n">
        <x:v>297057.6</x:v>
      </x:c>
      <x:c r="Q210" s="39" t="n">
        <x:v>16387.2</x:v>
      </x:c>
      <x:c r="R210" s="40" t="n">
        <x:v>5.5</x:v>
      </x:c>
      <x:c r="S210" s="41" t="n">
        <x:v>83</x:v>
      </x:c>
      <x:c r="T210" s="36" t="str">
        <x:v>Yes</x:v>
      </x:c>
      <x:c r="U210" s="36" t="str">
        <x:v>Cancelled</x:v>
      </x:c>
    </x:row>
    <x:row r="211">
      <x:c r="A211" s="36" t="str">
        <x:v>PO-2025-0210</x:v>
      </x:c>
      <x:c r="B211" s="37" t="n">
        <x:v>45736</x:v>
      </x:c>
      <x:c r="C211" s="36" t="str">
        <x:v>March</x:v>
      </x:c>
      <x:c r="D211" s="36" t="str">
        <x:v>Deerfoot Trail Widening - North</x:v>
      </x:c>
      <x:c r="E211" s="36" t="str">
        <x:v>Rocky View County</x:v>
      </x:c>
      <x:c r="F211" s="36" t="str">
        <x:v>James Okafor</x:v>
      </x:c>
      <x:c r="G211" s="36" t="str">
        <x:v>MEP - Electrical</x:v>
      </x:c>
      <x:c r="H211" s="36" t="str">
        <x:v>Grounding System</x:v>
      </x:c>
      <x:c r="I211" s="36" t="str">
        <x:v>Stuart Olson Electrical</x:v>
      </x:c>
      <x:c r="J211" s="36" t="str">
        <x:v>LPO – Direct Award</x:v>
      </x:c>
      <x:c r="K211" s="38" t="n">
        <x:v>88</x:v>
      </x:c>
      <x:c r="L211" s="36" t="str">
        <x:v>lot</x:v>
      </x:c>
      <x:c r="M211" s="39" t="n">
        <x:v>59291.61</x:v>
      </x:c>
      <x:c r="N211" s="39" t="n">
        <x:v>68376.85</x:v>
      </x:c>
      <x:c r="O211" s="39" t="n">
        <x:v>5217661.68</x:v>
      </x:c>
      <x:c r="P211" s="39" t="n">
        <x:v>6017162.8</x:v>
      </x:c>
      <x:c r="Q211" s="39" t="n">
        <x:v>-799501.12</x:v>
      </x:c>
      <x:c r="R211" s="40" t="n">
        <x:v>-13.3</x:v>
      </x:c>
      <x:c r="S211" s="41" t="n">
        <x:v>17</x:v>
      </x:c>
      <x:c r="T211" s="36" t="str">
        <x:v>Yes</x:v>
      </x:c>
      <x:c r="U211" s="36" t="str">
        <x:v>Delivered</x:v>
      </x:c>
    </x:row>
    <x:row r="212">
      <x:c r="A212" s="36" t="str">
        <x:v>PO-2025-0211</x:v>
      </x:c>
      <x:c r="B212" s="37" t="n">
        <x:v>45671</x:v>
      </x:c>
      <x:c r="C212" s="36" t="str">
        <x:v>January</x:v>
      </x:c>
      <x:c r="D212" s="36" t="str">
        <x:v>Quarry Park Mixed-Use Development</x:v>
      </x:c>
      <x:c r="E212" s="36" t="str">
        <x:v>Calgary SE</x:v>
      </x:c>
      <x:c r="F212" s="36" t="str">
        <x:v>Priya Sharma</x:v>
      </x:c>
      <x:c r="G212" s="36" t="str">
        <x:v>Civil Works</x:v>
      </x:c>
      <x:c r="H212" s="36" t="str">
        <x:v>Bulk Excavation</x:v>
      </x:c>
      <x:c r="I212" s="36" t="str">
        <x:v>Kiewit Infrastructure</x:v>
      </x:c>
      <x:c r="J212" s="36" t="str">
        <x:v>Tender – Open</x:v>
      </x:c>
      <x:c r="K212" s="38" t="n">
        <x:v>63</x:v>
      </x:c>
      <x:c r="L212" s="36" t="str">
        <x:v>m³</x:v>
      </x:c>
      <x:c r="M212" s="39" t="n">
        <x:v>110.46</x:v>
      </x:c>
      <x:c r="N212" s="39" t="n">
        <x:v>97.76</x:v>
      </x:c>
      <x:c r="O212" s="39" t="n">
        <x:v>6958.98</x:v>
      </x:c>
      <x:c r="P212" s="39" t="n">
        <x:v>6158.88</x:v>
      </x:c>
      <x:c r="Q212" s="39" t="n">
        <x:v>800.1</x:v>
      </x:c>
      <x:c r="R212" s="40" t="n">
        <x:v>13</x:v>
      </x:c>
      <x:c r="S212" s="41" t="n">
        <x:v>16</x:v>
      </x:c>
      <x:c r="T212" s="36" t="str">
        <x:v>Yes</x:v>
      </x:c>
      <x:c r="U212" s="36" t="str">
        <x:v>Pending</x:v>
      </x:c>
    </x:row>
    <x:row r="213">
      <x:c r="A213" s="36" t="str">
        <x:v>PO-2025-0212</x:v>
      </x:c>
      <x:c r="B213" s="37" t="n">
        <x:v>45683</x:v>
      </x:c>
      <x:c r="C213" s="36" t="str">
        <x:v>January</x:v>
      </x:c>
      <x:c r="D213" s="36" t="str">
        <x:v>Stampede Park Infrastructure Upgrade</x:v>
      </x:c>
      <x:c r="E213" s="36" t="str">
        <x:v>Calgary SW</x:v>
      </x:c>
      <x:c r="F213" s="36" t="str">
        <x:v>Sarah Bouchard</x:v>
      </x:c>
      <x:c r="G213" s="36" t="str">
        <x:v>MEP - Electrical</x:v>
      </x:c>
      <x:c r="H213" s="36" t="str">
        <x:v>LV Switchgear Panel</x:v>
      </x:c>
      <x:c r="I213" s="36" t="str">
        <x:v>Stuart Olson Electrical</x:v>
      </x:c>
      <x:c r="J213" s="36" t="str">
        <x:v>Standing Offer Agreement</x:v>
      </x:c>
      <x:c r="K213" s="38" t="n">
        <x:v>9</x:v>
      </x:c>
      <x:c r="L213" s="36" t="str">
        <x:v>lot</x:v>
      </x:c>
      <x:c r="M213" s="39" t="n">
        <x:v>31358.18</x:v>
      </x:c>
      <x:c r="N213" s="39" t="n">
        <x:v>31017.34</x:v>
      </x:c>
      <x:c r="O213" s="39" t="n">
        <x:v>282223.62</x:v>
      </x:c>
      <x:c r="P213" s="39" t="n">
        <x:v>279156.06</x:v>
      </x:c>
      <x:c r="Q213" s="39" t="n">
        <x:v>3067.56</x:v>
      </x:c>
      <x:c r="R213" s="40" t="n">
        <x:v>1.1</x:v>
      </x:c>
      <x:c r="S213" s="41" t="n">
        <x:v>49</x:v>
      </x:c>
      <x:c r="T213" s="36" t="str">
        <x:v>Yes</x:v>
      </x:c>
      <x:c r="U213" s="36" t="str">
        <x:v>Cancelled</x:v>
      </x:c>
    </x:row>
    <x:row r="214">
      <x:c r="A214" s="36" t="str">
        <x:v>PO-2025-0213</x:v>
      </x:c>
      <x:c r="B214" s="37" t="n">
        <x:v>45930</x:v>
      </x:c>
      <x:c r="C214" s="36" t="str">
        <x:v>September</x:v>
      </x:c>
      <x:c r="D214" s="36" t="str">
        <x:v>University District Residential Phase 3</x:v>
      </x:c>
      <x:c r="E214" s="36" t="str">
        <x:v>Calgary SW</x:v>
      </x:c>
      <x:c r="F214" s="36" t="str">
        <x:v>Priya Sharma</x:v>
      </x:c>
      <x:c r="G214" s="36" t="str">
        <x:v>Civil Works</x:v>
      </x:c>
      <x:c r="H214" s="36" t="str">
        <x:v>Granular Backfill</x:v>
      </x:c>
      <x:c r="I214" s="36" t="str">
        <x:v>EllisDon Civil</x:v>
      </x:c>
      <x:c r="J214" s="36" t="str">
        <x:v>LPO – Direct Award</x:v>
      </x:c>
      <x:c r="K214" s="38" t="n">
        <x:v>61</x:v>
      </x:c>
      <x:c r="L214" s="36" t="str">
        <x:v>m³</x:v>
      </x:c>
      <x:c r="M214" s="39" t="n">
        <x:v>164.48</x:v>
      </x:c>
      <x:c r="N214" s="39" t="n">
        <x:v>184.31</x:v>
      </x:c>
      <x:c r="O214" s="39" t="n">
        <x:v>10033.28</x:v>
      </x:c>
      <x:c r="P214" s="39" t="n">
        <x:v>11242.91</x:v>
      </x:c>
      <x:c r="Q214" s="39" t="n">
        <x:v>-1209.63</x:v>
      </x:c>
      <x:c r="R214" s="40" t="n">
        <x:v>-10.8</x:v>
      </x:c>
      <x:c r="S214" s="41" t="n">
        <x:v>84</x:v>
      </x:c>
      <x:c r="T214" s="36" t="str">
        <x:v>Yes</x:v>
      </x:c>
      <x:c r="U214" s="36" t="str">
        <x:v>Cancelled</x:v>
      </x:c>
    </x:row>
    <x:row r="215">
      <x:c r="A215" s="36" t="str">
        <x:v>PO-2025-0214</x:v>
      </x:c>
      <x:c r="B215" s="37" t="n">
        <x:v>45914</x:v>
      </x:c>
      <x:c r="C215" s="36" t="str">
        <x:v>September</x:v>
      </x:c>
      <x:c r="D215" s="36" t="str">
        <x:v>Quarry Park Mixed-Use Development</x:v>
      </x:c>
      <x:c r="E215" s="36" t="str">
        <x:v>Rocky View County</x:v>
      </x:c>
      <x:c r="F215" s="36" t="str">
        <x:v>Sarah Bouchard</x:v>
      </x:c>
      <x:c r="G215" s="36" t="str">
        <x:v>Concrete &amp; Structural</x:v>
      </x:c>
      <x:c r="H215" s="36" t="str">
        <x:v>Post-Tension Cables</x:v>
      </x:c>
      <x:c r="I215" s="36" t="str">
        <x:v>Lafarge Canada - Calgary</x:v>
      </x:c>
      <x:c r="J215" s="36" t="str">
        <x:v>3-Quote Comparison</x:v>
      </x:c>
      <x:c r="K215" s="38" t="n">
        <x:v>8</x:v>
      </x:c>
      <x:c r="L215" s="36" t="str">
        <x:v>m³</x:v>
      </x:c>
      <x:c r="M215" s="39" t="n">
        <x:v>570.05</x:v>
      </x:c>
      <x:c r="N215" s="39" t="n">
        <x:v>623.51</x:v>
      </x:c>
      <x:c r="O215" s="39" t="n">
        <x:v>4560.4</x:v>
      </x:c>
      <x:c r="P215" s="39" t="n">
        <x:v>4988.08</x:v>
      </x:c>
      <x:c r="Q215" s="39" t="n">
        <x:v>-427.68</x:v>
      </x:c>
      <x:c r="R215" s="40" t="n">
        <x:v>-8.6</x:v>
      </x:c>
      <x:c r="S215" s="41" t="n">
        <x:v>27</x:v>
      </x:c>
      <x:c r="T215" s="36" t="str">
        <x:v>Yes</x:v>
      </x:c>
      <x:c r="U215" s="36" t="str">
        <x:v>Delivered</x:v>
      </x:c>
    </x:row>
    <x:row r="216">
      <x:c r="A216" s="36" t="str">
        <x:v>PO-2025-0215</x:v>
      </x:c>
      <x:c r="B216" s="37" t="n">
        <x:v>45957</x:v>
      </x:c>
      <x:c r="C216" s="36" t="str">
        <x:v>October</x:v>
      </x:c>
      <x:c r="D216" s="36" t="str">
        <x:v>Rocky View Industrial Logistics Hub</x:v>
      </x:c>
      <x:c r="E216" s="36" t="str">
        <x:v>Calgary SE</x:v>
      </x:c>
      <x:c r="F216" s="36" t="str">
        <x:v>Aisha Nkosi</x:v>
      </x:c>
      <x:c r="G216" s="36" t="str">
        <x:v>Safety &amp; Temp Works</x:v>
      </x:c>
      <x:c r="H216" s="36" t="str">
        <x:v>Site Hoarding &amp; Fencing</x:v>
      </x:c>
      <x:c r="I216" s="36" t="str">
        <x:v>BrandSafway Canada</x:v>
      </x:c>
      <x:c r="J216" s="36" t="str">
        <x:v>LPO – Direct Award</x:v>
      </x:c>
      <x:c r="K216" s="38" t="n">
        <x:v>14</x:v>
      </x:c>
      <x:c r="L216" s="36" t="str">
        <x:v>lot</x:v>
      </x:c>
      <x:c r="M216" s="39" t="n">
        <x:v>9160.14</x:v>
      </x:c>
      <x:c r="N216" s="39" t="n">
        <x:v>11191.05</x:v>
      </x:c>
      <x:c r="O216" s="39" t="n">
        <x:v>128241.96</x:v>
      </x:c>
      <x:c r="P216" s="39" t="n">
        <x:v>156674.7</x:v>
      </x:c>
      <x:c r="Q216" s="39" t="n">
        <x:v>-28432.74</x:v>
      </x:c>
      <x:c r="R216" s="40" t="n">
        <x:v>-18.1</x:v>
      </x:c>
      <x:c r="S216" s="41" t="n">
        <x:v>28</x:v>
      </x:c>
      <x:c r="T216" s="36" t="str">
        <x:v>Yes</x:v>
      </x:c>
      <x:c r="U216" s="36" t="str">
        <x:v>Delivered</x:v>
      </x:c>
    </x:row>
    <x:row r="217">
      <x:c r="A217" s="36" t="str">
        <x:v>PO-2025-0216</x:v>
      </x:c>
      <x:c r="B217" s="37" t="n">
        <x:v>45939</x:v>
      </x:c>
      <x:c r="C217" s="36" t="str">
        <x:v>October</x:v>
      </x:c>
      <x:c r="D217" s="36" t="str">
        <x:v>Calgary SE Ring Road Extension</x:v>
      </x:c>
      <x:c r="E217" s="36" t="str">
        <x:v>Calgary NE</x:v>
      </x:c>
      <x:c r="F217" s="36" t="str">
        <x:v>James Okafor</x:v>
      </x:c>
      <x:c r="G217" s="36" t="str">
        <x:v>MEP - Electrical</x:v>
      </x:c>
      <x:c r="H217" s="36" t="str">
        <x:v>Grounding System</x:v>
      </x:c>
      <x:c r="I217" s="36" t="str">
        <x:v>Flint Energy Services</x:v>
      </x:c>
      <x:c r="J217" s="36" t="str">
        <x:v>Standing Offer Agreement</x:v>
      </x:c>
      <x:c r="K217" s="38" t="n">
        <x:v>101</x:v>
      </x:c>
      <x:c r="L217" s="36" t="str">
        <x:v>lot</x:v>
      </x:c>
      <x:c r="M217" s="39" t="n">
        <x:v>46244.92</x:v>
      </x:c>
      <x:c r="N217" s="39" t="n">
        <x:v>52849.33</x:v>
      </x:c>
      <x:c r="O217" s="39" t="n">
        <x:v>4670736.92</x:v>
      </x:c>
      <x:c r="P217" s="39" t="n">
        <x:v>5337782.33</x:v>
      </x:c>
      <x:c r="Q217" s="39" t="n">
        <x:v>-667045.41</x:v>
      </x:c>
      <x:c r="R217" s="40" t="n">
        <x:v>-12.5</x:v>
      </x:c>
      <x:c r="S217" s="41" t="n">
        <x:v>55</x:v>
      </x:c>
      <x:c r="T217" s="36" t="str">
        <x:v>Yes</x:v>
      </x:c>
      <x:c r="U217" s="36" t="str">
        <x:v>Delivered</x:v>
      </x:c>
    </x:row>
    <x:row r="218">
      <x:c r="A218" s="36" t="str">
        <x:v>PO-2025-0217</x:v>
      </x:c>
      <x:c r="B218" s="37" t="n">
        <x:v>45973</x:v>
      </x:c>
      <x:c r="C218" s="36" t="str">
        <x:v>November</x:v>
      </x:c>
      <x:c r="D218" s="36" t="str">
        <x:v>University District Residential Phase 3</x:v>
      </x:c>
      <x:c r="E218" s="36" t="str">
        <x:v>Calgary NE</x:v>
      </x:c>
      <x:c r="F218" s="36" t="str">
        <x:v>Sarah Bouchard</x:v>
      </x:c>
      <x:c r="G218" s="36" t="str">
        <x:v>Concrete &amp; Structural</x:v>
      </x:c>
      <x:c r="H218" s="36" t="str">
        <x:v>Post-Tension Cables</x:v>
      </x:c>
      <x:c r="I218" s="36" t="str">
        <x:v>Inland Concrete</x:v>
      </x:c>
      <x:c r="J218" s="36" t="str">
        <x:v>LPO – Direct Award</x:v>
      </x:c>
      <x:c r="K218" s="38" t="n">
        <x:v>52</x:v>
      </x:c>
      <x:c r="L218" s="36" t="str">
        <x:v>m³</x:v>
      </x:c>
      <x:c r="M218" s="39" t="n">
        <x:v>478.05</x:v>
      </x:c>
      <x:c r="N218" s="39" t="n">
        <x:v>414.18</x:v>
      </x:c>
      <x:c r="O218" s="39" t="n">
        <x:v>24858.6</x:v>
      </x:c>
      <x:c r="P218" s="39" t="n">
        <x:v>21537.36</x:v>
      </x:c>
      <x:c r="Q218" s="39" t="n">
        <x:v>3321.24</x:v>
      </x:c>
      <x:c r="R218" s="40" t="n">
        <x:v>15.4</x:v>
      </x:c>
      <x:c r="S218" s="41" t="n">
        <x:v>13</x:v>
      </x:c>
      <x:c r="T218" s="36" t="str">
        <x:v>Yes</x:v>
      </x:c>
      <x:c r="U218" s="36" t="str">
        <x:v>Cancelled</x:v>
      </x:c>
    </x:row>
    <x:row r="219">
      <x:c r="A219" s="36" t="str">
        <x:v>PO-2025-0218</x:v>
      </x:c>
      <x:c r="B219" s="37" t="n">
        <x:v>45897</x:v>
      </x:c>
      <x:c r="C219" s="36" t="str">
        <x:v>August</x:v>
      </x:c>
      <x:c r="D219" s="36" t="str">
        <x:v>Springbank Off-Stream Reservoir</x:v>
      </x:c>
      <x:c r="E219" s="36" t="str">
        <x:v>Calgary NE</x:v>
      </x:c>
      <x:c r="F219" s="36" t="str">
        <x:v>Linda Tran</x:v>
      </x:c>
      <x:c r="G219" s="36" t="str">
        <x:v>MEP - Mechanical</x:v>
      </x:c>
      <x:c r="H219" s="36" t="str">
        <x:v>Boiler System</x:v>
      </x:c>
      <x:c r="I219" s="36" t="str">
        <x:v>Stantec MEP</x:v>
      </x:c>
      <x:c r="J219" s="36" t="str">
        <x:v>LPO – Direct Award</x:v>
      </x:c>
      <x:c r="K219" s="38" t="n">
        <x:v>3</x:v>
      </x:c>
      <x:c r="L219" s="36" t="str">
        <x:v>lot</x:v>
      </x:c>
      <x:c r="M219" s="39" t="n">
        <x:v>36550</x:v>
      </x:c>
      <x:c r="N219" s="39" t="n">
        <x:v>34501.71</x:v>
      </x:c>
      <x:c r="O219" s="39" t="n">
        <x:v>109650</x:v>
      </x:c>
      <x:c r="P219" s="39" t="n">
        <x:v>103505.13</x:v>
      </x:c>
      <x:c r="Q219" s="39" t="n">
        <x:v>6144.87</x:v>
      </x:c>
      <x:c r="R219" s="40" t="n">
        <x:v>5.9</x:v>
      </x:c>
      <x:c r="S219" s="41" t="n">
        <x:v>69</x:v>
      </x:c>
      <x:c r="T219" s="36" t="str">
        <x:v>Yes</x:v>
      </x:c>
      <x:c r="U219" s="36" t="str">
        <x:v>Cancelled</x:v>
      </x:c>
    </x:row>
    <x:row r="220">
      <x:c r="A220" s="36" t="str">
        <x:v>PO-2025-0219</x:v>
      </x:c>
      <x:c r="B220" s="37" t="n">
        <x:v>45862</x:v>
      </x:c>
      <x:c r="C220" s="36" t="str">
        <x:v>July</x:v>
      </x:c>
      <x:c r="D220" s="36" t="str">
        <x:v>Foothills Medical Centre Expansion</x:v>
      </x:c>
      <x:c r="E220" s="36" t="str">
        <x:v>Calgary SE</x:v>
      </x:c>
      <x:c r="F220" s="36" t="str">
        <x:v>Aisha Nkosi</x:v>
      </x:c>
      <x:c r="G220" s="36" t="str">
        <x:v>Concrete &amp; Structural</x:v>
      </x:c>
      <x:c r="H220" s="36" t="str">
        <x:v>Ready-Mix Concrete</x:v>
      </x:c>
      <x:c r="I220" s="36" t="str">
        <x:v>Alberta Precast</x:v>
      </x:c>
      <x:c r="J220" s="36" t="str">
        <x:v>3-Quote Comparison</x:v>
      </x:c>
      <x:c r="K220" s="38" t="n">
        <x:v>56</x:v>
      </x:c>
      <x:c r="L220" s="36" t="str">
        <x:v>m³</x:v>
      </x:c>
      <x:c r="M220" s="39" t="n">
        <x:v>381.92</x:v>
      </x:c>
      <x:c r="N220" s="39" t="n">
        <x:v>358.16</x:v>
      </x:c>
      <x:c r="O220" s="39" t="n">
        <x:v>21387.52</x:v>
      </x:c>
      <x:c r="P220" s="39" t="n">
        <x:v>20056.96</x:v>
      </x:c>
      <x:c r="Q220" s="39" t="n">
        <x:v>1330.56</x:v>
      </x:c>
      <x:c r="R220" s="40" t="n">
        <x:v>6.6</x:v>
      </x:c>
      <x:c r="S220" s="41" t="n">
        <x:v>59</x:v>
      </x:c>
      <x:c r="T220" s="36" t="str">
        <x:v>Yes</x:v>
      </x:c>
      <x:c r="U220" s="36" t="str">
        <x:v>Pending</x:v>
      </x:c>
    </x:row>
    <x:row r="221">
      <x:c r="A221" s="36" t="str">
        <x:v>PO-2025-0220</x:v>
      </x:c>
      <x:c r="B221" s="37" t="n">
        <x:v>45669</x:v>
      </x:c>
      <x:c r="C221" s="36" t="str">
        <x:v>January</x:v>
      </x:c>
      <x:c r="D221" s="36" t="str">
        <x:v>University District Residential Phase 3</x:v>
      </x:c>
      <x:c r="E221" s="36" t="str">
        <x:v>Calgary SE</x:v>
      </x:c>
      <x:c r="F221" s="36" t="str">
        <x:v>Aisha Nkosi</x:v>
      </x:c>
      <x:c r="G221" s="36" t="str">
        <x:v>Finishing</x:v>
      </x:c>
      <x:c r="H221" s="36" t="str">
        <x:v>Ceramic Floor Tile</x:v>
      </x:c>
      <x:c r="I221" s="36" t="str">
        <x:v>Dryvit Systems Canada</x:v>
      </x:c>
      <x:c r="J221" s="36" t="str">
        <x:v>Emergency Procurement</x:v>
      </x:c>
      <x:c r="K221" s="38" t="n">
        <x:v>49</x:v>
      </x:c>
      <x:c r="L221" s="36" t="str">
        <x:v>m²</x:v>
      </x:c>
      <x:c r="M221" s="39" t="n">
        <x:v>241.87</x:v>
      </x:c>
      <x:c r="N221" s="39" t="n">
        <x:v>270.31</x:v>
      </x:c>
      <x:c r="O221" s="39" t="n">
        <x:v>11851.63</x:v>
      </x:c>
      <x:c r="P221" s="39" t="n">
        <x:v>13245.19</x:v>
      </x:c>
      <x:c r="Q221" s="39" t="n">
        <x:v>-1393.56</x:v>
      </x:c>
      <x:c r="R221" s="40" t="n">
        <x:v>-10.5</x:v>
      </x:c>
      <x:c r="S221" s="41" t="n">
        <x:v>68</x:v>
      </x:c>
      <x:c r="T221" s="36" t="str">
        <x:v>Yes</x:v>
      </x:c>
      <x:c r="U221" s="36" t="str">
        <x:v>Partially Delivered</x:v>
      </x:c>
    </x:row>
    <x:row r="222">
      <x:c r="A222" s="36" t="str">
        <x:v>PO-2025-0221</x:v>
      </x:c>
      <x:c r="B222" s="37" t="n">
        <x:v>45696</x:v>
      </x:c>
      <x:c r="C222" s="36" t="str">
        <x:v>February</x:v>
      </x:c>
      <x:c r="D222" s="36" t="str">
        <x:v>Foothills Medical Centre Expansion</x:v>
      </x:c>
      <x:c r="E222" s="36" t="str">
        <x:v>Calgary SE</x:v>
      </x:c>
      <x:c r="F222" s="36" t="str">
        <x:v>Derek McLean</x:v>
      </x:c>
      <x:c r="G222" s="36" t="str">
        <x:v>MEP - Mechanical</x:v>
      </x:c>
      <x:c r="H222" s="36" t="str">
        <x:v>Insulated Pipework</x:v>
      </x:c>
      <x:c r="I222" s="36" t="str">
        <x:v>Stantec MEP</x:v>
      </x:c>
      <x:c r="J222" s="36" t="str">
        <x:v>3-Quote Comparison</x:v>
      </x:c>
      <x:c r="K222" s="38" t="n">
        <x:v>29</x:v>
      </x:c>
      <x:c r="L222" s="36" t="str">
        <x:v>lot</x:v>
      </x:c>
      <x:c r="M222" s="39" t="n">
        <x:v>65940.23</x:v>
      </x:c>
      <x:c r="N222" s="39" t="n">
        <x:v>71761.09</x:v>
      </x:c>
      <x:c r="O222" s="39" t="n">
        <x:v>1912266.67</x:v>
      </x:c>
      <x:c r="P222" s="39" t="n">
        <x:v>2081071.61</x:v>
      </x:c>
      <x:c r="Q222" s="39" t="n">
        <x:v>-168804.94</x:v>
      </x:c>
      <x:c r="R222" s="40" t="n">
        <x:v>-8.1</x:v>
      </x:c>
      <x:c r="S222" s="41" t="n">
        <x:v>14</x:v>
      </x:c>
      <x:c r="T222" s="36" t="str">
        <x:v>Yes</x:v>
      </x:c>
      <x:c r="U222" s="36" t="str">
        <x:v>Cancelled</x:v>
      </x:c>
    </x:row>
    <x:row r="223">
      <x:c r="A223" s="36" t="str">
        <x:v>PO-2025-0222</x:v>
      </x:c>
      <x:c r="B223" s="37" t="n">
        <x:v>45832</x:v>
      </x:c>
      <x:c r="C223" s="36" t="str">
        <x:v>June</x:v>
      </x:c>
      <x:c r="D223" s="36" t="str">
        <x:v>Springbank Off-Stream Reservoir</x:v>
      </x:c>
      <x:c r="E223" s="36" t="str">
        <x:v>Rocky View County</x:v>
      </x:c>
      <x:c r="F223" s="36" t="str">
        <x:v>Derek McLean</x:v>
      </x:c>
      <x:c r="G223" s="36" t="str">
        <x:v>Concrete &amp; Structural</x:v>
      </x:c>
      <x:c r="H223" s="36" t="str">
        <x:v>Structural Formwork</x:v>
      </x:c>
      <x:c r="I223" s="36" t="str">
        <x:v>Alberta Precast</x:v>
      </x:c>
      <x:c r="J223" s="36" t="str">
        <x:v>Tender – Open</x:v>
      </x:c>
      <x:c r="K223" s="38" t="n">
        <x:v>49</x:v>
      </x:c>
      <x:c r="L223" s="36" t="str">
        <x:v>m³</x:v>
      </x:c>
      <x:c r="M223" s="39" t="n">
        <x:v>252.45</x:v>
      </x:c>
      <x:c r="N223" s="39" t="n">
        <x:v>238.3</x:v>
      </x:c>
      <x:c r="O223" s="39" t="n">
        <x:v>12370.05</x:v>
      </x:c>
      <x:c r="P223" s="39" t="n">
        <x:v>11676.7</x:v>
      </x:c>
      <x:c r="Q223" s="39" t="n">
        <x:v>693.35</x:v>
      </x:c>
      <x:c r="R223" s="40" t="n">
        <x:v>5.9</x:v>
      </x:c>
      <x:c r="S223" s="41" t="n">
        <x:v>54</x:v>
      </x:c>
      <x:c r="T223" s="36" t="str">
        <x:v>Yes</x:v>
      </x:c>
      <x:c r="U223" s="36" t="str">
        <x:v>Delivered</x:v>
      </x:c>
    </x:row>
    <x:row r="224">
      <x:c r="A224" s="36" t="str">
        <x:v>PO-2025-0223</x:v>
      </x:c>
      <x:c r="B224" s="37" t="n">
        <x:v>45880</x:v>
      </x:c>
      <x:c r="C224" s="36" t="str">
        <x:v>August</x:v>
      </x:c>
      <x:c r="D224" s="36" t="str">
        <x:v>Bow River Crossing Overpass</x:v>
      </x:c>
      <x:c r="E224" s="36" t="str">
        <x:v>Rocky View County</x:v>
      </x:c>
      <x:c r="F224" s="36" t="str">
        <x:v>Derek McLean</x:v>
      </x:c>
      <x:c r="G224" s="36" t="str">
        <x:v>Finishing</x:v>
      </x:c>
      <x:c r="H224" s="36" t="str">
        <x:v>Ceramic Floor Tile</x:v>
      </x:c>
      <x:c r="I224" s="36" t="str">
        <x:v>Armstrong World Industries</x:v>
      </x:c>
      <x:c r="J224" s="36" t="str">
        <x:v>LPO – Direct Award</x:v>
      </x:c>
      <x:c r="K224" s="38" t="n">
        <x:v>92</x:v>
      </x:c>
      <x:c r="L224" s="36" t="str">
        <x:v>m²</x:v>
      </x:c>
      <x:c r="M224" s="39" t="n">
        <x:f>ROUND(O224/K224,2)</x:f>
        <x:v>296.14</x:v>
      </x:c>
      <x:c r="N224" s="39" t="n">
        <x:v>334.84</x:v>
      </x:c>
      <x:c r="O224" s="39" t="n">
        <x:f>ROUND(P224+Q224,2)</x:f>
        <x:v>27244.88</x:v>
      </x:c>
      <x:c r="P224" s="39" t="n">
        <x:v>30805.28</x:v>
      </x:c>
      <x:c r="Q224" s="39" t="n">
        <x:v>-3560.4</x:v>
      </x:c>
      <x:c r="R224" s="40" t="n">
        <x:v>-11.6</x:v>
      </x:c>
      <x:c r="S224" s="41" t="n">
        <x:v>47</x:v>
      </x:c>
      <x:c r="T224" s="36" t="str">
        <x:v>Yes</x:v>
      </x:c>
      <x:c r="U224" s="36" t="str">
        <x:v>Pending</x:v>
      </x:c>
    </x:row>
    <x:row r="225">
      <x:c r="A225" s="36" t="str">
        <x:v>PO-2025-0224</x:v>
      </x:c>
      <x:c r="B225" s="37" t="n">
        <x:v>45902</x:v>
      </x:c>
      <x:c r="C225" s="36" t="str">
        <x:v>September</x:v>
      </x:c>
      <x:c r="D225" s="36" t="str">
        <x:v>Quarry Park Mixed-Use Development</x:v>
      </x:c>
      <x:c r="E225" s="36" t="str">
        <x:v>Calgary SE</x:v>
      </x:c>
      <x:c r="F225" s="36" t="str">
        <x:v>James Okafor</x:v>
      </x:c>
      <x:c r="G225" s="36" t="str">
        <x:v>Safety &amp; Temp Works</x:v>
      </x:c>
      <x:c r="H225" s="36" t="str">
        <x:v>Site Office Trailer</x:v>
      </x:c>
      <x:c r="I225" s="36" t="str">
        <x:v>Sunbelt Rentals Canada</x:v>
      </x:c>
      <x:c r="J225" s="36" t="str">
        <x:v>LPO – Direct Award</x:v>
      </x:c>
      <x:c r="K225" s="38" t="n">
        <x:v>100</x:v>
      </x:c>
      <x:c r="L225" s="36" t="str">
        <x:v>lot</x:v>
      </x:c>
      <x:c r="M225" s="39" t="n">
        <x:v>3506.87</x:v>
      </x:c>
      <x:c r="N225" s="39" t="n">
        <x:v>3794.96</x:v>
      </x:c>
      <x:c r="O225" s="39" t="n">
        <x:v>350687</x:v>
      </x:c>
      <x:c r="P225" s="39" t="n">
        <x:v>379496</x:v>
      </x:c>
      <x:c r="Q225" s="39" t="n">
        <x:v>-28809</x:v>
      </x:c>
      <x:c r="R225" s="40" t="n">
        <x:v>-7.6</x:v>
      </x:c>
      <x:c r="S225" s="41" t="n">
        <x:v>69</x:v>
      </x:c>
      <x:c r="T225" s="36" t="str">
        <x:v>Yes</x:v>
      </x:c>
      <x:c r="U225" s="36" t="str">
        <x:v>Delivered</x:v>
      </x:c>
    </x:row>
    <x:row r="226">
      <x:c r="A226" s="36" t="str">
        <x:v>PO-2025-0225</x:v>
      </x:c>
      <x:c r="B226" s="37" t="n">
        <x:v>45948</x:v>
      </x:c>
      <x:c r="C226" s="36" t="str">
        <x:v>October</x:v>
      </x:c>
      <x:c r="D226" s="36" t="str">
        <x:v>Rocky View Industrial Logistics Hub</x:v>
      </x:c>
      <x:c r="E226" s="36" t="str">
        <x:v>Rocky View County</x:v>
      </x:c>
      <x:c r="F226" s="36" t="str">
        <x:v>Aisha Nkosi</x:v>
      </x:c>
      <x:c r="G226" s="36" t="str">
        <x:v>MEP - Electrical</x:v>
      </x:c>
      <x:c r="H226" s="36" t="str">
        <x:v>LV Switchgear Panel</x:v>
      </x:c>
      <x:c r="I226" s="36" t="str">
        <x:v>Flint Energy Services</x:v>
      </x:c>
      <x:c r="J226" s="36" t="str">
        <x:v>Tender – Open</x:v>
      </x:c>
      <x:c r="K226" s="38" t="n">
        <x:v>54</x:v>
      </x:c>
      <x:c r="L226" s="36" t="str">
        <x:v>lot</x:v>
      </x:c>
      <x:c r="M226" s="39" t="n">
        <x:v>81817.59</x:v>
      </x:c>
      <x:c r="N226" s="39" t="n">
        <x:v>91380.69</x:v>
      </x:c>
      <x:c r="O226" s="39" t="n">
        <x:v>4418149.86</x:v>
      </x:c>
      <x:c r="P226" s="39" t="n">
        <x:v>4934557.26</x:v>
      </x:c>
      <x:c r="Q226" s="39" t="n">
        <x:v>-516407.4</x:v>
      </x:c>
      <x:c r="R226" s="40" t="n">
        <x:v>-10.5</x:v>
      </x:c>
      <x:c r="S226" s="41" t="n">
        <x:v>16</x:v>
      </x:c>
      <x:c r="T226" s="36" t="str">
        <x:v>Yes</x:v>
      </x:c>
      <x:c r="U226" s="36" t="str">
        <x:v>Partially Delivered</x:v>
      </x:c>
    </x:row>
    <x:row r="227">
      <x:c r="A227" s="36" t="str">
        <x:v>PO-2025-0226</x:v>
      </x:c>
      <x:c r="B227" s="37" t="n">
        <x:v>45894</x:v>
      </x:c>
      <x:c r="C227" s="36" t="str">
        <x:v>August</x:v>
      </x:c>
      <x:c r="D227" s="36" t="str">
        <x:v>Deerfoot Trail Widening - North</x:v>
      </x:c>
      <x:c r="E227" s="36" t="str">
        <x:v>Rocky View County</x:v>
      </x:c>
      <x:c r="F227" s="36" t="str">
        <x:v>Linda Tran</x:v>
      </x:c>
      <x:c r="G227" s="36" t="str">
        <x:v>Finishing</x:v>
      </x:c>
      <x:c r="H227" s="36" t="str">
        <x:v>Ceramic Floor Tile</x:v>
      </x:c>
      <x:c r="I227" s="36" t="str">
        <x:v>Tremco Roofing</x:v>
      </x:c>
      <x:c r="J227" s="36" t="str">
        <x:v>Standing Offer Agreement</x:v>
      </x:c>
      <x:c r="K227" s="38" t="n">
        <x:v>10</x:v>
      </x:c>
      <x:c r="L227" s="36" t="str">
        <x:v>m²</x:v>
      </x:c>
      <x:c r="M227" s="39" t="n">
        <x:v>363.57</x:v>
      </x:c>
      <x:c r="N227" s="39" t="n">
        <x:v>313.92</x:v>
      </x:c>
      <x:c r="O227" s="39" t="n">
        <x:v>3635.7</x:v>
      </x:c>
      <x:c r="P227" s="39" t="n">
        <x:v>3139.2</x:v>
      </x:c>
      <x:c r="Q227" s="39" t="n">
        <x:v>496.5</x:v>
      </x:c>
      <x:c r="R227" s="40" t="n">
        <x:v>15.8</x:v>
      </x:c>
      <x:c r="S227" s="41" t="n">
        <x:v>73</x:v>
      </x:c>
      <x:c r="T227" s="36" t="str">
        <x:v>Yes</x:v>
      </x:c>
      <x:c r="U227" s="36" t="str">
        <x:v>Cancelled</x:v>
      </x:c>
    </x:row>
    <x:row r="228">
      <x:c r="A228" s="36" t="str">
        <x:v>PO-2025-0227</x:v>
      </x:c>
      <x:c r="B228" s="37" t="n">
        <x:v>45844</x:v>
      </x:c>
      <x:c r="C228" s="36" t="str">
        <x:v>July</x:v>
      </x:c>
      <x:c r="D228" s="36" t="str">
        <x:v>Foothills Medical Centre Expansion</x:v>
      </x:c>
      <x:c r="E228" s="36" t="str">
        <x:v>Rocky View County</x:v>
      </x:c>
      <x:c r="F228" s="36" t="str">
        <x:v>Linda Tran</x:v>
      </x:c>
      <x:c r="G228" s="36" t="str">
        <x:v>Safety &amp; Temp Works</x:v>
      </x:c>
      <x:c r="H228" s="36" t="str">
        <x:v>Fall Protection Netting</x:v>
      </x:c>
      <x:c r="I228" s="36" t="str">
        <x:v>Safway Alberta</x:v>
      </x:c>
      <x:c r="J228" s="36" t="str">
        <x:v>Emergency Procurement</x:v>
      </x:c>
      <x:c r="K228" s="38" t="n">
        <x:v>4</x:v>
      </x:c>
      <x:c r="L228" s="36" t="str">
        <x:v>lot</x:v>
      </x:c>
      <x:c r="M228" s="39" t="n">
        <x:v>11162.95</x:v>
      </x:c>
      <x:c r="N228" s="39" t="n">
        <x:v>11888.65</x:v>
      </x:c>
      <x:c r="O228" s="39" t="n">
        <x:v>44651.8</x:v>
      </x:c>
      <x:c r="P228" s="39" t="n">
        <x:v>47554.6</x:v>
      </x:c>
      <x:c r="Q228" s="39" t="n">
        <x:v>-2902.8</x:v>
      </x:c>
      <x:c r="R228" s="40" t="n">
        <x:v>-6.1</x:v>
      </x:c>
      <x:c r="S228" s="41" t="n">
        <x:v>54</x:v>
      </x:c>
      <x:c r="T228" s="36" t="str">
        <x:v>Yes</x:v>
      </x:c>
      <x:c r="U228" s="36" t="str">
        <x:v>Delivered</x:v>
      </x:c>
    </x:row>
    <x:row r="229">
      <x:c r="A229" s="36" t="str">
        <x:v>PO-2025-0228</x:v>
      </x:c>
      <x:c r="B229" s="37" t="n">
        <x:v>45817</x:v>
      </x:c>
      <x:c r="C229" s="36" t="str">
        <x:v>June</x:v>
      </x:c>
      <x:c r="D229" s="36" t="str">
        <x:v>Springbank Off-Stream Reservoir</x:v>
      </x:c>
      <x:c r="E229" s="36" t="str">
        <x:v>Calgary SW</x:v>
      </x:c>
      <x:c r="F229" s="36" t="str">
        <x:v>Priya Sharma</x:v>
      </x:c>
      <x:c r="G229" s="36" t="str">
        <x:v>MEP - Mechanical</x:v>
      </x:c>
      <x:c r="H229" s="36" t="str">
        <x:v>Boiler System</x:v>
      </x:c>
      <x:c r="I229" s="36" t="str">
        <x:v>Johnson Controls Alberta</x:v>
      </x:c>
      <x:c r="J229" s="36" t="str">
        <x:v>LPO – Direct Award</x:v>
      </x:c>
      <x:c r="K229" s="38" t="n">
        <x:v>4</x:v>
      </x:c>
      <x:c r="L229" s="36" t="str">
        <x:v>lot</x:v>
      </x:c>
      <x:c r="M229" s="39" t="n">
        <x:v>64423.07</x:v>
      </x:c>
      <x:c r="N229" s="39" t="n">
        <x:v>73495.04</x:v>
      </x:c>
      <x:c r="O229" s="39" t="n">
        <x:v>257692.28</x:v>
      </x:c>
      <x:c r="P229" s="39" t="n">
        <x:v>293980.16</x:v>
      </x:c>
      <x:c r="Q229" s="39" t="n">
        <x:v>-36287.88</x:v>
      </x:c>
      <x:c r="R229" s="40" t="n">
        <x:v>-12.3</x:v>
      </x:c>
      <x:c r="S229" s="41" t="n">
        <x:v>37</x:v>
      </x:c>
      <x:c r="T229" s="36" t="str">
        <x:v>No</x:v>
      </x:c>
      <x:c r="U229" s="36" t="str">
        <x:v>Delivered</x:v>
      </x:c>
    </x:row>
    <x:row r="230">
      <x:c r="A230" s="36" t="str">
        <x:v>PO-2025-0229</x:v>
      </x:c>
      <x:c r="B230" s="37" t="n">
        <x:v>45956</x:v>
      </x:c>
      <x:c r="C230" s="36" t="str">
        <x:v>October</x:v>
      </x:c>
      <x:c r="D230" s="36" t="str">
        <x:v>Bow River Crossing Overpass</x:v>
      </x:c>
      <x:c r="E230" s="36" t="str">
        <x:v>Calgary SE</x:v>
      </x:c>
      <x:c r="F230" s="36" t="str">
        <x:v>Linda Tran</x:v>
      </x:c>
      <x:c r="G230" s="36" t="str">
        <x:v>MEP - Electrical</x:v>
      </x:c>
      <x:c r="H230" s="36" t="str">
        <x:v>LV Switchgear Panel</x:v>
      </x:c>
      <x:c r="I230" s="36" t="str">
        <x:v>Stuart Olson Electrical</x:v>
      </x:c>
      <x:c r="J230" s="36" t="str">
        <x:v>Tender – Open</x:v>
      </x:c>
      <x:c r="K230" s="38" t="n">
        <x:v>116</x:v>
      </x:c>
      <x:c r="L230" s="36" t="str">
        <x:v>lot</x:v>
      </x:c>
      <x:c r="M230" s="39" t="n">
        <x:v>73566.01</x:v>
      </x:c>
      <x:c r="N230" s="39" t="n">
        <x:v>69372.09</x:v>
      </x:c>
      <x:c r="O230" s="39" t="n">
        <x:v>8533657.16</x:v>
      </x:c>
      <x:c r="P230" s="39" t="n">
        <x:v>8047162.44</x:v>
      </x:c>
      <x:c r="Q230" s="39" t="n">
        <x:v>486494.72</x:v>
      </x:c>
      <x:c r="R230" s="40" t="n">
        <x:v>6</x:v>
      </x:c>
      <x:c r="S230" s="41" t="n">
        <x:v>64</x:v>
      </x:c>
      <x:c r="T230" s="36" t="str">
        <x:v>Yes</x:v>
      </x:c>
      <x:c r="U230" s="36" t="str">
        <x:v>Delivered</x:v>
      </x:c>
    </x:row>
    <x:row r="231">
      <x:c r="A231" s="36" t="str">
        <x:v>PO-2025-0230</x:v>
      </x:c>
      <x:c r="B231" s="37" t="n">
        <x:v>45884</x:v>
      </x:c>
      <x:c r="C231" s="36" t="str">
        <x:v>August</x:v>
      </x:c>
      <x:c r="D231" s="36" t="str">
        <x:v>Springbank Off-Stream Reservoir</x:v>
      </x:c>
      <x:c r="E231" s="36" t="str">
        <x:v>Calgary SE</x:v>
      </x:c>
      <x:c r="F231" s="36" t="str">
        <x:v>Sarah Bouchard</x:v>
      </x:c>
      <x:c r="G231" s="36" t="str">
        <x:v>Finishing</x:v>
      </x:c>
      <x:c r="H231" s="36" t="str">
        <x:v>Waterproofing Membrane</x:v>
      </x:c>
      <x:c r="I231" s="36" t="str">
        <x:v>Tremco Roofing</x:v>
      </x:c>
      <x:c r="J231" s="36" t="str">
        <x:v>Emergency Procurement</x:v>
      </x:c>
      <x:c r="K231" s="38" t="n">
        <x:v>80</x:v>
      </x:c>
      <x:c r="L231" s="36" t="str">
        <x:v>m²</x:v>
      </x:c>
      <x:c r="M231" s="39" t="n">
        <x:v>149.09</x:v>
      </x:c>
      <x:c r="N231" s="39" t="n">
        <x:v>146.32</x:v>
      </x:c>
      <x:c r="O231" s="39" t="n">
        <x:v>11927.2</x:v>
      </x:c>
      <x:c r="P231" s="39" t="n">
        <x:v>11705.6</x:v>
      </x:c>
      <x:c r="Q231" s="39" t="n">
        <x:v>221.6</x:v>
      </x:c>
      <x:c r="R231" s="40" t="n">
        <x:v>1.9</x:v>
      </x:c>
      <x:c r="S231" s="41" t="n">
        <x:v>47</x:v>
      </x:c>
      <x:c r="T231" s="36" t="str">
        <x:v>Yes</x:v>
      </x:c>
      <x:c r="U231" s="36" t="str">
        <x:v>Partially Delivered</x:v>
      </x:c>
    </x:row>
    <x:row r="232">
      <x:c r="A232" s="36" t="str">
        <x:v>PO-2025-0231</x:v>
      </x:c>
      <x:c r="B232" s="37" t="n">
        <x:v>45747</x:v>
      </x:c>
      <x:c r="C232" s="36" t="str">
        <x:v>March</x:v>
      </x:c>
      <x:c r="D232" s="36" t="str">
        <x:v>Saddledome Arena Retrofit</x:v>
      </x:c>
      <x:c r="E232" s="36" t="str">
        <x:v>Calgary SW</x:v>
      </x:c>
      <x:c r="F232" s="36" t="str">
        <x:v>Sarah Bouchard</x:v>
      </x:c>
      <x:c r="G232" s="36" t="str">
        <x:v>Civil Works</x:v>
      </x:c>
      <x:c r="H232" s="36" t="str">
        <x:v>Road Base Aggregate</x:v>
      </x:c>
      <x:c r="I232" s="36" t="str">
        <x:v>Kiewit Infrastructure</x:v>
      </x:c>
      <x:c r="J232" s="36" t="str">
        <x:v>Tender – Open</x:v>
      </x:c>
      <x:c r="K232" s="38" t="n">
        <x:v>29</x:v>
      </x:c>
      <x:c r="L232" s="36" t="str">
        <x:v>m³</x:v>
      </x:c>
      <x:c r="M232" s="39" t="n">
        <x:v>277.43</x:v>
      </x:c>
      <x:c r="N232" s="39" t="n">
        <x:v>289.1</x:v>
      </x:c>
      <x:c r="O232" s="39" t="n">
        <x:v>8045.47</x:v>
      </x:c>
      <x:c r="P232" s="39" t="n">
        <x:v>8383.9</x:v>
      </x:c>
      <x:c r="Q232" s="39" t="n">
        <x:v>-338.43</x:v>
      </x:c>
      <x:c r="R232" s="40" t="n">
        <x:v>-4</x:v>
      </x:c>
      <x:c r="S232" s="41" t="n">
        <x:v>11</x:v>
      </x:c>
      <x:c r="T232" s="36" t="str">
        <x:v>No</x:v>
      </x:c>
      <x:c r="U232" s="36" t="str">
        <x:v>Cancelled</x:v>
      </x:c>
    </x:row>
    <x:row r="233">
      <x:c r="A233" s="36" t="str">
        <x:v>PO-2025-0232</x:v>
      </x:c>
      <x:c r="B233" s="37" t="n">
        <x:v>45682</x:v>
      </x:c>
      <x:c r="C233" s="36" t="str">
        <x:v>January</x:v>
      </x:c>
      <x:c r="D233" s="36" t="str">
        <x:v>Calgary SE Ring Road Extension</x:v>
      </x:c>
      <x:c r="E233" s="36" t="str">
        <x:v>Calgary NE</x:v>
      </x:c>
      <x:c r="F233" s="36" t="str">
        <x:v>Linda Tran</x:v>
      </x:c>
      <x:c r="G233" s="36" t="str">
        <x:v>Concrete &amp; Structural</x:v>
      </x:c>
      <x:c r="H233" s="36" t="str">
        <x:v>Rebar Steel</x:v>
      </x:c>
      <x:c r="I233" s="36" t="str">
        <x:v>Lafarge Canada - Calgary</x:v>
      </x:c>
      <x:c r="J233" s="36" t="str">
        <x:v>Standing Offer Agreement</x:v>
      </x:c>
      <x:c r="K233" s="38" t="n">
        <x:v>111</x:v>
      </x:c>
      <x:c r="L233" s="36" t="str">
        <x:v>m³</x:v>
      </x:c>
      <x:c r="M233" s="39" t="n">
        <x:v>492.05</x:v>
      </x:c>
      <x:c r="N233" s="39" t="n">
        <x:v>495.44</x:v>
      </x:c>
      <x:c r="O233" s="39" t="n">
        <x:v>54617.55</x:v>
      </x:c>
      <x:c r="P233" s="39" t="n">
        <x:v>54993.84</x:v>
      </x:c>
      <x:c r="Q233" s="39" t="n">
        <x:v>-376.29</x:v>
      </x:c>
      <x:c r="R233" s="40" t="n">
        <x:v>-0.7</x:v>
      </x:c>
      <x:c r="S233" s="41" t="n">
        <x:v>17</x:v>
      </x:c>
      <x:c r="T233" s="36" t="str">
        <x:v>Yes</x:v>
      </x:c>
      <x:c r="U233" s="36" t="str">
        <x:v>Cancelled</x:v>
      </x:c>
    </x:row>
    <x:row r="234">
      <x:c r="A234" s="36" t="str">
        <x:v>PO-2025-0233</x:v>
      </x:c>
      <x:c r="B234" s="37" t="n">
        <x:v>45972</x:v>
      </x:c>
      <x:c r="C234" s="36" t="str">
        <x:v>November</x:v>
      </x:c>
      <x:c r="D234" s="36" t="str">
        <x:v>Saddledome Arena Retrofit</x:v>
      </x:c>
      <x:c r="E234" s="36" t="str">
        <x:v>Calgary SE</x:v>
      </x:c>
      <x:c r="F234" s="36" t="str">
        <x:v>Liam Kowalski</x:v>
      </x:c>
      <x:c r="G234" s="36" t="str">
        <x:v>Concrete &amp; Structural</x:v>
      </x:c>
      <x:c r="H234" s="36" t="str">
        <x:v>Precast Deck Panels</x:v>
      </x:c>
      <x:c r="I234" s="36" t="str">
        <x:v>Alberta Precast</x:v>
      </x:c>
      <x:c r="J234" s="36" t="str">
        <x:v>Standing Offer Agreement</x:v>
      </x:c>
      <x:c r="K234" s="38" t="n">
        <x:v>29</x:v>
      </x:c>
      <x:c r="L234" s="36" t="str">
        <x:v>m³</x:v>
      </x:c>
      <x:c r="M234" s="39" t="n">
        <x:v>576.37</x:v>
      </x:c>
      <x:c r="N234" s="39" t="n">
        <x:v>618.62</x:v>
      </x:c>
      <x:c r="O234" s="39" t="n">
        <x:v>16714.73</x:v>
      </x:c>
      <x:c r="P234" s="39" t="n">
        <x:v>17939.98</x:v>
      </x:c>
      <x:c r="Q234" s="39" t="n">
        <x:v>-1225.25</x:v>
      </x:c>
      <x:c r="R234" s="40" t="n">
        <x:v>-6.8</x:v>
      </x:c>
      <x:c r="S234" s="41" t="n">
        <x:v>49</x:v>
      </x:c>
      <x:c r="T234" s="36" t="str">
        <x:v>No</x:v>
      </x:c>
      <x:c r="U234" s="36" t="str">
        <x:v>Delivered</x:v>
      </x:c>
    </x:row>
    <x:row r="235">
      <x:c r="A235" s="36" t="str">
        <x:v>PO-2025-0234</x:v>
      </x:c>
      <x:c r="B235" s="37" t="n">
        <x:v>45785</x:v>
      </x:c>
      <x:c r="C235" s="36" t="str">
        <x:v>May</x:v>
      </x:c>
      <x:c r="D235" s="36" t="str">
        <x:v>Quarry Park Mixed-Use Development</x:v>
      </x:c>
      <x:c r="E235" s="36" t="str">
        <x:v>Calgary SE</x:v>
      </x:c>
      <x:c r="F235" s="36" t="str">
        <x:v>Linda Tran</x:v>
      </x:c>
      <x:c r="G235" s="36" t="str">
        <x:v>MEP - Electrical</x:v>
      </x:c>
      <x:c r="H235" s="36" t="str">
        <x:v>MV Distribution Cable</x:v>
      </x:c>
      <x:c r="I235" s="36" t="str">
        <x:v>Schneider Electric Canada</x:v>
      </x:c>
      <x:c r="J235" s="36" t="str">
        <x:v>Tender – Open</x:v>
      </x:c>
      <x:c r="K235" s="38" t="n">
        <x:v>23</x:v>
      </x:c>
      <x:c r="L235" s="36" t="str">
        <x:v>lot</x:v>
      </x:c>
      <x:c r="M235" s="39" t="n">
        <x:v>39116.64</x:v>
      </x:c>
      <x:c r="N235" s="39" t="n">
        <x:v>37633.9</x:v>
      </x:c>
      <x:c r="O235" s="39" t="n">
        <x:v>899682.72</x:v>
      </x:c>
      <x:c r="P235" s="39" t="n">
        <x:v>865579.7</x:v>
      </x:c>
      <x:c r="Q235" s="39" t="n">
        <x:v>34103.02</x:v>
      </x:c>
      <x:c r="R235" s="40" t="n">
        <x:v>3.9</x:v>
      </x:c>
      <x:c r="S235" s="41" t="n">
        <x:v>18</x:v>
      </x:c>
      <x:c r="T235" s="36" t="str">
        <x:v>No</x:v>
      </x:c>
      <x:c r="U235" s="36" t="str">
        <x:v>Delivered</x:v>
      </x:c>
    </x:row>
    <x:row r="236">
      <x:c r="A236" s="36" t="str">
        <x:v>PO-2025-0235</x:v>
      </x:c>
      <x:c r="B236" s="37" t="n">
        <x:v>45898</x:v>
      </x:c>
      <x:c r="C236" s="36" t="str">
        <x:v>August</x:v>
      </x:c>
      <x:c r="D236" s="36" t="str">
        <x:v>Deerfoot Trail Widening - North</x:v>
      </x:c>
      <x:c r="E236" s="36" t="str">
        <x:v>Calgary SW</x:v>
      </x:c>
      <x:c r="F236" s="36" t="str">
        <x:v>Sarah Bouchard</x:v>
      </x:c>
      <x:c r="G236" s="36" t="str">
        <x:v>MEP - Electrical</x:v>
      </x:c>
      <x:c r="H236" s="36" t="str">
        <x:v>Standby Generator</x:v>
      </x:c>
      <x:c r="I236" s="36" t="str">
        <x:v>Flint Energy Services</x:v>
      </x:c>
      <x:c r="J236" s="36" t="str">
        <x:v>Standing Offer Agreement</x:v>
      </x:c>
      <x:c r="K236" s="38" t="n">
        <x:v>47</x:v>
      </x:c>
      <x:c r="L236" s="36" t="str">
        <x:v>lot</x:v>
      </x:c>
      <x:c r="M236" s="39" t="n">
        <x:v>74020.54</x:v>
      </x:c>
      <x:c r="N236" s="39" t="n">
        <x:v>77837.85</x:v>
      </x:c>
      <x:c r="O236" s="39" t="n">
        <x:v>3478965.38</x:v>
      </x:c>
      <x:c r="P236" s="39" t="n">
        <x:v>3658378.95</x:v>
      </x:c>
      <x:c r="Q236" s="39" t="n">
        <x:v>-179413.57</x:v>
      </x:c>
      <x:c r="R236" s="40" t="n">
        <x:v>-4.9</x:v>
      </x:c>
      <x:c r="S236" s="41" t="n">
        <x:v>63</x:v>
      </x:c>
      <x:c r="T236" s="36" t="str">
        <x:v>Yes</x:v>
      </x:c>
      <x:c r="U236" s="36" t="str">
        <x:v>Pending</x:v>
      </x:c>
    </x:row>
    <x:row r="237">
      <x:c r="A237" s="36" t="str">
        <x:v>PO-2025-0236</x:v>
      </x:c>
      <x:c r="B237" s="37" t="n">
        <x:v>45930</x:v>
      </x:c>
      <x:c r="C237" s="36" t="str">
        <x:v>September</x:v>
      </x:c>
      <x:c r="D237" s="36" t="str">
        <x:v>Foothills Medical Centre Expansion</x:v>
      </x:c>
      <x:c r="E237" s="36" t="str">
        <x:v>Calgary SE</x:v>
      </x:c>
      <x:c r="F237" s="36" t="str">
        <x:v>Derek McLean</x:v>
      </x:c>
      <x:c r="G237" s="36" t="str">
        <x:v>Concrete &amp; Structural</x:v>
      </x:c>
      <x:c r="H237" s="36" t="str">
        <x:v>Rebar Steel</x:v>
      </x:c>
      <x:c r="I237" s="36" t="str">
        <x:v>Alberta Precast</x:v>
      </x:c>
      <x:c r="J237" s="36" t="str">
        <x:v>LPO – Direct Award</x:v>
      </x:c>
      <x:c r="K237" s="38" t="n">
        <x:v>6</x:v>
      </x:c>
      <x:c r="L237" s="36" t="str">
        <x:v>m³</x:v>
      </x:c>
      <x:c r="M237" s="39" t="n">
        <x:v>514.52</x:v>
      </x:c>
      <x:c r="N237" s="39" t="n">
        <x:v>563.78</x:v>
      </x:c>
      <x:c r="O237" s="39" t="n">
        <x:v>3087.12</x:v>
      </x:c>
      <x:c r="P237" s="39" t="n">
        <x:v>3382.68</x:v>
      </x:c>
      <x:c r="Q237" s="39" t="n">
        <x:v>-295.56</x:v>
      </x:c>
      <x:c r="R237" s="40" t="n">
        <x:v>-8.7</x:v>
      </x:c>
      <x:c r="S237" s="41" t="n">
        <x:v>40</x:v>
      </x:c>
      <x:c r="T237" s="36" t="str">
        <x:v>Yes</x:v>
      </x:c>
      <x:c r="U237" s="36" t="str">
        <x:v>Delivered</x:v>
      </x:c>
    </x:row>
    <x:row r="238">
      <x:c r="A238" s="36" t="str">
        <x:v>PO-2025-0237</x:v>
      </x:c>
      <x:c r="B238" s="37" t="n">
        <x:v>45943</x:v>
      </x:c>
      <x:c r="C238" s="36" t="str">
        <x:v>October</x:v>
      </x:c>
      <x:c r="D238" s="36" t="str">
        <x:v>Stampede Park Infrastructure Upgrade</x:v>
      </x:c>
      <x:c r="E238" s="36" t="str">
        <x:v>Calgary SE</x:v>
      </x:c>
      <x:c r="F238" s="36" t="str">
        <x:v>Derek McLean</x:v>
      </x:c>
      <x:c r="G238" s="36" t="str">
        <x:v>Safety &amp; Temp Works</x:v>
      </x:c>
      <x:c r="H238" s="36" t="str">
        <x:v>PPE Bulk Supply</x:v>
      </x:c>
      <x:c r="I238" s="36" t="str">
        <x:v>BrandSafway Canada</x:v>
      </x:c>
      <x:c r="J238" s="36" t="str">
        <x:v>Emergency Procurement</x:v>
      </x:c>
      <x:c r="K238" s="38" t="n">
        <x:v>113</x:v>
      </x:c>
      <x:c r="L238" s="36" t="str">
        <x:v>lot</x:v>
      </x:c>
      <x:c r="M238" s="39" t="n">
        <x:v>11459.81</x:v>
      </x:c>
      <x:c r="N238" s="39" t="n">
        <x:v>12382.17</x:v>
      </x:c>
      <x:c r="O238" s="39" t="n">
        <x:v>1294958.53</x:v>
      </x:c>
      <x:c r="P238" s="39" t="n">
        <x:v>1399185.21</x:v>
      </x:c>
      <x:c r="Q238" s="39" t="n">
        <x:v>-104226.68</x:v>
      </x:c>
      <x:c r="R238" s="40" t="n">
        <x:v>-7.4</x:v>
      </x:c>
      <x:c r="S238" s="41" t="n">
        <x:v>28</x:v>
      </x:c>
      <x:c r="T238" s="36" t="str">
        <x:v>No</x:v>
      </x:c>
      <x:c r="U238" s="36" t="str">
        <x:v>Delivered</x:v>
      </x:c>
    </x:row>
    <x:row r="239">
      <x:c r="A239" s="36" t="str">
        <x:v>PO-2025-0238</x:v>
      </x:c>
      <x:c r="B239" s="37" t="n">
        <x:v>45931</x:v>
      </x:c>
      <x:c r="C239" s="36" t="str">
        <x:v>October</x:v>
      </x:c>
      <x:c r="D239" s="36" t="str">
        <x:v>Rocky View Industrial Logistics Hub</x:v>
      </x:c>
      <x:c r="E239" s="36" t="str">
        <x:v>Rocky View County</x:v>
      </x:c>
      <x:c r="F239" s="36" t="str">
        <x:v>Liam Kowalski</x:v>
      </x:c>
      <x:c r="G239" s="36" t="str">
        <x:v>Finishing</x:v>
      </x:c>
      <x:c r="H239" s="36" t="str">
        <x:v>Waterproofing Membrane</x:v>
      </x:c>
      <x:c r="I239" s="36" t="str">
        <x:v>Tremco Roofing</x:v>
      </x:c>
      <x:c r="J239" s="36" t="str">
        <x:v>Tender – Open</x:v>
      </x:c>
      <x:c r="K239" s="38" t="n">
        <x:v>10</x:v>
      </x:c>
      <x:c r="L239" s="36" t="str">
        <x:v>m²</x:v>
      </x:c>
      <x:c r="M239" s="39" t="n">
        <x:v>266.72</x:v>
      </x:c>
      <x:c r="N239" s="39" t="n">
        <x:v>283.28</x:v>
      </x:c>
      <x:c r="O239" s="39" t="n">
        <x:v>2667.2</x:v>
      </x:c>
      <x:c r="P239" s="39" t="n">
        <x:v>2832.8</x:v>
      </x:c>
      <x:c r="Q239" s="39" t="n">
        <x:v>-165.6</x:v>
      </x:c>
      <x:c r="R239" s="40" t="n">
        <x:v>-5.8</x:v>
      </x:c>
      <x:c r="S239" s="41" t="n">
        <x:v>18</x:v>
      </x:c>
      <x:c r="T239" s="36" t="str">
        <x:v>No</x:v>
      </x:c>
      <x:c r="U239" s="36" t="str">
        <x:v>Delivered</x:v>
      </x:c>
    </x:row>
    <x:row r="240">
      <x:c r="A240" s="36" t="str">
        <x:v>PO-2025-0239</x:v>
      </x:c>
      <x:c r="B240" s="37" t="n">
        <x:v>45857</x:v>
      </x:c>
      <x:c r="C240" s="36" t="str">
        <x:v>July</x:v>
      </x:c>
      <x:c r="D240" s="36" t="str">
        <x:v>Calgary SE Ring Road Extension</x:v>
      </x:c>
      <x:c r="E240" s="36" t="str">
        <x:v>Rocky View County</x:v>
      </x:c>
      <x:c r="F240" s="36" t="str">
        <x:v>James Okafor</x:v>
      </x:c>
      <x:c r="G240" s="36" t="str">
        <x:v>Finishing</x:v>
      </x:c>
      <x:c r="H240" s="36" t="str">
        <x:v>Exterior Cladding Panel</x:v>
      </x:c>
      <x:c r="I240" s="36" t="str">
        <x:v>Centura Tile Calgary</x:v>
      </x:c>
      <x:c r="J240" s="36" t="str">
        <x:v>LPO – Direct Award</x:v>
      </x:c>
      <x:c r="K240" s="38" t="n">
        <x:v>116</x:v>
      </x:c>
      <x:c r="L240" s="36" t="str">
        <x:v>m²</x:v>
      </x:c>
      <x:c r="M240" s="39" t="n">
        <x:v>245.59</x:v>
      </x:c>
      <x:c r="N240" s="39" t="n">
        <x:v>233.82</x:v>
      </x:c>
      <x:c r="O240" s="39" t="n">
        <x:v>28488.44</x:v>
      </x:c>
      <x:c r="P240" s="39" t="n">
        <x:v>27123.12</x:v>
      </x:c>
      <x:c r="Q240" s="39" t="n">
        <x:v>1365.32</x:v>
      </x:c>
      <x:c r="R240" s="40" t="n">
        <x:v>5</x:v>
      </x:c>
      <x:c r="S240" s="41" t="n">
        <x:v>67</x:v>
      </x:c>
      <x:c r="T240" s="36" t="str">
        <x:v>No</x:v>
      </x:c>
      <x:c r="U240" s="36" t="str">
        <x:v>Partially Delivered</x:v>
      </x:c>
    </x:row>
    <x:row r="241">
      <x:c r="A241" s="36" t="str">
        <x:v>PO-2025-0240</x:v>
      </x:c>
      <x:c r="B241" s="37" t="n">
        <x:v>45991</x:v>
      </x:c>
      <x:c r="C241" s="36" t="str">
        <x:v>November</x:v>
      </x:c>
      <x:c r="D241" s="36" t="str">
        <x:v>Deerfoot Trail Widening - North</x:v>
      </x:c>
      <x:c r="E241" s="36" t="str">
        <x:v>Calgary SE</x:v>
      </x:c>
      <x:c r="F241" s="36" t="str">
        <x:v>Liam Kowalski</x:v>
      </x:c>
      <x:c r="G241" s="36" t="str">
        <x:v>Finishing</x:v>
      </x:c>
      <x:c r="H241" s="36" t="str">
        <x:v>Waterproofing Membrane</x:v>
      </x:c>
      <x:c r="I241" s="36" t="str">
        <x:v>Centura Tile Calgary</x:v>
      </x:c>
      <x:c r="J241" s="36" t="str">
        <x:v>3-Quote Comparison</x:v>
      </x:c>
      <x:c r="K241" s="38" t="n">
        <x:v>119</x:v>
      </x:c>
      <x:c r="L241" s="36" t="str">
        <x:v>m²</x:v>
      </x:c>
      <x:c r="M241" s="39" t="n">
        <x:v>348.61</x:v>
      </x:c>
      <x:c r="N241" s="39" t="n">
        <x:v>328.2</x:v>
      </x:c>
      <x:c r="O241" s="39" t="n">
        <x:v>41484.59</x:v>
      </x:c>
      <x:c r="P241" s="39" t="n">
        <x:v>39055.8</x:v>
      </x:c>
      <x:c r="Q241" s="39" t="n">
        <x:v>2428.79</x:v>
      </x:c>
      <x:c r="R241" s="40" t="n">
        <x:v>6.2</x:v>
      </x:c>
      <x:c r="S241" s="41" t="n">
        <x:v>13</x:v>
      </x:c>
      <x:c r="T241" s="36" t="str">
        <x:v>No</x:v>
      </x:c>
      <x:c r="U241" s="36" t="str">
        <x:v>Delivered</x:v>
      </x:c>
    </x:row>
    <x:row r="242">
      <x:c r="A242" s="36" t="str">
        <x:v>PO-2025-0241</x:v>
      </x:c>
      <x:c r="B242" s="37" t="n">
        <x:v>45828</x:v>
      </x:c>
      <x:c r="C242" s="36" t="str">
        <x:v>June</x:v>
      </x:c>
      <x:c r="D242" s="36" t="str">
        <x:v>Saddledome Arena Retrofit</x:v>
      </x:c>
      <x:c r="E242" s="36" t="str">
        <x:v>Calgary NE</x:v>
      </x:c>
      <x:c r="F242" s="36" t="str">
        <x:v>Sarah Bouchard</x:v>
      </x:c>
      <x:c r="G242" s="36" t="str">
        <x:v>Safety &amp; Temp Works</x:v>
      </x:c>
      <x:c r="H242" s="36" t="str">
        <x:v>Scaffolding System</x:v>
      </x:c>
      <x:c r="I242" s="36" t="str">
        <x:v>Levitt-Safety Calgary</x:v>
      </x:c>
      <x:c r="J242" s="36" t="str">
        <x:v>3-Quote Comparison</x:v>
      </x:c>
      <x:c r="K242" s="38" t="n">
        <x:v>8</x:v>
      </x:c>
      <x:c r="L242" s="36" t="str">
        <x:v>lot</x:v>
      </x:c>
      <x:c r="M242" s="39" t="n">
        <x:v>15384.38</x:v>
      </x:c>
      <x:c r="N242" s="39" t="n">
        <x:v>15240.58</x:v>
      </x:c>
      <x:c r="O242" s="39" t="n">
        <x:v>123075.04</x:v>
      </x:c>
      <x:c r="P242" s="39" t="n">
        <x:v>121924.64</x:v>
      </x:c>
      <x:c r="Q242" s="39" t="n">
        <x:v>1150.4</x:v>
      </x:c>
      <x:c r="R242" s="40" t="n">
        <x:v>0.9</x:v>
      </x:c>
      <x:c r="S242" s="41" t="n">
        <x:v>21</x:v>
      </x:c>
      <x:c r="T242" s="36" t="str">
        <x:v>Yes</x:v>
      </x:c>
      <x:c r="U242" s="36" t="str">
        <x:v>Cancelled</x:v>
      </x:c>
    </x:row>
    <x:row r="243">
      <x:c r="A243" s="36" t="str">
        <x:v>PO-2025-0242</x:v>
      </x:c>
      <x:c r="B243" s="37" t="n">
        <x:v>45673</x:v>
      </x:c>
      <x:c r="C243" s="36" t="str">
        <x:v>January</x:v>
      </x:c>
      <x:c r="D243" s="36" t="str">
        <x:v>Saddledome Arena Retrofit</x:v>
      </x:c>
      <x:c r="E243" s="36" t="str">
        <x:v>Rocky View County</x:v>
      </x:c>
      <x:c r="F243" s="36" t="str">
        <x:v>James Okafor</x:v>
      </x:c>
      <x:c r="G243" s="36" t="str">
        <x:v>Safety &amp; Temp Works</x:v>
      </x:c>
      <x:c r="H243" s="36" t="str">
        <x:v>Fall Protection Netting</x:v>
      </x:c>
      <x:c r="I243" s="36" t="str">
        <x:v>Levitt-Safety Calgary</x:v>
      </x:c>
      <x:c r="J243" s="36" t="str">
        <x:v>Tender – Open</x:v>
      </x:c>
      <x:c r="K243" s="38" t="n">
        <x:v>79</x:v>
      </x:c>
      <x:c r="L243" s="36" t="str">
        <x:v>lot</x:v>
      </x:c>
      <x:c r="M243" s="39" t="n">
        <x:v>13030.85</x:v>
      </x:c>
      <x:c r="N243" s="39" t="n">
        <x:v>11239.73</x:v>
      </x:c>
      <x:c r="O243" s="39" t="n">
        <x:v>1029437.15</x:v>
      </x:c>
      <x:c r="P243" s="39" t="n">
        <x:v>887938.67</x:v>
      </x:c>
      <x:c r="Q243" s="39" t="n">
        <x:v>141498.48</x:v>
      </x:c>
      <x:c r="R243" s="40" t="n">
        <x:v>15.9</x:v>
      </x:c>
      <x:c r="S243" s="41" t="n">
        <x:v>9</x:v>
      </x:c>
      <x:c r="T243" s="36" t="str">
        <x:v>Yes</x:v>
      </x:c>
      <x:c r="U243" s="36" t="str">
        <x:v>Delivered</x:v>
      </x:c>
    </x:row>
    <x:row r="244">
      <x:c r="A244" s="36" t="str">
        <x:v>PO-2025-0243</x:v>
      </x:c>
      <x:c r="B244" s="37" t="n">
        <x:v>45854</x:v>
      </x:c>
      <x:c r="C244" s="36" t="str">
        <x:v>July</x:v>
      </x:c>
      <x:c r="D244" s="36" t="str">
        <x:v>Quarry Park Mixed-Use Development</x:v>
      </x:c>
      <x:c r="E244" s="36" t="str">
        <x:v>Rocky View County</x:v>
      </x:c>
      <x:c r="F244" s="36" t="str">
        <x:v>Aisha Nkosi</x:v>
      </x:c>
      <x:c r="G244" s="36" t="str">
        <x:v>Safety &amp; Temp Works</x:v>
      </x:c>
      <x:c r="H244" s="36" t="str">
        <x:v>Scaffolding System</x:v>
      </x:c>
      <x:c r="I244" s="36" t="str">
        <x:v>Sunbelt Rentals Canada</x:v>
      </x:c>
      <x:c r="J244" s="36" t="str">
        <x:v>LPO – Direct Award</x:v>
      </x:c>
      <x:c r="K244" s="38" t="n">
        <x:v>36</x:v>
      </x:c>
      <x:c r="L244" s="36" t="str">
        <x:v>lot</x:v>
      </x:c>
      <x:c r="M244" s="39" t="n">
        <x:v>5482.66</x:v>
      </x:c>
      <x:c r="N244" s="39" t="n">
        <x:v>5278.55</x:v>
      </x:c>
      <x:c r="O244" s="39" t="n">
        <x:v>197375.76</x:v>
      </x:c>
      <x:c r="P244" s="39" t="n">
        <x:v>190027.8</x:v>
      </x:c>
      <x:c r="Q244" s="39" t="n">
        <x:v>7347.96</x:v>
      </x:c>
      <x:c r="R244" s="40" t="n">
        <x:v>3.9</x:v>
      </x:c>
      <x:c r="S244" s="41" t="n">
        <x:v>29</x:v>
      </x:c>
      <x:c r="T244" s="36" t="str">
        <x:v>Yes</x:v>
      </x:c>
      <x:c r="U244" s="36" t="str">
        <x:v>Delivered</x:v>
      </x:c>
    </x:row>
    <x:row r="245">
      <x:c r="A245" s="36" t="str">
        <x:v>PO-2025-0244</x:v>
      </x:c>
      <x:c r="B245" s="37" t="n">
        <x:v>45786</x:v>
      </x:c>
      <x:c r="C245" s="36" t="str">
        <x:v>May</x:v>
      </x:c>
      <x:c r="D245" s="36" t="str">
        <x:v>Saddledome Arena Retrofit</x:v>
      </x:c>
      <x:c r="E245" s="36" t="str">
        <x:v>Calgary SW</x:v>
      </x:c>
      <x:c r="F245" s="36" t="str">
        <x:v>Derek McLean</x:v>
      </x:c>
      <x:c r="G245" s="36" t="str">
        <x:v>Civil Works</x:v>
      </x:c>
      <x:c r="H245" s="36" t="str">
        <x:v>Road Base Aggregate</x:v>
      </x:c>
      <x:c r="I245" s="36" t="str">
        <x:v>Ledcor Civil Alberta</x:v>
      </x:c>
      <x:c r="J245" s="36" t="str">
        <x:v>Tender – Open</x:v>
      </x:c>
      <x:c r="K245" s="38" t="n">
        <x:v>8</x:v>
      </x:c>
      <x:c r="L245" s="36" t="str">
        <x:v>m³</x:v>
      </x:c>
      <x:c r="M245" s="39" t="n">
        <x:v>180.83</x:v>
      </x:c>
      <x:c r="N245" s="39" t="n">
        <x:v>183.71</x:v>
      </x:c>
      <x:c r="O245" s="39" t="n">
        <x:v>1446.64</x:v>
      </x:c>
      <x:c r="P245" s="39" t="n">
        <x:v>1469.68</x:v>
      </x:c>
      <x:c r="Q245" s="39" t="n">
        <x:v>-23.04</x:v>
      </x:c>
      <x:c r="R245" s="40" t="n">
        <x:v>-1.6</x:v>
      </x:c>
      <x:c r="S245" s="41" t="n">
        <x:v>79</x:v>
      </x:c>
      <x:c r="T245" s="36" t="str">
        <x:v>Yes</x:v>
      </x:c>
      <x:c r="U245" s="36" t="str">
        <x:v>Pending</x:v>
      </x:c>
    </x:row>
    <x:row r="246">
      <x:c r="A246" s="36" t="str">
        <x:v>PO-2025-0245</x:v>
      </x:c>
      <x:c r="B246" s="37" t="n">
        <x:v>45787</x:v>
      </x:c>
      <x:c r="C246" s="36" t="str">
        <x:v>May</x:v>
      </x:c>
      <x:c r="D246" s="36" t="str">
        <x:v>Bow River Crossing Overpass</x:v>
      </x:c>
      <x:c r="E246" s="36" t="str">
        <x:v>Calgary NE</x:v>
      </x:c>
      <x:c r="F246" s="36" t="str">
        <x:v>Linda Tran</x:v>
      </x:c>
      <x:c r="G246" s="36" t="str">
        <x:v>Concrete &amp; Structural</x:v>
      </x:c>
      <x:c r="H246" s="36" t="str">
        <x:v>Rebar Steel</x:v>
      </x:c>
      <x:c r="I246" s="36" t="str">
        <x:v>Alberta Precast</x:v>
      </x:c>
      <x:c r="J246" s="36" t="str">
        <x:v>Standing Offer Agreement</x:v>
      </x:c>
      <x:c r="K246" s="38" t="n">
        <x:v>76</x:v>
      </x:c>
      <x:c r="L246" s="36" t="str">
        <x:v>m³</x:v>
      </x:c>
      <x:c r="M246" s="39" t="n">
        <x:v>279.72</x:v>
      </x:c>
      <x:c r="N246" s="39" t="n">
        <x:v>308.94</x:v>
      </x:c>
      <x:c r="O246" s="39" t="n">
        <x:v>21258.72</x:v>
      </x:c>
      <x:c r="P246" s="39" t="n">
        <x:v>23479.44</x:v>
      </x:c>
      <x:c r="Q246" s="39" t="n">
        <x:v>-2220.72</x:v>
      </x:c>
      <x:c r="R246" s="40" t="n">
        <x:v>-9.5</x:v>
      </x:c>
      <x:c r="S246" s="41" t="n">
        <x:v>81</x:v>
      </x:c>
      <x:c r="T246" s="36" t="str">
        <x:v>No</x:v>
      </x:c>
      <x:c r="U246" s="36" t="str">
        <x:v>Pending</x:v>
      </x:c>
    </x:row>
    <x:row r="247">
      <x:c r="A247" s="36" t="str">
        <x:v>PO-2025-0246</x:v>
      </x:c>
      <x:c r="B247" s="37" t="n">
        <x:v>45663</x:v>
      </x:c>
      <x:c r="C247" s="36" t="str">
        <x:v>January</x:v>
      </x:c>
      <x:c r="D247" s="36" t="str">
        <x:v>Stampede Park Infrastructure Upgrade</x:v>
      </x:c>
      <x:c r="E247" s="36" t="str">
        <x:v>Calgary SW</x:v>
      </x:c>
      <x:c r="F247" s="36" t="str">
        <x:v>Liam Kowalski</x:v>
      </x:c>
      <x:c r="G247" s="36" t="str">
        <x:v>Civil Works</x:v>
      </x:c>
      <x:c r="H247" s="36" t="str">
        <x:v>Granular Backfill</x:v>
      </x:c>
      <x:c r="I247" s="36" t="str">
        <x:v>EllisDon Civil</x:v>
      </x:c>
      <x:c r="J247" s="36" t="str">
        <x:v>LPO – Direct Award</x:v>
      </x:c>
      <x:c r="K247" s="38" t="n">
        <x:v>5</x:v>
      </x:c>
      <x:c r="L247" s="36" t="str">
        <x:v>m³</x:v>
      </x:c>
      <x:c r="M247" s="39" t="n">
        <x:v>193.37</x:v>
      </x:c>
      <x:c r="N247" s="39" t="n">
        <x:v>175.85</x:v>
      </x:c>
      <x:c r="O247" s="39" t="n">
        <x:v>966.85</x:v>
      </x:c>
      <x:c r="P247" s="39" t="n">
        <x:v>879.25</x:v>
      </x:c>
      <x:c r="Q247" s="39" t="n">
        <x:v>87.6</x:v>
      </x:c>
      <x:c r="R247" s="40" t="n">
        <x:v>10</x:v>
      </x:c>
      <x:c r="S247" s="41" t="n">
        <x:v>53</x:v>
      </x:c>
      <x:c r="T247" s="36" t="str">
        <x:v>Yes</x:v>
      </x:c>
      <x:c r="U247" s="36" t="str">
        <x:v>Partially Delivered</x:v>
      </x:c>
    </x:row>
    <x:row r="248">
      <x:c r="A248" s="36" t="str">
        <x:v>PO-2025-0247</x:v>
      </x:c>
      <x:c r="B248" s="37" t="n">
        <x:v>45975</x:v>
      </x:c>
      <x:c r="C248" s="36" t="str">
        <x:v>November</x:v>
      </x:c>
      <x:c r="D248" s="36" t="str">
        <x:v>University District Residential Phase 3</x:v>
      </x:c>
      <x:c r="E248" s="36" t="str">
        <x:v>Calgary SW</x:v>
      </x:c>
      <x:c r="F248" s="36" t="str">
        <x:v>Priya Sharma</x:v>
      </x:c>
      <x:c r="G248" s="36" t="str">
        <x:v>MEP - Electrical</x:v>
      </x:c>
      <x:c r="H248" s="36" t="str">
        <x:v>MV Distribution Cable</x:v>
      </x:c>
      <x:c r="I248" s="36" t="str">
        <x:v>Stuart Olson Electrical</x:v>
      </x:c>
      <x:c r="J248" s="36" t="str">
        <x:v>3-Quote Comparison</x:v>
      </x:c>
      <x:c r="K248" s="38" t="n">
        <x:v>79</x:v>
      </x:c>
      <x:c r="L248" s="36" t="str">
        <x:v>lot</x:v>
      </x:c>
      <x:c r="M248" s="39" t="n">
        <x:v>26934.47</x:v>
      </x:c>
      <x:c r="N248" s="39" t="n">
        <x:v>23547.88</x:v>
      </x:c>
      <x:c r="O248" s="39" t="n">
        <x:v>2127823.13</x:v>
      </x:c>
      <x:c r="P248" s="39" t="n">
        <x:v>1860282.52</x:v>
      </x:c>
      <x:c r="Q248" s="39" t="n">
        <x:v>267540.61</x:v>
      </x:c>
      <x:c r="R248" s="40" t="n">
        <x:v>14.4</x:v>
      </x:c>
      <x:c r="S248" s="41" t="n">
        <x:v>7</x:v>
      </x:c>
      <x:c r="T248" s="36" t="str">
        <x:v>No</x:v>
      </x:c>
      <x:c r="U248" s="36" t="str">
        <x:v>Cancelled</x:v>
      </x:c>
    </x:row>
    <x:row r="249">
      <x:c r="A249" s="36" t="str">
        <x:v>PO-2025-0248</x:v>
      </x:c>
      <x:c r="B249" s="37" t="n">
        <x:v>45853</x:v>
      </x:c>
      <x:c r="C249" s="36" t="str">
        <x:v>July</x:v>
      </x:c>
      <x:c r="D249" s="36" t="str">
        <x:v>Saddledome Arena Retrofit</x:v>
      </x:c>
      <x:c r="E249" s="36" t="str">
        <x:v>Calgary NE</x:v>
      </x:c>
      <x:c r="F249" s="36" t="str">
        <x:v>Linda Tran</x:v>
      </x:c>
      <x:c r="G249" s="36" t="str">
        <x:v>Safety &amp; Temp Works</x:v>
      </x:c>
      <x:c r="H249" s="36" t="str">
        <x:v>Site Hoarding &amp; Fencing</x:v>
      </x:c>
      <x:c r="I249" s="36" t="str">
        <x:v>Safway Alberta</x:v>
      </x:c>
      <x:c r="J249" s="36" t="str">
        <x:v>Emergency Procurement</x:v>
      </x:c>
      <x:c r="K249" s="38" t="n">
        <x:v>103</x:v>
      </x:c>
      <x:c r="L249" s="36" t="str">
        <x:v>lot</x:v>
      </x:c>
      <x:c r="M249" s="39" t="n">
        <x:v>19781.32</x:v>
      </x:c>
      <x:c r="N249" s="39" t="n">
        <x:v>17292.89</x:v>
      </x:c>
      <x:c r="O249" s="39" t="n">
        <x:v>2037475.96</x:v>
      </x:c>
      <x:c r="P249" s="39" t="n">
        <x:v>1781167.67</x:v>
      </x:c>
      <x:c r="Q249" s="39" t="n">
        <x:v>256308.29</x:v>
      </x:c>
      <x:c r="R249" s="40" t="n">
        <x:v>14.4</x:v>
      </x:c>
      <x:c r="S249" s="41" t="n">
        <x:v>18</x:v>
      </x:c>
      <x:c r="T249" s="36" t="str">
        <x:v>No</x:v>
      </x:c>
      <x:c r="U249" s="36" t="str">
        <x:v>Delivered</x:v>
      </x:c>
    </x:row>
    <x:row r="250">
      <x:c r="A250" s="36" t="str">
        <x:v>PO-2025-0249</x:v>
      </x:c>
      <x:c r="B250" s="37" t="n">
        <x:v>45755</x:v>
      </x:c>
      <x:c r="C250" s="36" t="str">
        <x:v>April</x:v>
      </x:c>
      <x:c r="D250" s="36" t="str">
        <x:v>Stampede Park Infrastructure Upgrade</x:v>
      </x:c>
      <x:c r="E250" s="36" t="str">
        <x:v>Calgary NE</x:v>
      </x:c>
      <x:c r="F250" s="36" t="str">
        <x:v>James Okafor</x:v>
      </x:c>
      <x:c r="G250" s="36" t="str">
        <x:v>Civil Works</x:v>
      </x:c>
      <x:c r="H250" s="36" t="str">
        <x:v>Granular Backfill</x:v>
      </x:c>
      <x:c r="I250" s="36" t="str">
        <x:v>Ledcor Civil Alberta</x:v>
      </x:c>
      <x:c r="J250" s="36" t="str">
        <x:v>LPO – Direct Award</x:v>
      </x:c>
      <x:c r="K250" s="38" t="n">
        <x:v>69</x:v>
      </x:c>
      <x:c r="L250" s="36" t="str">
        <x:v>m³</x:v>
      </x:c>
      <x:c r="M250" s="39" t="n">
        <x:v>98</x:v>
      </x:c>
      <x:c r="N250" s="39" t="n">
        <x:v>113.76</x:v>
      </x:c>
      <x:c r="O250" s="39" t="n">
        <x:v>6762</x:v>
      </x:c>
      <x:c r="P250" s="39" t="n">
        <x:v>7849.44</x:v>
      </x:c>
      <x:c r="Q250" s="39" t="n">
        <x:v>-1087.44</x:v>
      </x:c>
      <x:c r="R250" s="40" t="n">
        <x:v>-13.9</x:v>
      </x:c>
      <x:c r="S250" s="41" t="n">
        <x:v>56</x:v>
      </x:c>
      <x:c r="T250" s="36" t="str">
        <x:v>No</x:v>
      </x:c>
      <x:c r="U250" s="36" t="str">
        <x:v>Pending</x:v>
      </x:c>
    </x:row>
    <x:row r="251">
      <x:c r="A251" s="36" t="str">
        <x:v>PO-2025-0250</x:v>
      </x:c>
      <x:c r="B251" s="37" t="n">
        <x:v>45918</x:v>
      </x:c>
      <x:c r="C251" s="36" t="str">
        <x:v>September</x:v>
      </x:c>
      <x:c r="D251" s="36" t="str">
        <x:v>Calgary SE Ring Road Extension</x:v>
      </x:c>
      <x:c r="E251" s="36" t="str">
        <x:v>Rocky View County</x:v>
      </x:c>
      <x:c r="F251" s="36" t="str">
        <x:v>Liam Kowalski</x:v>
      </x:c>
      <x:c r="G251" s="36" t="str">
        <x:v>Concrete &amp; Structural</x:v>
      </x:c>
      <x:c r="H251" s="36" t="str">
        <x:v>Structural Formwork</x:v>
      </x:c>
      <x:c r="I251" s="36" t="str">
        <x:v>Alberta Precast</x:v>
      </x:c>
      <x:c r="J251" s="36" t="str">
        <x:v>Emergency Procurement</x:v>
      </x:c>
      <x:c r="K251" s="38" t="n">
        <x:v>104</x:v>
      </x:c>
      <x:c r="L251" s="36" t="str">
        <x:v>m³</x:v>
      </x:c>
      <x:c r="M251" s="39" t="n">
        <x:v>223.21</x:v>
      </x:c>
      <x:c r="N251" s="39" t="n">
        <x:v>220.44</x:v>
      </x:c>
      <x:c r="O251" s="39" t="n">
        <x:v>23213.84</x:v>
      </x:c>
      <x:c r="P251" s="39" t="n">
        <x:v>22925.76</x:v>
      </x:c>
      <x:c r="Q251" s="39" t="n">
        <x:v>288.08</x:v>
      </x:c>
      <x:c r="R251" s="40" t="n">
        <x:v>1.3</x:v>
      </x:c>
      <x:c r="S251" s="41" t="n">
        <x:v>5</x:v>
      </x:c>
      <x:c r="T251" s="36" t="str">
        <x:v>Yes</x:v>
      </x:c>
      <x:c r="U251" s="36" t="str">
        <x:v>Pending</x:v>
      </x:c>
    </x:row>
    <x:row r="252">
      <x:c r="A252" s="36" t="str">
        <x:v>PO-2025-0251</x:v>
      </x:c>
      <x:c r="B252" s="37" t="n">
        <x:v>45858</x:v>
      </x:c>
      <x:c r="C252" s="36" t="str">
        <x:v>July</x:v>
      </x:c>
      <x:c r="D252" s="36" t="str">
        <x:v>Quarry Park Mixed-Use Development</x:v>
      </x:c>
      <x:c r="E252" s="36" t="str">
        <x:v>Calgary SE</x:v>
      </x:c>
      <x:c r="F252" s="36" t="str">
        <x:v>Derek McLean</x:v>
      </x:c>
      <x:c r="G252" s="36" t="str">
        <x:v>Safety &amp; Temp Works</x:v>
      </x:c>
      <x:c r="H252" s="36" t="str">
        <x:v>Scaffolding System</x:v>
      </x:c>
      <x:c r="I252" s="36" t="str">
        <x:v>Safway Alberta</x:v>
      </x:c>
      <x:c r="J252" s="36" t="str">
        <x:v>Tender – Open</x:v>
      </x:c>
      <x:c r="K252" s="38" t="n">
        <x:v>14</x:v>
      </x:c>
      <x:c r="L252" s="36" t="str">
        <x:v>lot</x:v>
      </x:c>
      <x:c r="M252" s="39" t="n">
        <x:v>18559.22</x:v>
      </x:c>
      <x:c r="N252" s="39" t="n">
        <x:v>22366.18</x:v>
      </x:c>
      <x:c r="O252" s="39" t="n">
        <x:v>259829.08</x:v>
      </x:c>
      <x:c r="P252" s="39" t="n">
        <x:v>313126.52</x:v>
      </x:c>
      <x:c r="Q252" s="39" t="n">
        <x:v>-53297.44</x:v>
      </x:c>
      <x:c r="R252" s="40" t="n">
        <x:v>-17</x:v>
      </x:c>
      <x:c r="S252" s="41" t="n">
        <x:v>9</x:v>
      </x:c>
      <x:c r="T252" s="36" t="str">
        <x:v>No</x:v>
      </x:c>
      <x:c r="U252" s="36" t="str">
        <x:v>Delivered</x:v>
      </x:c>
    </x:row>
    <x:row r="253">
      <x:c r="A253" s="36" t="str">
        <x:v>PO-2025-0252</x:v>
      </x:c>
      <x:c r="B253" s="37" t="n">
        <x:v>45807</x:v>
      </x:c>
      <x:c r="C253" s="36" t="str">
        <x:v>May</x:v>
      </x:c>
      <x:c r="D253" s="36" t="str">
        <x:v>Foothills Medical Centre Expansion</x:v>
      </x:c>
      <x:c r="E253" s="36" t="str">
        <x:v>Calgary NE</x:v>
      </x:c>
      <x:c r="F253" s="36" t="str">
        <x:v>Linda Tran</x:v>
      </x:c>
      <x:c r="G253" s="36" t="str">
        <x:v>Safety &amp; Temp Works</x:v>
      </x:c>
      <x:c r="H253" s="36" t="str">
        <x:v>Scaffolding System</x:v>
      </x:c>
      <x:c r="I253" s="36" t="str">
        <x:v>Sunbelt Rentals Canada</x:v>
      </x:c>
      <x:c r="J253" s="36" t="str">
        <x:v>Tender – Open</x:v>
      </x:c>
      <x:c r="K253" s="38" t="n">
        <x:v>16</x:v>
      </x:c>
      <x:c r="L253" s="36" t="str">
        <x:v>lot</x:v>
      </x:c>
      <x:c r="M253" s="39" t="n">
        <x:v>3052.24</x:v>
      </x:c>
      <x:c r="N253" s="39" t="n">
        <x:v>3483.78</x:v>
      </x:c>
      <x:c r="O253" s="39" t="n">
        <x:v>48835.84</x:v>
      </x:c>
      <x:c r="P253" s="39" t="n">
        <x:v>55740.48</x:v>
      </x:c>
      <x:c r="Q253" s="39" t="n">
        <x:v>-6904.64</x:v>
      </x:c>
      <x:c r="R253" s="40" t="n">
        <x:v>-12.4</x:v>
      </x:c>
      <x:c r="S253" s="41" t="n">
        <x:v>50</x:v>
      </x:c>
      <x:c r="T253" s="36" t="str">
        <x:v>Yes</x:v>
      </x:c>
      <x:c r="U253" s="36" t="str">
        <x:v>Cancelled</x:v>
      </x:c>
    </x:row>
    <x:row r="254">
      <x:c r="A254" s="36" t="str">
        <x:v>PO-2025-0253</x:v>
      </x:c>
      <x:c r="B254" s="37" t="n">
        <x:v>45953</x:v>
      </x:c>
      <x:c r="C254" s="36" t="str">
        <x:v>October</x:v>
      </x:c>
      <x:c r="D254" s="36" t="str">
        <x:v>Springbank Off-Stream Reservoir</x:v>
      </x:c>
      <x:c r="E254" s="36" t="str">
        <x:v>Calgary SE</x:v>
      </x:c>
      <x:c r="F254" s="36" t="str">
        <x:v>James Okafor</x:v>
      </x:c>
      <x:c r="G254" s="36" t="str">
        <x:v>MEP - Mechanical</x:v>
      </x:c>
      <x:c r="H254" s="36" t="str">
        <x:v>Heat Pump Assembly</x:v>
      </x:c>
      <x:c r="I254" s="36" t="str">
        <x:v>PCL Mechanical</x:v>
      </x:c>
      <x:c r="J254" s="36" t="str">
        <x:v>Tender – Open</x:v>
      </x:c>
      <x:c r="K254" s="38" t="n">
        <x:v>73</x:v>
      </x:c>
      <x:c r="L254" s="36" t="str">
        <x:v>lot</x:v>
      </x:c>
      <x:c r="M254" s="39" t="n">
        <x:v>42841.95</x:v>
      </x:c>
      <x:c r="N254" s="39" t="n">
        <x:v>38307.28</x:v>
      </x:c>
      <x:c r="O254" s="39" t="n">
        <x:v>3127462.35</x:v>
      </x:c>
      <x:c r="P254" s="39" t="n">
        <x:v>2796431.44</x:v>
      </x:c>
      <x:c r="Q254" s="39" t="n">
        <x:v>331030.91</x:v>
      </x:c>
      <x:c r="R254" s="40" t="n">
        <x:v>11.8</x:v>
      </x:c>
      <x:c r="S254" s="41" t="n">
        <x:v>11</x:v>
      </x:c>
      <x:c r="T254" s="36" t="str">
        <x:v>Yes</x:v>
      </x:c>
      <x:c r="U254" s="36" t="str">
        <x:v>Pending</x:v>
      </x:c>
    </x:row>
    <x:row r="255">
      <x:c r="A255" s="36" t="str">
        <x:v>PO-2025-0254</x:v>
      </x:c>
      <x:c r="B255" s="37" t="n">
        <x:v>45801</x:v>
      </x:c>
      <x:c r="C255" s="36" t="str">
        <x:v>May</x:v>
      </x:c>
      <x:c r="D255" s="36" t="str">
        <x:v>Foothills Medical Centre Expansion</x:v>
      </x:c>
      <x:c r="E255" s="36" t="str">
        <x:v>Calgary SE</x:v>
      </x:c>
      <x:c r="F255" s="36" t="str">
        <x:v>Mohammed Siddiqui</x:v>
      </x:c>
      <x:c r="G255" s="36" t="str">
        <x:v>Finishing</x:v>
      </x:c>
      <x:c r="H255" s="36" t="str">
        <x:v>Exterior Cladding Panel</x:v>
      </x:c>
      <x:c r="I255" s="36" t="str">
        <x:v>Armstrong World Industries</x:v>
      </x:c>
      <x:c r="J255" s="36" t="str">
        <x:v>Standing Offer Agreement</x:v>
      </x:c>
      <x:c r="K255" s="38" t="n">
        <x:v>111</x:v>
      </x:c>
      <x:c r="L255" s="36" t="str">
        <x:v>m²</x:v>
      </x:c>
      <x:c r="M255" s="39" t="n">
        <x:v>327.16</x:v>
      </x:c>
      <x:c r="N255" s="39" t="n">
        <x:v>404.04</x:v>
      </x:c>
      <x:c r="O255" s="39" t="n">
        <x:v>36314.76</x:v>
      </x:c>
      <x:c r="P255" s="39" t="n">
        <x:v>44848.44</x:v>
      </x:c>
      <x:c r="Q255" s="39" t="n">
        <x:v>-8533.68</x:v>
      </x:c>
      <x:c r="R255" s="40" t="n">
        <x:v>-19</x:v>
      </x:c>
      <x:c r="S255" s="41" t="n">
        <x:v>37</x:v>
      </x:c>
      <x:c r="T255" s="36" t="str">
        <x:v>No</x:v>
      </x:c>
      <x:c r="U255" s="36" t="str">
        <x:v>Pending</x:v>
      </x:c>
    </x:row>
    <x:row r="256">
      <x:c r="A256" s="36" t="str">
        <x:v>PO-2025-0255</x:v>
      </x:c>
      <x:c r="B256" s="37" t="n">
        <x:v>45968</x:v>
      </x:c>
      <x:c r="C256" s="36" t="str">
        <x:v>November</x:v>
      </x:c>
      <x:c r="D256" s="36" t="str">
        <x:v>Foothills Medical Centre Expansion</x:v>
      </x:c>
      <x:c r="E256" s="36" t="str">
        <x:v>Calgary SE</x:v>
      </x:c>
      <x:c r="F256" s="36" t="str">
        <x:v>Liam Kowalski</x:v>
      </x:c>
      <x:c r="G256" s="36" t="str">
        <x:v>MEP - Mechanical</x:v>
      </x:c>
      <x:c r="H256" s="36" t="str">
        <x:v>Heat Pump Assembly</x:v>
      </x:c>
      <x:c r="I256" s="36" t="str">
        <x:v>PCL Mechanical</x:v>
      </x:c>
      <x:c r="J256" s="36" t="str">
        <x:v>LPO – Direct Award</x:v>
      </x:c>
      <x:c r="K256" s="38" t="n">
        <x:v>1</x:v>
      </x:c>
      <x:c r="L256" s="36" t="str">
        <x:v>lot</x:v>
      </x:c>
      <x:c r="M256" s="39" t="n">
        <x:v>5594.02</x:v>
      </x:c>
      <x:c r="N256" s="39" t="n">
        <x:v>6144.2</x:v>
      </x:c>
      <x:c r="O256" s="39" t="n">
        <x:v>5594.02</x:v>
      </x:c>
      <x:c r="P256" s="39" t="n">
        <x:v>6144.2</x:v>
      </x:c>
      <x:c r="Q256" s="39" t="n">
        <x:v>-550.18</x:v>
      </x:c>
      <x:c r="R256" s="40" t="n">
        <x:v>-9</x:v>
      </x:c>
      <x:c r="S256" s="41" t="n">
        <x:v>39</x:v>
      </x:c>
      <x:c r="T256" s="36" t="str">
        <x:v>Yes</x:v>
      </x:c>
      <x:c r="U256" s="36" t="str">
        <x:v>Pending</x:v>
      </x:c>
    </x:row>
    <x:row r="257">
      <x:c r="A257" s="36" t="str">
        <x:v>PO-2025-0256</x:v>
      </x:c>
      <x:c r="B257" s="37" t="n">
        <x:v>45984</x:v>
      </x:c>
      <x:c r="C257" s="36" t="str">
        <x:v>November</x:v>
      </x:c>
      <x:c r="D257" s="36" t="str">
        <x:v>Bow River Crossing Overpass</x:v>
      </x:c>
      <x:c r="E257" s="36" t="str">
        <x:v>Calgary NE</x:v>
      </x:c>
      <x:c r="F257" s="36" t="str">
        <x:v>James Okafor</x:v>
      </x:c>
      <x:c r="G257" s="36" t="str">
        <x:v>Civil Works</x:v>
      </x:c>
      <x:c r="H257" s="36" t="str">
        <x:v>Granular Backfill</x:v>
      </x:c>
      <x:c r="I257" s="36" t="str">
        <x:v>EllisDon Civil</x:v>
      </x:c>
      <x:c r="J257" s="36" t="str">
        <x:v>Standing Offer Agreement</x:v>
      </x:c>
      <x:c r="K257" s="38" t="n">
        <x:v>120</x:v>
      </x:c>
      <x:c r="L257" s="36" t="str">
        <x:v>m³</x:v>
      </x:c>
      <x:c r="M257" s="39" t="n">
        <x:v>273.45</x:v>
      </x:c>
      <x:c r="N257" s="39" t="n">
        <x:v>305.02</x:v>
      </x:c>
      <x:c r="O257" s="39" t="n">
        <x:v>32814</x:v>
      </x:c>
      <x:c r="P257" s="39" t="n">
        <x:v>36602.4</x:v>
      </x:c>
      <x:c r="Q257" s="39" t="n">
        <x:v>-3788.4</x:v>
      </x:c>
      <x:c r="R257" s="40" t="n">
        <x:v>-10.4</x:v>
      </x:c>
      <x:c r="S257" s="41" t="n">
        <x:v>38</x:v>
      </x:c>
      <x:c r="T257" s="36" t="str">
        <x:v>Yes</x:v>
      </x:c>
      <x:c r="U257" s="36" t="str">
        <x:v>Partially Delivered</x:v>
      </x:c>
    </x:row>
    <x:row r="258">
      <x:c r="A258" s="36" t="str">
        <x:v>PO-2025-0257</x:v>
      </x:c>
      <x:c r="B258" s="37" t="n">
        <x:v>45781</x:v>
      </x:c>
      <x:c r="C258" s="36" t="str">
        <x:v>May</x:v>
      </x:c>
      <x:c r="D258" s="36" t="str">
        <x:v>Rocky View Industrial Logistics Hub</x:v>
      </x:c>
      <x:c r="E258" s="36" t="str">
        <x:v>Rocky View County</x:v>
      </x:c>
      <x:c r="F258" s="36" t="str">
        <x:v>Sarah Bouchard</x:v>
      </x:c>
      <x:c r="G258" s="36" t="str">
        <x:v>Finishing</x:v>
      </x:c>
      <x:c r="H258" s="36" t="str">
        <x:v>Waterproofing Membrane</x:v>
      </x:c>
      <x:c r="I258" s="36" t="str">
        <x:v>Armstrong World Industries</x:v>
      </x:c>
      <x:c r="J258" s="36" t="str">
        <x:v>3-Quote Comparison</x:v>
      </x:c>
      <x:c r="K258" s="38" t="n">
        <x:v>21</x:v>
      </x:c>
      <x:c r="L258" s="36" t="str">
        <x:v>m²</x:v>
      </x:c>
      <x:c r="M258" s="39" t="n">
        <x:v>306.63</x:v>
      </x:c>
      <x:c r="N258" s="39" t="n">
        <x:v>343.56</x:v>
      </x:c>
      <x:c r="O258" s="39" t="n">
        <x:v>6439.23</x:v>
      </x:c>
      <x:c r="P258" s="39" t="n">
        <x:v>7214.76</x:v>
      </x:c>
      <x:c r="Q258" s="39" t="n">
        <x:v>-775.53</x:v>
      </x:c>
      <x:c r="R258" s="40" t="n">
        <x:v>-10.7</x:v>
      </x:c>
      <x:c r="S258" s="41" t="n">
        <x:v>57</x:v>
      </x:c>
      <x:c r="T258" s="36" t="str">
        <x:v>Yes</x:v>
      </x:c>
      <x:c r="U258" s="36" t="str">
        <x:v>Delivered</x:v>
      </x:c>
    </x:row>
    <x:row r="259">
      <x:c r="A259" s="36" t="str">
        <x:v>PO-2025-0258</x:v>
      </x:c>
      <x:c r="B259" s="37" t="n">
        <x:v>45937</x:v>
      </x:c>
      <x:c r="C259" s="36" t="str">
        <x:v>October</x:v>
      </x:c>
      <x:c r="D259" s="36" t="str">
        <x:v>Foothills Medical Centre Expansion</x:v>
      </x:c>
      <x:c r="E259" s="36" t="str">
        <x:v>Calgary SE</x:v>
      </x:c>
      <x:c r="F259" s="36" t="str">
        <x:v>Priya Sharma</x:v>
      </x:c>
      <x:c r="G259" s="36" t="str">
        <x:v>Safety &amp; Temp Works</x:v>
      </x:c>
      <x:c r="H259" s="36" t="str">
        <x:v>Site Hoarding &amp; Fencing</x:v>
      </x:c>
      <x:c r="I259" s="36" t="str">
        <x:v>Levitt-Safety Calgary</x:v>
      </x:c>
      <x:c r="J259" s="36" t="str">
        <x:v>LPO – Direct Award</x:v>
      </x:c>
      <x:c r="K259" s="38" t="n">
        <x:v>87</x:v>
      </x:c>
      <x:c r="L259" s="36" t="str">
        <x:v>lot</x:v>
      </x:c>
      <x:c r="M259" s="39" t="n">
        <x:v>3556.43</x:v>
      </x:c>
      <x:c r="N259" s="39" t="n">
        <x:v>4172.76</x:v>
      </x:c>
      <x:c r="O259" s="39" t="n">
        <x:v>309409.41</x:v>
      </x:c>
      <x:c r="P259" s="39" t="n">
        <x:v>363030.12</x:v>
      </x:c>
      <x:c r="Q259" s="39" t="n">
        <x:v>-53620.71</x:v>
      </x:c>
      <x:c r="R259" s="40" t="n">
        <x:v>-14.8</x:v>
      </x:c>
      <x:c r="S259" s="41" t="n">
        <x:v>36</x:v>
      </x:c>
      <x:c r="T259" s="36" t="str">
        <x:v>Yes</x:v>
      </x:c>
      <x:c r="U259" s="36" t="str">
        <x:v>Delivered</x:v>
      </x:c>
    </x:row>
    <x:row r="260">
      <x:c r="A260" s="36" t="str">
        <x:v>PO-2025-0259</x:v>
      </x:c>
      <x:c r="B260" s="37" t="n">
        <x:v>45715</x:v>
      </x:c>
      <x:c r="C260" s="36" t="str">
        <x:v>February</x:v>
      </x:c>
      <x:c r="D260" s="36" t="str">
        <x:v>Bow River Crossing Overpass</x:v>
      </x:c>
      <x:c r="E260" s="36" t="str">
        <x:v>Calgary NE</x:v>
      </x:c>
      <x:c r="F260" s="36" t="str">
        <x:v>Liam Kowalski</x:v>
      </x:c>
      <x:c r="G260" s="36" t="str">
        <x:v>Civil Works</x:v>
      </x:c>
      <x:c r="H260" s="36" t="str">
        <x:v>Granular Backfill</x:v>
      </x:c>
      <x:c r="I260" s="36" t="str">
        <x:v>Ledcor Civil Alberta</x:v>
      </x:c>
      <x:c r="J260" s="36" t="str">
        <x:v>Emergency Procurement</x:v>
      </x:c>
      <x:c r="K260" s="38" t="n">
        <x:v>9</x:v>
      </x:c>
      <x:c r="L260" s="36" t="str">
        <x:v>m³</x:v>
      </x:c>
      <x:c r="M260" s="39" t="n">
        <x:v>96.21</x:v>
      </x:c>
      <x:c r="N260" s="39" t="n">
        <x:v>88.6</x:v>
      </x:c>
      <x:c r="O260" s="39" t="n">
        <x:v>865.89</x:v>
      </x:c>
      <x:c r="P260" s="39" t="n">
        <x:v>797.4</x:v>
      </x:c>
      <x:c r="Q260" s="39" t="n">
        <x:v>68.49</x:v>
      </x:c>
      <x:c r="R260" s="40" t="n">
        <x:v>8.6</x:v>
      </x:c>
      <x:c r="S260" s="41" t="n">
        <x:v>48</x:v>
      </x:c>
      <x:c r="T260" s="36" t="str">
        <x:v>No</x:v>
      </x:c>
      <x:c r="U260" s="36" t="str">
        <x:v>Pending</x:v>
      </x:c>
    </x:row>
    <x:row r="261">
      <x:c r="A261" s="36" t="str">
        <x:v>PO-2025-0260</x:v>
      </x:c>
      <x:c r="B261" s="37" t="n">
        <x:v>45834</x:v>
      </x:c>
      <x:c r="C261" s="36" t="str">
        <x:v>June</x:v>
      </x:c>
      <x:c r="D261" s="36" t="str">
        <x:v>Calgary SE Ring Road Extension</x:v>
      </x:c>
      <x:c r="E261" s="36" t="str">
        <x:v>Calgary SE</x:v>
      </x:c>
      <x:c r="F261" s="36" t="str">
        <x:v>Sarah Bouchard</x:v>
      </x:c>
      <x:c r="G261" s="36" t="str">
        <x:v>Safety &amp; Temp Works</x:v>
      </x:c>
      <x:c r="H261" s="36" t="str">
        <x:v>Fall Protection Netting</x:v>
      </x:c>
      <x:c r="I261" s="36" t="str">
        <x:v>Sunbelt Rentals Canada</x:v>
      </x:c>
      <x:c r="J261" s="36" t="str">
        <x:v>LPO – Direct Award</x:v>
      </x:c>
      <x:c r="K261" s="38" t="n">
        <x:v>42</x:v>
      </x:c>
      <x:c r="L261" s="36" t="str">
        <x:v>lot</x:v>
      </x:c>
      <x:c r="M261" s="39" t="n">
        <x:v>13834.55</x:v>
      </x:c>
      <x:c r="N261" s="39" t="n">
        <x:v>13406.48</x:v>
      </x:c>
      <x:c r="O261" s="39" t="n">
        <x:v>581051.1</x:v>
      </x:c>
      <x:c r="P261" s="39" t="n">
        <x:v>563072.16</x:v>
      </x:c>
      <x:c r="Q261" s="39" t="n">
        <x:v>17978.94</x:v>
      </x:c>
      <x:c r="R261" s="40" t="n">
        <x:v>3.2</x:v>
      </x:c>
      <x:c r="S261" s="41" t="n">
        <x:v>40</x:v>
      </x:c>
      <x:c r="T261" s="36" t="str">
        <x:v>Yes</x:v>
      </x:c>
      <x:c r="U261" s="36" t="str">
        <x:v>Partially Delivered</x:v>
      </x:c>
    </x:row>
    <x:row r="262">
      <x:c r="A262" s="36" t="str">
        <x:v>PO-2025-0261</x:v>
      </x:c>
      <x:c r="B262" s="37" t="n">
        <x:v>45766</x:v>
      </x:c>
      <x:c r="C262" s="36" t="str">
        <x:v>April</x:v>
      </x:c>
      <x:c r="D262" s="36" t="str">
        <x:v>Bow River Crossing Overpass</x:v>
      </x:c>
      <x:c r="E262" s="36" t="str">
        <x:v>Rocky View County</x:v>
      </x:c>
      <x:c r="F262" s="36" t="str">
        <x:v>James Okafor</x:v>
      </x:c>
      <x:c r="G262" s="36" t="str">
        <x:v>Civil Works</x:v>
      </x:c>
      <x:c r="H262" s="36" t="str">
        <x:v>Road Base Aggregate</x:v>
      </x:c>
      <x:c r="I262" s="36" t="str">
        <x:v>EllisDon Civil</x:v>
      </x:c>
      <x:c r="J262" s="36" t="str">
        <x:v>Emergency Procurement</x:v>
      </x:c>
      <x:c r="K262" s="38" t="n">
        <x:v>69</x:v>
      </x:c>
      <x:c r="L262" s="36" t="str">
        <x:v>m³</x:v>
      </x:c>
      <x:c r="M262" s="39" t="n">
        <x:v>122.87</x:v>
      </x:c>
      <x:c r="N262" s="39" t="n">
        <x:v>111.81</x:v>
      </x:c>
      <x:c r="O262" s="39" t="n">
        <x:v>8478.03</x:v>
      </x:c>
      <x:c r="P262" s="39" t="n">
        <x:v>7714.89</x:v>
      </x:c>
      <x:c r="Q262" s="39" t="n">
        <x:v>763.14</x:v>
      </x:c>
      <x:c r="R262" s="40" t="n">
        <x:v>9.9</x:v>
      </x:c>
      <x:c r="S262" s="41" t="n">
        <x:v>81</x:v>
      </x:c>
      <x:c r="T262" s="36" t="str">
        <x:v>Yes</x:v>
      </x:c>
      <x:c r="U262" s="36" t="str">
        <x:v>Delivered</x:v>
      </x:c>
    </x:row>
    <x:row r="263">
      <x:c r="A263" s="36" t="str">
        <x:v>PO-2025-0262</x:v>
      </x:c>
      <x:c r="B263" s="37" t="n">
        <x:v>45806</x:v>
      </x:c>
      <x:c r="C263" s="36" t="str">
        <x:v>May</x:v>
      </x:c>
      <x:c r="D263" s="36" t="str">
        <x:v>Calgary SE Ring Road Extension</x:v>
      </x:c>
      <x:c r="E263" s="36" t="str">
        <x:v>Rocky View County</x:v>
      </x:c>
      <x:c r="F263" s="36" t="str">
        <x:v>Mohammed Siddiqui</x:v>
      </x:c>
      <x:c r="G263" s="36" t="str">
        <x:v>Finishing</x:v>
      </x:c>
      <x:c r="H263" s="36" t="str">
        <x:v>Waterproofing Membrane</x:v>
      </x:c>
      <x:c r="I263" s="36" t="str">
        <x:v>Dryvit Systems Canada</x:v>
      </x:c>
      <x:c r="J263" s="36" t="str">
        <x:v>Standing Offer Agreement</x:v>
      </x:c>
      <x:c r="K263" s="38" t="n">
        <x:v>88</x:v>
      </x:c>
      <x:c r="L263" s="36" t="str">
        <x:v>m²</x:v>
      </x:c>
      <x:c r="M263" s="39" t="n">
        <x:v>444.33</x:v>
      </x:c>
      <x:c r="N263" s="39" t="n">
        <x:v>463.84</x:v>
      </x:c>
      <x:c r="O263" s="39" t="n">
        <x:v>39101.04</x:v>
      </x:c>
      <x:c r="P263" s="39" t="n">
        <x:v>40817.92</x:v>
      </x:c>
      <x:c r="Q263" s="39" t="n">
        <x:v>-1716.88</x:v>
      </x:c>
      <x:c r="R263" s="40" t="n">
        <x:v>-4.2</x:v>
      </x:c>
      <x:c r="S263" s="41" t="n">
        <x:v>54</x:v>
      </x:c>
      <x:c r="T263" s="36" t="str">
        <x:v>Yes</x:v>
      </x:c>
      <x:c r="U263" s="36" t="str">
        <x:v>Delivered</x:v>
      </x:c>
    </x:row>
    <x:row r="264">
      <x:c r="A264" s="36" t="str">
        <x:v>PO-2025-0263</x:v>
      </x:c>
      <x:c r="B264" s="37" t="n">
        <x:v>45699</x:v>
      </x:c>
      <x:c r="C264" s="36" t="str">
        <x:v>February</x:v>
      </x:c>
      <x:c r="D264" s="36" t="str">
        <x:v>Calgary SE Ring Road Extension</x:v>
      </x:c>
      <x:c r="E264" s="36" t="str">
        <x:v>Calgary NE</x:v>
      </x:c>
      <x:c r="F264" s="36" t="str">
        <x:v>James Okafor</x:v>
      </x:c>
      <x:c r="G264" s="36" t="str">
        <x:v>Safety &amp; Temp Works</x:v>
      </x:c>
      <x:c r="H264" s="36" t="str">
        <x:v>PPE Bulk Supply</x:v>
      </x:c>
      <x:c r="I264" s="36" t="str">
        <x:v>BrandSafway Canada</x:v>
      </x:c>
      <x:c r="J264" s="36" t="str">
        <x:v>Standing Offer Agreement</x:v>
      </x:c>
      <x:c r="K264" s="38" t="n">
        <x:v>55</x:v>
      </x:c>
      <x:c r="L264" s="36" t="str">
        <x:v>lot</x:v>
      </x:c>
      <x:c r="M264" s="39" t="n">
        <x:v>3748.58</x:v>
      </x:c>
      <x:c r="N264" s="39" t="n">
        <x:v>3363.53</x:v>
      </x:c>
      <x:c r="O264" s="39" t="n">
        <x:v>206171.9</x:v>
      </x:c>
      <x:c r="P264" s="39" t="n">
        <x:v>184994.15</x:v>
      </x:c>
      <x:c r="Q264" s="39" t="n">
        <x:v>21177.75</x:v>
      </x:c>
      <x:c r="R264" s="40" t="n">
        <x:v>11.4</x:v>
      </x:c>
      <x:c r="S264" s="41" t="n">
        <x:v>33</x:v>
      </x:c>
      <x:c r="T264" s="36" t="str">
        <x:v>Yes</x:v>
      </x:c>
      <x:c r="U264" s="36" t="str">
        <x:v>Partially Delivered</x:v>
      </x:c>
    </x:row>
    <x:row r="265">
      <x:c r="A265" s="36" t="str">
        <x:v>PO-2025-0264</x:v>
      </x:c>
      <x:c r="B265" s="37" t="n">
        <x:v>45990</x:v>
      </x:c>
      <x:c r="C265" s="36" t="str">
        <x:v>November</x:v>
      </x:c>
      <x:c r="D265" s="36" t="str">
        <x:v>Quarry Park Mixed-Use Development</x:v>
      </x:c>
      <x:c r="E265" s="36" t="str">
        <x:v>Calgary SE</x:v>
      </x:c>
      <x:c r="F265" s="36" t="str">
        <x:v>Liam Kowalski</x:v>
      </x:c>
      <x:c r="G265" s="36" t="str">
        <x:v>MEP - Electrical</x:v>
      </x:c>
      <x:c r="H265" s="36" t="str">
        <x:v>Grounding System</x:v>
      </x:c>
      <x:c r="I265" s="36" t="str">
        <x:v>Houle Electric</x:v>
      </x:c>
      <x:c r="J265" s="36" t="str">
        <x:v>LPO – Direct Award</x:v>
      </x:c>
      <x:c r="K265" s="38" t="n">
        <x:v>62</x:v>
      </x:c>
      <x:c r="L265" s="36" t="str">
        <x:v>lot</x:v>
      </x:c>
      <x:c r="M265" s="39" t="n">
        <x:v>80041.7</x:v>
      </x:c>
      <x:c r="N265" s="39" t="n">
        <x:v>73163.19</x:v>
      </x:c>
      <x:c r="O265" s="39" t="n">
        <x:v>4962585.4</x:v>
      </x:c>
      <x:c r="P265" s="39" t="n">
        <x:v>4536117.78</x:v>
      </x:c>
      <x:c r="Q265" s="39" t="n">
        <x:v>426467.62</x:v>
      </x:c>
      <x:c r="R265" s="40" t="n">
        <x:v>9.4</x:v>
      </x:c>
      <x:c r="S265" s="41" t="n">
        <x:v>24</x:v>
      </x:c>
      <x:c r="T265" s="36" t="str">
        <x:v>No</x:v>
      </x:c>
      <x:c r="U265" s="36" t="str">
        <x:v>Cancelled</x:v>
      </x:c>
    </x:row>
    <x:row r="266">
      <x:c r="A266" s="36" t="str">
        <x:v>PO-2025-0265</x:v>
      </x:c>
      <x:c r="B266" s="37" t="n">
        <x:v>45690</x:v>
      </x:c>
      <x:c r="C266" s="36" t="str">
        <x:v>February</x:v>
      </x:c>
      <x:c r="D266" s="36" t="str">
        <x:v>Springbank Off-Stream Reservoir</x:v>
      </x:c>
      <x:c r="E266" s="36" t="str">
        <x:v>Calgary SW</x:v>
      </x:c>
      <x:c r="F266" s="36" t="str">
        <x:v>James Okafor</x:v>
      </x:c>
      <x:c r="G266" s="36" t="str">
        <x:v>MEP - Mechanical</x:v>
      </x:c>
      <x:c r="H266" s="36" t="str">
        <x:v>Air Handling Unit</x:v>
      </x:c>
      <x:c r="I266" s="36" t="str">
        <x:v>Stantec MEP</x:v>
      </x:c>
      <x:c r="J266" s="36" t="str">
        <x:v>Emergency Procurement</x:v>
      </x:c>
      <x:c r="K266" s="38" t="n">
        <x:v>37</x:v>
      </x:c>
      <x:c r="L266" s="36" t="str">
        <x:v>lot</x:v>
      </x:c>
      <x:c r="M266" s="39" t="n">
        <x:v>96248.3</x:v>
      </x:c>
      <x:c r="N266" s="39" t="n">
        <x:v>116988.93</x:v>
      </x:c>
      <x:c r="O266" s="39" t="n">
        <x:v>3561187.1</x:v>
      </x:c>
      <x:c r="P266" s="39" t="n">
        <x:v>4328590.41</x:v>
      </x:c>
      <x:c r="Q266" s="39" t="n">
        <x:v>-767403.31</x:v>
      </x:c>
      <x:c r="R266" s="40" t="n">
        <x:v>-17.7</x:v>
      </x:c>
      <x:c r="S266" s="41" t="n">
        <x:v>46</x:v>
      </x:c>
      <x:c r="T266" s="36" t="str">
        <x:v>Yes</x:v>
      </x:c>
      <x:c r="U266" s="36" t="str">
        <x:v>Partially Delivered</x:v>
      </x:c>
    </x:row>
    <x:row r="267">
      <x:c r="A267" s="36" t="str">
        <x:v>PO-2025-0266</x:v>
      </x:c>
      <x:c r="B267" s="37" t="n">
        <x:v>45696</x:v>
      </x:c>
      <x:c r="C267" s="36" t="str">
        <x:v>February</x:v>
      </x:c>
      <x:c r="D267" s="36" t="str">
        <x:v>Calgary SE Ring Road Extension</x:v>
      </x:c>
      <x:c r="E267" s="36" t="str">
        <x:v>Calgary NE</x:v>
      </x:c>
      <x:c r="F267" s="36" t="str">
        <x:v>Derek McLean</x:v>
      </x:c>
      <x:c r="G267" s="36" t="str">
        <x:v>Safety &amp; Temp Works</x:v>
      </x:c>
      <x:c r="H267" s="36" t="str">
        <x:v>Fall Protection Netting</x:v>
      </x:c>
      <x:c r="I267" s="36" t="str">
        <x:v>Sunbelt Rentals Canada</x:v>
      </x:c>
      <x:c r="J267" s="36" t="str">
        <x:v>3-Quote Comparison</x:v>
      </x:c>
      <x:c r="K267" s="38" t="n">
        <x:v>117</x:v>
      </x:c>
      <x:c r="L267" s="36" t="str">
        <x:v>lot</x:v>
      </x:c>
      <x:c r="M267" s="39" t="n">
        <x:v>16724.51</x:v>
      </x:c>
      <x:c r="N267" s="39" t="n">
        <x:v>18217.84</x:v>
      </x:c>
      <x:c r="O267" s="39" t="n">
        <x:v>1956767.67</x:v>
      </x:c>
      <x:c r="P267" s="39" t="n">
        <x:v>2131487.28</x:v>
      </x:c>
      <x:c r="Q267" s="39" t="n">
        <x:v>-174719.61</x:v>
      </x:c>
      <x:c r="R267" s="40" t="n">
        <x:v>-8.2</x:v>
      </x:c>
      <x:c r="S267" s="41" t="n">
        <x:v>64</x:v>
      </x:c>
      <x:c r="T267" s="36" t="str">
        <x:v>Yes</x:v>
      </x:c>
      <x:c r="U267" s="36" t="str">
        <x:v>Delivered</x:v>
      </x:c>
    </x:row>
    <x:row r="268">
      <x:c r="A268" s="36" t="str">
        <x:v>PO-2025-0267</x:v>
      </x:c>
      <x:c r="B268" s="37" t="n">
        <x:v>45871</x:v>
      </x:c>
      <x:c r="C268" s="36" t="str">
        <x:v>August</x:v>
      </x:c>
      <x:c r="D268" s="36" t="str">
        <x:v>Foothills Medical Centre Expansion</x:v>
      </x:c>
      <x:c r="E268" s="36" t="str">
        <x:v>Calgary NE</x:v>
      </x:c>
      <x:c r="F268" s="36" t="str">
        <x:v>James Okafor</x:v>
      </x:c>
      <x:c r="G268" s="36" t="str">
        <x:v>Civil Works</x:v>
      </x:c>
      <x:c r="H268" s="36" t="str">
        <x:v>Granular Backfill</x:v>
      </x:c>
      <x:c r="I268" s="36" t="str">
        <x:v>EllisDon Civil</x:v>
      </x:c>
      <x:c r="J268" s="36" t="str">
        <x:v>Tender – Open</x:v>
      </x:c>
      <x:c r="K268" s="38" t="n">
        <x:v>54</x:v>
      </x:c>
      <x:c r="L268" s="36" t="str">
        <x:v>m³</x:v>
      </x:c>
      <x:c r="M268" s="39" t="n">
        <x:v>70.42</x:v>
      </x:c>
      <x:c r="N268" s="39" t="n">
        <x:v>84.74</x:v>
      </x:c>
      <x:c r="O268" s="39" t="n">
        <x:v>3802.68</x:v>
      </x:c>
      <x:c r="P268" s="39" t="n">
        <x:v>4575.96</x:v>
      </x:c>
      <x:c r="Q268" s="39" t="n">
        <x:v>-773.28</x:v>
      </x:c>
      <x:c r="R268" s="40" t="n">
        <x:v>-16.9</x:v>
      </x:c>
      <x:c r="S268" s="41" t="n">
        <x:v>9</x:v>
      </x:c>
      <x:c r="T268" s="36" t="str">
        <x:v>Yes</x:v>
      </x:c>
      <x:c r="U268" s="36" t="str">
        <x:v>Delivered</x:v>
      </x:c>
    </x:row>
    <x:row r="269">
      <x:c r="A269" s="36" t="str">
        <x:v>PO-2025-0268</x:v>
      </x:c>
      <x:c r="B269" s="37" t="n">
        <x:v>45729</x:v>
      </x:c>
      <x:c r="C269" s="36" t="str">
        <x:v>March</x:v>
      </x:c>
      <x:c r="D269" s="36" t="str">
        <x:v>Deerfoot Trail Widening - North</x:v>
      </x:c>
      <x:c r="E269" s="36" t="str">
        <x:v>Calgary SE</x:v>
      </x:c>
      <x:c r="F269" s="36" t="str">
        <x:v>James Okafor</x:v>
      </x:c>
      <x:c r="G269" s="36" t="str">
        <x:v>MEP - Mechanical</x:v>
      </x:c>
      <x:c r="H269" s="36" t="str">
        <x:v>Boiler System</x:v>
      </x:c>
      <x:c r="I269" s="36" t="str">
        <x:v>PCL Mechanical</x:v>
      </x:c>
      <x:c r="J269" s="36" t="str">
        <x:v>Emergency Procurement</x:v>
      </x:c>
      <x:c r="K269" s="38" t="n">
        <x:v>98</x:v>
      </x:c>
      <x:c r="L269" s="36" t="str">
        <x:v>lot</x:v>
      </x:c>
      <x:c r="M269" s="39" t="n">
        <x:v>74295.71</x:v>
      </x:c>
      <x:c r="N269" s="39" t="n">
        <x:v>70739.93</x:v>
      </x:c>
      <x:c r="O269" s="39" t="n">
        <x:v>7280979.58</x:v>
      </x:c>
      <x:c r="P269" s="39" t="n">
        <x:v>6932513.14</x:v>
      </x:c>
      <x:c r="Q269" s="39" t="n">
        <x:v>348466.44</x:v>
      </x:c>
      <x:c r="R269" s="40" t="n">
        <x:v>5</x:v>
      </x:c>
      <x:c r="S269" s="41" t="n">
        <x:v>57</x:v>
      </x:c>
      <x:c r="T269" s="36" t="str">
        <x:v>Yes</x:v>
      </x:c>
      <x:c r="U269" s="36" t="str">
        <x:v>Cancelled</x:v>
      </x:c>
    </x:row>
    <x:row r="270">
      <x:c r="A270" s="36" t="str">
        <x:v>PO-2025-0269</x:v>
      </x:c>
      <x:c r="B270" s="37" t="n">
        <x:v>45772</x:v>
      </x:c>
      <x:c r="C270" s="36" t="str">
        <x:v>April</x:v>
      </x:c>
      <x:c r="D270" s="36" t="str">
        <x:v>Stampede Park Infrastructure Upgrade</x:v>
      </x:c>
      <x:c r="E270" s="36" t="str">
        <x:v>Calgary NE</x:v>
      </x:c>
      <x:c r="F270" s="36" t="str">
        <x:v>Sarah Bouchard</x:v>
      </x:c>
      <x:c r="G270" s="36" t="str">
        <x:v>Concrete &amp; Structural</x:v>
      </x:c>
      <x:c r="H270" s="36" t="str">
        <x:v>Post-Tension Cables</x:v>
      </x:c>
      <x:c r="I270" s="36" t="str">
        <x:v>Lafarge Canada - Calgary</x:v>
      </x:c>
      <x:c r="J270" s="36" t="str">
        <x:v>3-Quote Comparison</x:v>
      </x:c>
      <x:c r="K270" s="38" t="n">
        <x:v>54</x:v>
      </x:c>
      <x:c r="L270" s="36" t="str">
        <x:v>m³</x:v>
      </x:c>
      <x:c r="M270" s="39" t="n">
        <x:v>324.42</x:v>
      </x:c>
      <x:c r="N270" s="39" t="n">
        <x:v>340.18</x:v>
      </x:c>
      <x:c r="O270" s="39" t="n">
        <x:v>17518.68</x:v>
      </x:c>
      <x:c r="P270" s="39" t="n">
        <x:v>18369.72</x:v>
      </x:c>
      <x:c r="Q270" s="39" t="n">
        <x:v>-851.04</x:v>
      </x:c>
      <x:c r="R270" s="40" t="n">
        <x:v>-4.6</x:v>
      </x:c>
      <x:c r="S270" s="41" t="n">
        <x:v>66</x:v>
      </x:c>
      <x:c r="T270" s="36" t="str">
        <x:v>Yes</x:v>
      </x:c>
      <x:c r="U270" s="36" t="str">
        <x:v>Delivered</x:v>
      </x:c>
    </x:row>
    <x:row r="271">
      <x:c r="A271" s="36" t="str">
        <x:v>PO-2025-0270</x:v>
      </x:c>
      <x:c r="B271" s="37" t="n">
        <x:v>45697</x:v>
      </x:c>
      <x:c r="C271" s="36" t="str">
        <x:v>February</x:v>
      </x:c>
      <x:c r="D271" s="36" t="str">
        <x:v>Saddledome Arena Retrofit</x:v>
      </x:c>
      <x:c r="E271" s="36" t="str">
        <x:v>Calgary SW</x:v>
      </x:c>
      <x:c r="F271" s="36" t="str">
        <x:v>James Okafor</x:v>
      </x:c>
      <x:c r="G271" s="36" t="str">
        <x:v>Finishing</x:v>
      </x:c>
      <x:c r="H271" s="36" t="str">
        <x:v>Waterproofing Membrane</x:v>
      </x:c>
      <x:c r="I271" s="36" t="str">
        <x:v>Armstrong World Industries</x:v>
      </x:c>
      <x:c r="J271" s="36" t="str">
        <x:v>LPO – Direct Award</x:v>
      </x:c>
      <x:c r="K271" s="38" t="n">
        <x:v>77</x:v>
      </x:c>
      <x:c r="L271" s="36" t="str">
        <x:v>m²</x:v>
      </x:c>
      <x:c r="M271" s="39" t="n">
        <x:v>341.07</x:v>
      </x:c>
      <x:c r="N271" s="39" t="n">
        <x:v>360.57</x:v>
      </x:c>
      <x:c r="O271" s="39" t="n">
        <x:v>26262.39</x:v>
      </x:c>
      <x:c r="P271" s="39" t="n">
        <x:v>27763.89</x:v>
      </x:c>
      <x:c r="Q271" s="39" t="n">
        <x:v>-1501.5</x:v>
      </x:c>
      <x:c r="R271" s="40" t="n">
        <x:v>-5.4</x:v>
      </x:c>
      <x:c r="S271" s="41" t="n">
        <x:v>81</x:v>
      </x:c>
      <x:c r="T271" s="36" t="str">
        <x:v>Yes</x:v>
      </x:c>
      <x:c r="U271" s="36" t="str">
        <x:v>Partially Delivered</x:v>
      </x:c>
    </x:row>
    <x:row r="272">
      <x:c r="A272" s="36" t="str">
        <x:v>PO-2025-0271</x:v>
      </x:c>
      <x:c r="B272" s="37" t="n">
        <x:v>45866</x:v>
      </x:c>
      <x:c r="C272" s="36" t="str">
        <x:v>July</x:v>
      </x:c>
      <x:c r="D272" s="36" t="str">
        <x:v>Foothills Medical Centre Expansion</x:v>
      </x:c>
      <x:c r="E272" s="36" t="str">
        <x:v>Calgary SE</x:v>
      </x:c>
      <x:c r="F272" s="36" t="str">
        <x:v>Mohammed Siddiqui</x:v>
      </x:c>
      <x:c r="G272" s="36" t="str">
        <x:v>Civil Works</x:v>
      </x:c>
      <x:c r="H272" s="36" t="str">
        <x:v>Road Base Aggregate</x:v>
      </x:c>
      <x:c r="I272" s="36" t="str">
        <x:v>Ledcor Civil Alberta</x:v>
      </x:c>
      <x:c r="J272" s="36" t="str">
        <x:v>Tender – Open</x:v>
      </x:c>
      <x:c r="K272" s="38" t="n">
        <x:v>72</x:v>
      </x:c>
      <x:c r="L272" s="36" t="str">
        <x:v>m³</x:v>
      </x:c>
      <x:c r="M272" s="39" t="n">
        <x:v>173.73</x:v>
      </x:c>
      <x:c r="N272" s="39" t="n">
        <x:v>205.31</x:v>
      </x:c>
      <x:c r="O272" s="39" t="n">
        <x:v>12508.56</x:v>
      </x:c>
      <x:c r="P272" s="39" t="n">
        <x:v>14782.32</x:v>
      </x:c>
      <x:c r="Q272" s="39" t="n">
        <x:v>-2273.76</x:v>
      </x:c>
      <x:c r="R272" s="40" t="n">
        <x:v>-15.4</x:v>
      </x:c>
      <x:c r="S272" s="41" t="n">
        <x:v>23</x:v>
      </x:c>
      <x:c r="T272" s="36" t="str">
        <x:v>Yes</x:v>
      </x:c>
      <x:c r="U272" s="36" t="str">
        <x:v>Partially Delivered</x:v>
      </x:c>
    </x:row>
    <x:row r="273">
      <x:c r="A273" s="36" t="str">
        <x:v>PO-2025-0272</x:v>
      </x:c>
      <x:c r="B273" s="37" t="n">
        <x:v>45987</x:v>
      </x:c>
      <x:c r="C273" s="36" t="str">
        <x:v>November</x:v>
      </x:c>
      <x:c r="D273" s="36" t="str">
        <x:v>Bow River Crossing Overpass</x:v>
      </x:c>
      <x:c r="E273" s="36" t="str">
        <x:v>Calgary SE</x:v>
      </x:c>
      <x:c r="F273" s="36" t="str">
        <x:v>James Okafor</x:v>
      </x:c>
      <x:c r="G273" s="36" t="str">
        <x:v>Civil Works</x:v>
      </x:c>
      <x:c r="H273" s="36" t="str">
        <x:v>Road Base Aggregate</x:v>
      </x:c>
      <x:c r="I273" s="36" t="str">
        <x:v>Ledcor Civil Alberta</x:v>
      </x:c>
      <x:c r="J273" s="36" t="str">
        <x:v>Tender – Open</x:v>
      </x:c>
      <x:c r="K273" s="38" t="n">
        <x:v>82</x:v>
      </x:c>
      <x:c r="L273" s="36" t="str">
        <x:v>m³</x:v>
      </x:c>
      <x:c r="M273" s="39" t="n">
        <x:v>205.87</x:v>
      </x:c>
      <x:c r="N273" s="39" t="n">
        <x:v>186.2</x:v>
      </x:c>
      <x:c r="O273" s="39" t="n">
        <x:v>16881.34</x:v>
      </x:c>
      <x:c r="P273" s="39" t="n">
        <x:v>15268.4</x:v>
      </x:c>
      <x:c r="Q273" s="39" t="n">
        <x:v>1612.94</x:v>
      </x:c>
      <x:c r="R273" s="40" t="n">
        <x:v>10.6</x:v>
      </x:c>
      <x:c r="S273" s="41" t="n">
        <x:v>22</x:v>
      </x:c>
      <x:c r="T273" s="36" t="str">
        <x:v>Yes</x:v>
      </x:c>
      <x:c r="U273" s="36" t="str">
        <x:v>Pending</x:v>
      </x:c>
    </x:row>
    <x:row r="274">
      <x:c r="A274" s="36" t="str">
        <x:v>PO-2025-0273</x:v>
      </x:c>
      <x:c r="B274" s="37" t="n">
        <x:v>45980</x:v>
      </x:c>
      <x:c r="C274" s="36" t="str">
        <x:v>November</x:v>
      </x:c>
      <x:c r="D274" s="36" t="str">
        <x:v>Calgary SE Ring Road Extension</x:v>
      </x:c>
      <x:c r="E274" s="36" t="str">
        <x:v>Calgary SE</x:v>
      </x:c>
      <x:c r="F274" s="36" t="str">
        <x:v>Priya Sharma</x:v>
      </x:c>
      <x:c r="G274" s="36" t="str">
        <x:v>Civil Works</x:v>
      </x:c>
      <x:c r="H274" s="36" t="str">
        <x:v>Granular Backfill</x:v>
      </x:c>
      <x:c r="I274" s="36" t="str">
        <x:v>Ledcor Civil Alberta</x:v>
      </x:c>
      <x:c r="J274" s="36" t="str">
        <x:v>Tender – Open</x:v>
      </x:c>
      <x:c r="K274" s="38" t="n">
        <x:v>26</x:v>
      </x:c>
      <x:c r="L274" s="36" t="str">
        <x:v>m³</x:v>
      </x:c>
      <x:c r="M274" s="39" t="n">
        <x:v>233.37</x:v>
      </x:c>
      <x:c r="N274" s="39" t="n">
        <x:v>271.69</x:v>
      </x:c>
      <x:c r="O274" s="39" t="n">
        <x:v>6067.62</x:v>
      </x:c>
      <x:c r="P274" s="39" t="n">
        <x:v>7063.94</x:v>
      </x:c>
      <x:c r="Q274" s="39" t="n">
        <x:v>-996.32</x:v>
      </x:c>
      <x:c r="R274" s="40" t="n">
        <x:v>-14.1</x:v>
      </x:c>
      <x:c r="S274" s="41" t="n">
        <x:v>58</x:v>
      </x:c>
      <x:c r="T274" s="36" t="str">
        <x:v>Yes</x:v>
      </x:c>
      <x:c r="U274" s="36" t="str">
        <x:v>Delivered</x:v>
      </x:c>
    </x:row>
    <x:row r="275">
      <x:c r="A275" s="36" t="str">
        <x:v>PO-2025-0274</x:v>
      </x:c>
      <x:c r="B275" s="37" t="n">
        <x:v>45903</x:v>
      </x:c>
      <x:c r="C275" s="36" t="str">
        <x:v>September</x:v>
      </x:c>
      <x:c r="D275" s="36" t="str">
        <x:v>Bow River Crossing Overpass</x:v>
      </x:c>
      <x:c r="E275" s="36" t="str">
        <x:v>Calgary SW</x:v>
      </x:c>
      <x:c r="F275" s="36" t="str">
        <x:v>Aisha Nkosi</x:v>
      </x:c>
      <x:c r="G275" s="36" t="str">
        <x:v>Safety &amp; Temp Works</x:v>
      </x:c>
      <x:c r="H275" s="36" t="str">
        <x:v>Site Office Trailer</x:v>
      </x:c>
      <x:c r="I275" s="36" t="str">
        <x:v>Levitt-Safety Calgary</x:v>
      </x:c>
      <x:c r="J275" s="36" t="str">
        <x:v>3-Quote Comparison</x:v>
      </x:c>
      <x:c r="K275" s="38" t="n">
        <x:v>54</x:v>
      </x:c>
      <x:c r="L275" s="36" t="str">
        <x:v>lot</x:v>
      </x:c>
      <x:c r="M275" s="39" t="n">
        <x:v>1127.28</x:v>
      </x:c>
      <x:c r="N275" s="39" t="n">
        <x:v>1002.63</x:v>
      </x:c>
      <x:c r="O275" s="39" t="n">
        <x:v>60873.12</x:v>
      </x:c>
      <x:c r="P275" s="39" t="n">
        <x:v>54142.02</x:v>
      </x:c>
      <x:c r="Q275" s="39" t="n">
        <x:v>6731.1</x:v>
      </x:c>
      <x:c r="R275" s="40" t="n">
        <x:v>12.4</x:v>
      </x:c>
      <x:c r="S275" s="41" t="n">
        <x:v>81</x:v>
      </x:c>
      <x:c r="T275" s="36" t="str">
        <x:v>Yes</x:v>
      </x:c>
      <x:c r="U275" s="36" t="str">
        <x:v>Delivered</x:v>
      </x:c>
    </x:row>
    <x:row r="276">
      <x:c r="A276" s="36" t="str">
        <x:v>PO-2025-0275</x:v>
      </x:c>
      <x:c r="B276" s="37" t="n">
        <x:v>45890</x:v>
      </x:c>
      <x:c r="C276" s="36" t="str">
        <x:v>August</x:v>
      </x:c>
      <x:c r="D276" s="36" t="str">
        <x:v>Stampede Park Infrastructure Upgrade</x:v>
      </x:c>
      <x:c r="E276" s="36" t="str">
        <x:v>Rocky View County</x:v>
      </x:c>
      <x:c r="F276" s="36" t="str">
        <x:v>Derek McLean</x:v>
      </x:c>
      <x:c r="G276" s="36" t="str">
        <x:v>MEP - Electrical</x:v>
      </x:c>
      <x:c r="H276" s="36" t="str">
        <x:v>LED Site Lighting</x:v>
      </x:c>
      <x:c r="I276" s="36" t="str">
        <x:v>Schneider Electric Canada</x:v>
      </x:c>
      <x:c r="J276" s="36" t="str">
        <x:v>Standing Offer Agreement</x:v>
      </x:c>
      <x:c r="K276" s="38" t="n">
        <x:v>18</x:v>
      </x:c>
      <x:c r="L276" s="36" t="str">
        <x:v>lot</x:v>
      </x:c>
      <x:c r="M276" s="39" t="n">
        <x:v>33632.69</x:v>
      </x:c>
      <x:c r="N276" s="39" t="n">
        <x:v>33521.75</x:v>
      </x:c>
      <x:c r="O276" s="39" t="n">
        <x:v>605388.42</x:v>
      </x:c>
      <x:c r="P276" s="39" t="n">
        <x:v>603391.5</x:v>
      </x:c>
      <x:c r="Q276" s="39" t="n">
        <x:v>1996.92</x:v>
      </x:c>
      <x:c r="R276" s="40" t="n">
        <x:v>0.3</x:v>
      </x:c>
      <x:c r="S276" s="41" t="n">
        <x:v>77</x:v>
      </x:c>
      <x:c r="T276" s="36" t="str">
        <x:v>No</x:v>
      </x:c>
      <x:c r="U276" s="36" t="str">
        <x:v>Delivered</x:v>
      </x:c>
    </x:row>
    <x:row r="277">
      <x:c r="A277" s="36" t="str">
        <x:v>PO-2025-0276</x:v>
      </x:c>
      <x:c r="B277" s="37" t="n">
        <x:v>45980</x:v>
      </x:c>
      <x:c r="C277" s="36" t="str">
        <x:v>November</x:v>
      </x:c>
      <x:c r="D277" s="36" t="str">
        <x:v>Calgary SE Ring Road Extension</x:v>
      </x:c>
      <x:c r="E277" s="36" t="str">
        <x:v>Calgary SW</x:v>
      </x:c>
      <x:c r="F277" s="36" t="str">
        <x:v>James Okafor</x:v>
      </x:c>
      <x:c r="G277" s="36" t="str">
        <x:v>Finishing</x:v>
      </x:c>
      <x:c r="H277" s="36" t="str">
        <x:v>Ceramic Floor Tile</x:v>
      </x:c>
      <x:c r="I277" s="36" t="str">
        <x:v>Centura Tile Calgary</x:v>
      </x:c>
      <x:c r="J277" s="36" t="str">
        <x:v>Standing Offer Agreement</x:v>
      </x:c>
      <x:c r="K277" s="38" t="n">
        <x:v>39</x:v>
      </x:c>
      <x:c r="L277" s="36" t="str">
        <x:v>m²</x:v>
      </x:c>
      <x:c r="M277" s="39" t="n">
        <x:v>306.76</x:v>
      </x:c>
      <x:c r="N277" s="39" t="n">
        <x:v>379.44</x:v>
      </x:c>
      <x:c r="O277" s="39" t="n">
        <x:v>11963.64</x:v>
      </x:c>
      <x:c r="P277" s="39" t="n">
        <x:v>14798.16</x:v>
      </x:c>
      <x:c r="Q277" s="39" t="n">
        <x:v>-2834.52</x:v>
      </x:c>
      <x:c r="R277" s="40" t="n">
        <x:v>-19.2</x:v>
      </x:c>
      <x:c r="S277" s="41" t="n">
        <x:v>77</x:v>
      </x:c>
      <x:c r="T277" s="36" t="str">
        <x:v>Yes</x:v>
      </x:c>
      <x:c r="U277" s="36" t="str">
        <x:v>Delivered</x:v>
      </x:c>
    </x:row>
    <x:row r="278">
      <x:c r="A278" s="36" t="str">
        <x:v>PO-2025-0277</x:v>
      </x:c>
      <x:c r="B278" s="37" t="n">
        <x:v>45698</x:v>
      </x:c>
      <x:c r="C278" s="36" t="str">
        <x:v>February</x:v>
      </x:c>
      <x:c r="D278" s="36" t="str">
        <x:v>Stampede Park Infrastructure Upgrade</x:v>
      </x:c>
      <x:c r="E278" s="36" t="str">
        <x:v>Calgary NE</x:v>
      </x:c>
      <x:c r="F278" s="36" t="str">
        <x:v>Priya Sharma</x:v>
      </x:c>
      <x:c r="G278" s="36" t="str">
        <x:v>Civil Works</x:v>
      </x:c>
      <x:c r="H278" s="36" t="str">
        <x:v>Granular Backfill</x:v>
      </x:c>
      <x:c r="I278" s="36" t="str">
        <x:v>Kiewit Infrastructure</x:v>
      </x:c>
      <x:c r="J278" s="36" t="str">
        <x:v>3-Quote Comparison</x:v>
      </x:c>
      <x:c r="K278" s="38" t="n">
        <x:v>112</x:v>
      </x:c>
      <x:c r="L278" s="36" t="str">
        <x:v>m³</x:v>
      </x:c>
      <x:c r="M278" s="39" t="n">
        <x:v>187.37</x:v>
      </x:c>
      <x:c r="N278" s="39" t="n">
        <x:v>190.58</x:v>
      </x:c>
      <x:c r="O278" s="39" t="n">
        <x:v>20985.44</x:v>
      </x:c>
      <x:c r="P278" s="39" t="n">
        <x:v>21344.96</x:v>
      </x:c>
      <x:c r="Q278" s="39" t="n">
        <x:v>-359.52</x:v>
      </x:c>
      <x:c r="R278" s="40" t="n">
        <x:v>-1.7</x:v>
      </x:c>
      <x:c r="S278" s="41" t="n">
        <x:v>69</x:v>
      </x:c>
      <x:c r="T278" s="36" t="str">
        <x:v>Yes</x:v>
      </x:c>
      <x:c r="U278" s="36" t="str">
        <x:v>Cancelled</x:v>
      </x:c>
    </x:row>
    <x:row r="279">
      <x:c r="A279" s="36" t="str">
        <x:v>PO-2025-0278</x:v>
      </x:c>
      <x:c r="B279" s="37" t="n">
        <x:v>45969</x:v>
      </x:c>
      <x:c r="C279" s="36" t="str">
        <x:v>November</x:v>
      </x:c>
      <x:c r="D279" s="36" t="str">
        <x:v>Springbank Off-Stream Reservoir</x:v>
      </x:c>
      <x:c r="E279" s="36" t="str">
        <x:v>Rocky View County</x:v>
      </x:c>
      <x:c r="F279" s="36" t="str">
        <x:v>James Okafor</x:v>
      </x:c>
      <x:c r="G279" s="36" t="str">
        <x:v>Concrete &amp; Structural</x:v>
      </x:c>
      <x:c r="H279" s="36" t="str">
        <x:v>Precast Deck Panels</x:v>
      </x:c>
      <x:c r="I279" s="36" t="str">
        <x:v>Lafarge Canada - Calgary</x:v>
      </x:c>
      <x:c r="J279" s="36" t="str">
        <x:v>Tender – Open</x:v>
      </x:c>
      <x:c r="K279" s="38" t="n">
        <x:v>18</x:v>
      </x:c>
      <x:c r="L279" s="36" t="str">
        <x:v>m³</x:v>
      </x:c>
      <x:c r="M279" s="39" t="n">
        <x:v>263.52</x:v>
      </x:c>
      <x:c r="N279" s="39" t="n">
        <x:v>273.23</x:v>
      </x:c>
      <x:c r="O279" s="39" t="n">
        <x:v>4743.36</x:v>
      </x:c>
      <x:c r="P279" s="39" t="n">
        <x:v>4918.14</x:v>
      </x:c>
      <x:c r="Q279" s="39" t="n">
        <x:v>-174.78</x:v>
      </x:c>
      <x:c r="R279" s="40" t="n">
        <x:v>-3.6</x:v>
      </x:c>
      <x:c r="S279" s="41" t="n">
        <x:v>76</x:v>
      </x:c>
      <x:c r="T279" s="36" t="str">
        <x:v>Yes</x:v>
      </x:c>
      <x:c r="U279" s="36" t="str">
        <x:v>Cancelled</x:v>
      </x:c>
    </x:row>
    <x:row r="280">
      <x:c r="A280" s="36" t="str">
        <x:v>PO-2025-0279</x:v>
      </x:c>
      <x:c r="B280" s="37" t="n">
        <x:v>45970</x:v>
      </x:c>
      <x:c r="C280" s="36" t="str">
        <x:v>November</x:v>
      </x:c>
      <x:c r="D280" s="36" t="str">
        <x:v>Rocky View Industrial Logistics Hub</x:v>
      </x:c>
      <x:c r="E280" s="36" t="str">
        <x:v>Calgary NE</x:v>
      </x:c>
      <x:c r="F280" s="36" t="str">
        <x:v>Aisha Nkosi</x:v>
      </x:c>
      <x:c r="G280" s="36" t="str">
        <x:v>MEP - Electrical</x:v>
      </x:c>
      <x:c r="H280" s="36" t="str">
        <x:v>Grounding System</x:v>
      </x:c>
      <x:c r="I280" s="36" t="str">
        <x:v>Schneider Electric Canada</x:v>
      </x:c>
      <x:c r="J280" s="36" t="str">
        <x:v>Emergency Procurement</x:v>
      </x:c>
      <x:c r="K280" s="38" t="n">
        <x:v>116</x:v>
      </x:c>
      <x:c r="L280" s="36" t="str">
        <x:v>lot</x:v>
      </x:c>
      <x:c r="M280" s="39" t="n">
        <x:v>35780.27</x:v>
      </x:c>
      <x:c r="N280" s="39" t="n">
        <x:v>42789.8</x:v>
      </x:c>
      <x:c r="O280" s="39" t="n">
        <x:v>4150511.32</x:v>
      </x:c>
      <x:c r="P280" s="39" t="n">
        <x:v>4963616.8</x:v>
      </x:c>
      <x:c r="Q280" s="39" t="n">
        <x:v>-813105.48</x:v>
      </x:c>
      <x:c r="R280" s="40" t="n">
        <x:v>-16.4</x:v>
      </x:c>
      <x:c r="S280" s="41" t="n">
        <x:v>12</x:v>
      </x:c>
      <x:c r="T280" s="36" t="str">
        <x:v>Yes</x:v>
      </x:c>
      <x:c r="U280" s="36" t="str">
        <x:v>Cancelled</x:v>
      </x:c>
    </x:row>
    <x:row r="281">
      <x:c r="A281" s="36" t="str">
        <x:v>PO-2025-0280</x:v>
      </x:c>
      <x:c r="B281" s="37" t="n">
        <x:v>45960</x:v>
      </x:c>
      <x:c r="C281" s="36" t="str">
        <x:v>October</x:v>
      </x:c>
      <x:c r="D281" s="36" t="str">
        <x:v>Saddledome Arena Retrofit</x:v>
      </x:c>
      <x:c r="E281" s="36" t="str">
        <x:v>Rocky View County</x:v>
      </x:c>
      <x:c r="F281" s="36" t="str">
        <x:v>Derek McLean</x:v>
      </x:c>
      <x:c r="G281" s="36" t="str">
        <x:v>MEP - Electrical</x:v>
      </x:c>
      <x:c r="H281" s="36" t="str">
        <x:v>Standby Generator</x:v>
      </x:c>
      <x:c r="I281" s="36" t="str">
        <x:v>Houle Electric</x:v>
      </x:c>
      <x:c r="J281" s="36" t="str">
        <x:v>Standing Offer Agreement</x:v>
      </x:c>
      <x:c r="K281" s="38" t="n">
        <x:v>8</x:v>
      </x:c>
      <x:c r="L281" s="36" t="str">
        <x:v>lot</x:v>
      </x:c>
      <x:c r="M281" s="39" t="n">
        <x:v>6430.01</x:v>
      </x:c>
      <x:c r="N281" s="39" t="n">
        <x:v>7180.37</x:v>
      </x:c>
      <x:c r="O281" s="39" t="n">
        <x:v>51440.08</x:v>
      </x:c>
      <x:c r="P281" s="39" t="n">
        <x:v>57442.96</x:v>
      </x:c>
      <x:c r="Q281" s="39" t="n">
        <x:v>-6002.88</x:v>
      </x:c>
      <x:c r="R281" s="40" t="n">
        <x:v>-10.5</x:v>
      </x:c>
      <x:c r="S281" s="41" t="n">
        <x:v>17</x:v>
      </x:c>
      <x:c r="T281" s="36" t="str">
        <x:v>Yes</x:v>
      </x:c>
      <x:c r="U281" s="36" t="str">
        <x:v>Pending</x:v>
      </x:c>
    </x:row>
    <x:row r="282">
      <x:c r="A282" s="36" t="str">
        <x:v>PO-2025-0281</x:v>
      </x:c>
      <x:c r="B282" s="37" t="n">
        <x:v>45759</x:v>
      </x:c>
      <x:c r="C282" s="36" t="str">
        <x:v>April</x:v>
      </x:c>
      <x:c r="D282" s="36" t="str">
        <x:v>Springbank Off-Stream Reservoir</x:v>
      </x:c>
      <x:c r="E282" s="36" t="str">
        <x:v>Rocky View County</x:v>
      </x:c>
      <x:c r="F282" s="36" t="str">
        <x:v>James Okafor</x:v>
      </x:c>
      <x:c r="G282" s="36" t="str">
        <x:v>Concrete &amp; Structural</x:v>
      </x:c>
      <x:c r="H282" s="36" t="str">
        <x:v>Precast Deck Panels</x:v>
      </x:c>
      <x:c r="I282" s="36" t="str">
        <x:v>Evraz Steel Calgary</x:v>
      </x:c>
      <x:c r="J282" s="36" t="str">
        <x:v>Standing Offer Agreement</x:v>
      </x:c>
      <x:c r="K282" s="38" t="n">
        <x:v>57</x:v>
      </x:c>
      <x:c r="L282" s="36" t="str">
        <x:v>m³</x:v>
      </x:c>
      <x:c r="M282" s="39" t="n">
        <x:v>598.16</x:v>
      </x:c>
      <x:c r="N282" s="39" t="n">
        <x:v>554.9</x:v>
      </x:c>
      <x:c r="O282" s="39" t="n">
        <x:v>34095.12</x:v>
      </x:c>
      <x:c r="P282" s="39" t="n">
        <x:v>31629.3</x:v>
      </x:c>
      <x:c r="Q282" s="39" t="n">
        <x:v>2465.82</x:v>
      </x:c>
      <x:c r="R282" s="40" t="n">
        <x:v>7.8</x:v>
      </x:c>
      <x:c r="S282" s="41" t="n">
        <x:v>67</x:v>
      </x:c>
      <x:c r="T282" s="36" t="str">
        <x:v>Yes</x:v>
      </x:c>
      <x:c r="U282" s="36" t="str">
        <x:v>Delivered</x:v>
      </x:c>
    </x:row>
    <x:row r="283">
      <x:c r="A283" s="36" t="str">
        <x:v>PO-2025-0282</x:v>
      </x:c>
      <x:c r="B283" s="37" t="n">
        <x:v>45988</x:v>
      </x:c>
      <x:c r="C283" s="36" t="str">
        <x:v>November</x:v>
      </x:c>
      <x:c r="D283" s="36" t="str">
        <x:v>Calgary SE Ring Road Extension</x:v>
      </x:c>
      <x:c r="E283" s="36" t="str">
        <x:v>Calgary SE</x:v>
      </x:c>
      <x:c r="F283" s="36" t="str">
        <x:v>Priya Sharma</x:v>
      </x:c>
      <x:c r="G283" s="36" t="str">
        <x:v>MEP - Mechanical</x:v>
      </x:c>
      <x:c r="H283" s="36" t="str">
        <x:v>Heat Pump Assembly</x:v>
      </x:c>
      <x:c r="I283" s="36" t="str">
        <x:v>Ainsworth Inc.</x:v>
      </x:c>
      <x:c r="J283" s="36" t="str">
        <x:v>LPO – Direct Award</x:v>
      </x:c>
      <x:c r="K283" s="38" t="n">
        <x:v>17</x:v>
      </x:c>
      <x:c r="L283" s="36" t="str">
        <x:v>lot</x:v>
      </x:c>
      <x:c r="M283" s="39" t="n">
        <x:v>49324.59</x:v>
      </x:c>
      <x:c r="N283" s="39" t="n">
        <x:v>59439.81</x:v>
      </x:c>
      <x:c r="O283" s="39" t="n">
        <x:v>838518.03</x:v>
      </x:c>
      <x:c r="P283" s="39" t="n">
        <x:v>1010476.77</x:v>
      </x:c>
      <x:c r="Q283" s="39" t="n">
        <x:v>-171958.74</x:v>
      </x:c>
      <x:c r="R283" s="40" t="n">
        <x:v>-17</x:v>
      </x:c>
      <x:c r="S283" s="41" t="n">
        <x:v>15</x:v>
      </x:c>
      <x:c r="T283" s="36" t="str">
        <x:v>No</x:v>
      </x:c>
      <x:c r="U283" s="36" t="str">
        <x:v>Cancelled</x:v>
      </x:c>
    </x:row>
    <x:row r="284">
      <x:c r="A284" s="36" t="str">
        <x:v>PO-2025-0283</x:v>
      </x:c>
      <x:c r="B284" s="37" t="n">
        <x:v>45933</x:v>
      </x:c>
      <x:c r="C284" s="36" t="str">
        <x:v>October</x:v>
      </x:c>
      <x:c r="D284" s="36" t="str">
        <x:v>Rocky View Industrial Logistics Hub</x:v>
      </x:c>
      <x:c r="E284" s="36" t="str">
        <x:v>Rocky View County</x:v>
      </x:c>
      <x:c r="F284" s="36" t="str">
        <x:v>Linda Tran</x:v>
      </x:c>
      <x:c r="G284" s="36" t="str">
        <x:v>Civil Works</x:v>
      </x:c>
      <x:c r="H284" s="36" t="str">
        <x:v>Bulk Excavation</x:v>
      </x:c>
      <x:c r="I284" s="36" t="str">
        <x:v>EllisDon Civil</x:v>
      </x:c>
      <x:c r="J284" s="36" t="str">
        <x:v>Standing Offer Agreement</x:v>
      </x:c>
      <x:c r="K284" s="38" t="n">
        <x:v>92</x:v>
      </x:c>
      <x:c r="L284" s="36" t="str">
        <x:v>m³</x:v>
      </x:c>
      <x:c r="M284" s="39" t="n">
        <x:v>183.95</x:v>
      </x:c>
      <x:c r="N284" s="39" t="n">
        <x:v>219.43</x:v>
      </x:c>
      <x:c r="O284" s="39" t="n">
        <x:v>16923.4</x:v>
      </x:c>
      <x:c r="P284" s="39" t="n">
        <x:v>20187.56</x:v>
      </x:c>
      <x:c r="Q284" s="39" t="n">
        <x:v>-3264.16</x:v>
      </x:c>
      <x:c r="R284" s="40" t="n">
        <x:v>-16.2</x:v>
      </x:c>
      <x:c r="S284" s="41" t="n">
        <x:v>76</x:v>
      </x:c>
      <x:c r="T284" s="36" t="str">
        <x:v>Yes</x:v>
      </x:c>
      <x:c r="U284" s="36" t="str">
        <x:v>Delivered</x:v>
      </x:c>
    </x:row>
    <x:row r="285">
      <x:c r="A285" s="36" t="str">
        <x:v>PO-2025-0284</x:v>
      </x:c>
      <x:c r="B285" s="37" t="n">
        <x:v>45681</x:v>
      </x:c>
      <x:c r="C285" s="36" t="str">
        <x:v>January</x:v>
      </x:c>
      <x:c r="D285" s="36" t="str">
        <x:v>Deerfoot Trail Widening - North</x:v>
      </x:c>
      <x:c r="E285" s="36" t="str">
        <x:v>Rocky View County</x:v>
      </x:c>
      <x:c r="F285" s="36" t="str">
        <x:v>Priya Sharma</x:v>
      </x:c>
      <x:c r="G285" s="36" t="str">
        <x:v>Finishing</x:v>
      </x:c>
      <x:c r="H285" s="36" t="str">
        <x:v>Acoustic Ceiling Grid</x:v>
      </x:c>
      <x:c r="I285" s="36" t="str">
        <x:v>Centura Tile Calgary</x:v>
      </x:c>
      <x:c r="J285" s="36" t="str">
        <x:v>Standing Offer Agreement</x:v>
      </x:c>
      <x:c r="K285" s="38" t="n">
        <x:v>29</x:v>
      </x:c>
      <x:c r="L285" s="36" t="str">
        <x:v>m²</x:v>
      </x:c>
      <x:c r="M285" s="39" t="n">
        <x:v>327.46</x:v>
      </x:c>
      <x:c r="N285" s="39" t="n">
        <x:v>385.83</x:v>
      </x:c>
      <x:c r="O285" s="39" t="n">
        <x:v>9496.34</x:v>
      </x:c>
      <x:c r="P285" s="39" t="n">
        <x:v>11189.07</x:v>
      </x:c>
      <x:c r="Q285" s="39" t="n">
        <x:v>-1692.73</x:v>
      </x:c>
      <x:c r="R285" s="40" t="n">
        <x:v>-15.1</x:v>
      </x:c>
      <x:c r="S285" s="41" t="n">
        <x:v>7</x:v>
      </x:c>
      <x:c r="T285" s="36" t="str">
        <x:v>No</x:v>
      </x:c>
      <x:c r="U285" s="36" t="str">
        <x:v>Delivered</x:v>
      </x:c>
    </x:row>
    <x:row r="286">
      <x:c r="A286" s="36" t="str">
        <x:v>PO-2025-0285</x:v>
      </x:c>
      <x:c r="B286" s="37" t="n">
        <x:v>45846</x:v>
      </x:c>
      <x:c r="C286" s="36" t="str">
        <x:v>July</x:v>
      </x:c>
      <x:c r="D286" s="36" t="str">
        <x:v>Calgary SE Ring Road Extension</x:v>
      </x:c>
      <x:c r="E286" s="36" t="str">
        <x:v>Calgary SE</x:v>
      </x:c>
      <x:c r="F286" s="36" t="str">
        <x:v>Linda Tran</x:v>
      </x:c>
      <x:c r="G286" s="36" t="str">
        <x:v>MEP - Mechanical</x:v>
      </x:c>
      <x:c r="H286" s="36" t="str">
        <x:v>HVAC Rooftop Unit</x:v>
      </x:c>
      <x:c r="I286" s="36" t="str">
        <x:v>Stantec MEP</x:v>
      </x:c>
      <x:c r="J286" s="36" t="str">
        <x:v>3-Quote Comparison</x:v>
      </x:c>
      <x:c r="K286" s="38" t="n">
        <x:v>44</x:v>
      </x:c>
      <x:c r="L286" s="36" t="str">
        <x:v>lot</x:v>
      </x:c>
      <x:c r="M286" s="39" t="n">
        <x:v>22549.77</x:v>
      </x:c>
      <x:c r="N286" s="39" t="n">
        <x:v>19522.7</x:v>
      </x:c>
      <x:c r="O286" s="39" t="n">
        <x:v>992189.88</x:v>
      </x:c>
      <x:c r="P286" s="39" t="n">
        <x:v>858998.8</x:v>
      </x:c>
      <x:c r="Q286" s="39" t="n">
        <x:v>133191.08</x:v>
      </x:c>
      <x:c r="R286" s="40" t="n">
        <x:v>15.5</x:v>
      </x:c>
      <x:c r="S286" s="41" t="n">
        <x:v>33</x:v>
      </x:c>
      <x:c r="T286" s="36" t="str">
        <x:v>No</x:v>
      </x:c>
      <x:c r="U286" s="36" t="str">
        <x:v>Delivered</x:v>
      </x:c>
    </x:row>
    <x:row r="287">
      <x:c r="A287" s="36" t="str">
        <x:v>PO-2025-0286</x:v>
      </x:c>
      <x:c r="B287" s="37" t="n">
        <x:v>45760</x:v>
      </x:c>
      <x:c r="C287" s="36" t="str">
        <x:v>April</x:v>
      </x:c>
      <x:c r="D287" s="36" t="str">
        <x:v>Foothills Medical Centre Expansion</x:v>
      </x:c>
      <x:c r="E287" s="36" t="str">
        <x:v>Rocky View County</x:v>
      </x:c>
      <x:c r="F287" s="36" t="str">
        <x:v>Mohammed Siddiqui</x:v>
      </x:c>
      <x:c r="G287" s="36" t="str">
        <x:v>MEP - Electrical</x:v>
      </x:c>
      <x:c r="H287" s="36" t="str">
        <x:v>Grounding System</x:v>
      </x:c>
      <x:c r="I287" s="36" t="str">
        <x:v>Schneider Electric Canada</x:v>
      </x:c>
      <x:c r="J287" s="36" t="str">
        <x:v>LPO – Direct Award</x:v>
      </x:c>
      <x:c r="K287" s="38" t="n">
        <x:v>46</x:v>
      </x:c>
      <x:c r="L287" s="36" t="str">
        <x:v>lot</x:v>
      </x:c>
      <x:c r="M287" s="39" t="n">
        <x:v>42206.09</x:v>
      </x:c>
      <x:c r="N287" s="39" t="n">
        <x:v>37726.34</x:v>
      </x:c>
      <x:c r="O287" s="39" t="n">
        <x:v>1941480.14</x:v>
      </x:c>
      <x:c r="P287" s="39" t="n">
        <x:v>1735411.64</x:v>
      </x:c>
      <x:c r="Q287" s="39" t="n">
        <x:v>206068.5</x:v>
      </x:c>
      <x:c r="R287" s="40" t="n">
        <x:v>11.9</x:v>
      </x:c>
      <x:c r="S287" s="41" t="n">
        <x:v>16</x:v>
      </x:c>
      <x:c r="T287" s="36" t="str">
        <x:v>Yes</x:v>
      </x:c>
      <x:c r="U287" s="36" t="str">
        <x:v>Delivered</x:v>
      </x:c>
    </x:row>
    <x:row r="288">
      <x:c r="A288" s="36" t="str">
        <x:v>PO-2025-0287</x:v>
      </x:c>
      <x:c r="B288" s="37" t="n">
        <x:v>45690</x:v>
      </x:c>
      <x:c r="C288" s="36" t="str">
        <x:v>February</x:v>
      </x:c>
      <x:c r="D288" s="36" t="str">
        <x:v>Quarry Park Mixed-Use Development</x:v>
      </x:c>
      <x:c r="E288" s="36" t="str">
        <x:v>Calgary SE</x:v>
      </x:c>
      <x:c r="F288" s="36" t="str">
        <x:v>Linda Tran</x:v>
      </x:c>
      <x:c r="G288" s="36" t="str">
        <x:v>Finishing</x:v>
      </x:c>
      <x:c r="H288" s="36" t="str">
        <x:v>Ceramic Floor Tile</x:v>
      </x:c>
      <x:c r="I288" s="36" t="str">
        <x:v>Armstrong World Industries</x:v>
      </x:c>
      <x:c r="J288" s="36" t="str">
        <x:v>3-Quote Comparison</x:v>
      </x:c>
      <x:c r="K288" s="38" t="n">
        <x:v>29</x:v>
      </x:c>
      <x:c r="L288" s="36" t="str">
        <x:v>m²</x:v>
      </x:c>
      <x:c r="M288" s="39" t="n">
        <x:v>431.95</x:v>
      </x:c>
      <x:c r="N288" s="39" t="n">
        <x:v>391.38</x:v>
      </x:c>
      <x:c r="O288" s="39" t="n">
        <x:v>12526.55</x:v>
      </x:c>
      <x:c r="P288" s="39" t="n">
        <x:v>11350.02</x:v>
      </x:c>
      <x:c r="Q288" s="39" t="n">
        <x:v>1176.53</x:v>
      </x:c>
      <x:c r="R288" s="40" t="n">
        <x:v>10.4</x:v>
      </x:c>
      <x:c r="S288" s="41" t="n">
        <x:v>42</x:v>
      </x:c>
      <x:c r="T288" s="36" t="str">
        <x:v>Yes</x:v>
      </x:c>
      <x:c r="U288" s="36" t="str">
        <x:v>Delivered</x:v>
      </x:c>
    </x:row>
    <x:row r="289">
      <x:c r="A289" s="36" t="str">
        <x:v>PO-2025-0288</x:v>
      </x:c>
      <x:c r="B289" s="37" t="n">
        <x:v>45958</x:v>
      </x:c>
      <x:c r="C289" s="36" t="str">
        <x:v>October</x:v>
      </x:c>
      <x:c r="D289" s="36" t="str">
        <x:v>Rocky View Industrial Logistics Hub</x:v>
      </x:c>
      <x:c r="E289" s="36" t="str">
        <x:v>Calgary SW</x:v>
      </x:c>
      <x:c r="F289" s="36" t="str">
        <x:v>Liam Kowalski</x:v>
      </x:c>
      <x:c r="G289" s="36" t="str">
        <x:v>Concrete &amp; Structural</x:v>
      </x:c>
      <x:c r="H289" s="36" t="str">
        <x:v>Structural Formwork</x:v>
      </x:c>
      <x:c r="I289" s="36" t="str">
        <x:v>Lafarge Canada - Calgary</x:v>
      </x:c>
      <x:c r="J289" s="36" t="str">
        <x:v>Tender – Open</x:v>
      </x:c>
      <x:c r="K289" s="38" t="n">
        <x:v>38</x:v>
      </x:c>
      <x:c r="L289" s="36" t="str">
        <x:v>m³</x:v>
      </x:c>
      <x:c r="M289" s="39" t="n">
        <x:v>344.26</x:v>
      </x:c>
      <x:c r="N289" s="39" t="n">
        <x:v>401.58</x:v>
      </x:c>
      <x:c r="O289" s="39" t="n">
        <x:v>13081.88</x:v>
      </x:c>
      <x:c r="P289" s="39" t="n">
        <x:v>15260.04</x:v>
      </x:c>
      <x:c r="Q289" s="39" t="n">
        <x:v>-2178.16</x:v>
      </x:c>
      <x:c r="R289" s="40" t="n">
        <x:v>-14.3</x:v>
      </x:c>
      <x:c r="S289" s="41" t="n">
        <x:v>55</x:v>
      </x:c>
      <x:c r="T289" s="36" t="str">
        <x:v>Yes</x:v>
      </x:c>
      <x:c r="U289" s="36" t="str">
        <x:v>Pending</x:v>
      </x:c>
    </x:row>
    <x:row r="290">
      <x:c r="A290" s="36" t="str">
        <x:v>PO-2025-0289</x:v>
      </x:c>
      <x:c r="B290" s="37" t="n">
        <x:v>45870</x:v>
      </x:c>
      <x:c r="C290" s="36" t="str">
        <x:v>August</x:v>
      </x:c>
      <x:c r="D290" s="36" t="str">
        <x:v>Calgary SE Ring Road Extension</x:v>
      </x:c>
      <x:c r="E290" s="36" t="str">
        <x:v>Rocky View County</x:v>
      </x:c>
      <x:c r="F290" s="36" t="str">
        <x:v>Aisha Nkosi</x:v>
      </x:c>
      <x:c r="G290" s="36" t="str">
        <x:v>MEP - Mechanical</x:v>
      </x:c>
      <x:c r="H290" s="36" t="str">
        <x:v>Heat Pump Assembly</x:v>
      </x:c>
      <x:c r="I290" s="36" t="str">
        <x:v>PCL Mechanical</x:v>
      </x:c>
      <x:c r="J290" s="36" t="str">
        <x:v>3-Quote Comparison</x:v>
      </x:c>
      <x:c r="K290" s="38" t="n">
        <x:v>100</x:v>
      </x:c>
      <x:c r="L290" s="36" t="str">
        <x:v>lot</x:v>
      </x:c>
      <x:c r="M290" s="39" t="n">
        <x:v>51739.16</x:v>
      </x:c>
      <x:c r="N290" s="39" t="n">
        <x:v>45495.57</x:v>
      </x:c>
      <x:c r="O290" s="39" t="n">
        <x:v>5173916</x:v>
      </x:c>
      <x:c r="P290" s="39" t="n">
        <x:v>4549557</x:v>
      </x:c>
      <x:c r="Q290" s="39" t="n">
        <x:v>624359</x:v>
      </x:c>
      <x:c r="R290" s="40" t="n">
        <x:v>13.7</x:v>
      </x:c>
      <x:c r="S290" s="41" t="n">
        <x:v>56</x:v>
      </x:c>
      <x:c r="T290" s="36" t="str">
        <x:v>No</x:v>
      </x:c>
      <x:c r="U290" s="36" t="str">
        <x:v>Delivered</x:v>
      </x:c>
    </x:row>
    <x:row r="291">
      <x:c r="A291" s="36" t="str">
        <x:v>PO-2025-0290</x:v>
      </x:c>
      <x:c r="B291" s="37" t="n">
        <x:v>45862</x:v>
      </x:c>
      <x:c r="C291" s="36" t="str">
        <x:v>July</x:v>
      </x:c>
      <x:c r="D291" s="36" t="str">
        <x:v>Springbank Off-Stream Reservoir</x:v>
      </x:c>
      <x:c r="E291" s="36" t="str">
        <x:v>Calgary SE</x:v>
      </x:c>
      <x:c r="F291" s="36" t="str">
        <x:v>Liam Kowalski</x:v>
      </x:c>
      <x:c r="G291" s="36" t="str">
        <x:v>MEP - Electrical</x:v>
      </x:c>
      <x:c r="H291" s="36" t="str">
        <x:v>MV Distribution Cable</x:v>
      </x:c>
      <x:c r="I291" s="36" t="str">
        <x:v>Flint Energy Services</x:v>
      </x:c>
      <x:c r="J291" s="36" t="str">
        <x:v>Tender – Open</x:v>
      </x:c>
      <x:c r="K291" s="38" t="n">
        <x:v>102</x:v>
      </x:c>
      <x:c r="L291" s="36" t="str">
        <x:v>lot</x:v>
      </x:c>
      <x:c r="M291" s="39" t="n">
        <x:v>53512.11</x:v>
      </x:c>
      <x:c r="N291" s="39" t="n">
        <x:v>53700.94</x:v>
      </x:c>
      <x:c r="O291" s="39" t="n">
        <x:v>5458235.22</x:v>
      </x:c>
      <x:c r="P291" s="39" t="n">
        <x:v>5477495.88</x:v>
      </x:c>
      <x:c r="Q291" s="39" t="n">
        <x:v>-19260.66</x:v>
      </x:c>
      <x:c r="R291" s="40" t="n">
        <x:v>-0.4</x:v>
      </x:c>
      <x:c r="S291" s="41" t="n">
        <x:v>38</x:v>
      </x:c>
      <x:c r="T291" s="36" t="str">
        <x:v>Yes</x:v>
      </x:c>
      <x:c r="U291" s="36" t="str">
        <x:v>Delivered</x:v>
      </x:c>
    </x:row>
    <x:row r="292">
      <x:c r="A292" s="36" t="str">
        <x:v>PO-2025-0291</x:v>
      </x:c>
      <x:c r="B292" s="37" t="n">
        <x:v>45809</x:v>
      </x:c>
      <x:c r="C292" s="36" t="str">
        <x:v>June</x:v>
      </x:c>
      <x:c r="D292" s="36" t="str">
        <x:v>Quarry Park Mixed-Use Development</x:v>
      </x:c>
      <x:c r="E292" s="36" t="str">
        <x:v>Calgary SW</x:v>
      </x:c>
      <x:c r="F292" s="36" t="str">
        <x:v>Aisha Nkosi</x:v>
      </x:c>
      <x:c r="G292" s="36" t="str">
        <x:v>Concrete &amp; Structural</x:v>
      </x:c>
      <x:c r="H292" s="36" t="str">
        <x:v>Precast Deck Panels</x:v>
      </x:c>
      <x:c r="I292" s="36" t="str">
        <x:v>Lafarge Canada - Calgary</x:v>
      </x:c>
      <x:c r="J292" s="36" t="str">
        <x:v>Emergency Procurement</x:v>
      </x:c>
      <x:c r="K292" s="38" t="n">
        <x:v>113</x:v>
      </x:c>
      <x:c r="L292" s="36" t="str">
        <x:v>m³</x:v>
      </x:c>
      <x:c r="M292" s="39" t="n">
        <x:v>219.19</x:v>
      </x:c>
      <x:c r="N292" s="39" t="n">
        <x:v>190.88</x:v>
      </x:c>
      <x:c r="O292" s="39" t="n">
        <x:v>24768.47</x:v>
      </x:c>
      <x:c r="P292" s="39" t="n">
        <x:v>21569.44</x:v>
      </x:c>
      <x:c r="Q292" s="39" t="n">
        <x:v>3199.03</x:v>
      </x:c>
      <x:c r="R292" s="40" t="n">
        <x:v>14.8</x:v>
      </x:c>
      <x:c r="S292" s="41" t="n">
        <x:v>4</x:v>
      </x:c>
      <x:c r="T292" s="36" t="str">
        <x:v>Yes</x:v>
      </x:c>
      <x:c r="U292" s="36" t="str">
        <x:v>Pending</x:v>
      </x:c>
    </x:row>
    <x:row r="293">
      <x:c r="A293" s="36" t="str">
        <x:v>PO-2025-0292</x:v>
      </x:c>
      <x:c r="B293" s="37" t="n">
        <x:v>45741</x:v>
      </x:c>
      <x:c r="C293" s="36" t="str">
        <x:v>March</x:v>
      </x:c>
      <x:c r="D293" s="36" t="str">
        <x:v>Bow River Crossing Overpass</x:v>
      </x:c>
      <x:c r="E293" s="36" t="str">
        <x:v>Rocky View County</x:v>
      </x:c>
      <x:c r="F293" s="36" t="str">
        <x:v>Priya Sharma</x:v>
      </x:c>
      <x:c r="G293" s="36" t="str">
        <x:v>Concrete &amp; Structural</x:v>
      </x:c>
      <x:c r="H293" s="36" t="str">
        <x:v>Structural Formwork</x:v>
      </x:c>
      <x:c r="I293" s="36" t="str">
        <x:v>Evraz Steel Calgary</x:v>
      </x:c>
      <x:c r="J293" s="36" t="str">
        <x:v>Tender – Open</x:v>
      </x:c>
      <x:c r="K293" s="38" t="n">
        <x:v>35</x:v>
      </x:c>
      <x:c r="L293" s="36" t="str">
        <x:v>m³</x:v>
      </x:c>
      <x:c r="M293" s="39" t="n">
        <x:v>391.5</x:v>
      </x:c>
      <x:c r="N293" s="39" t="n">
        <x:v>411.54</x:v>
      </x:c>
      <x:c r="O293" s="39" t="n">
        <x:v>13702.5</x:v>
      </x:c>
      <x:c r="P293" s="39" t="n">
        <x:v>14403.9</x:v>
      </x:c>
      <x:c r="Q293" s="39" t="n">
        <x:v>-701.4</x:v>
      </x:c>
      <x:c r="R293" s="40" t="n">
        <x:v>-4.9</x:v>
      </x:c>
      <x:c r="S293" s="41" t="n">
        <x:v>22</x:v>
      </x:c>
      <x:c r="T293" s="36" t="str">
        <x:v>Yes</x:v>
      </x:c>
      <x:c r="U293" s="36" t="str">
        <x:v>Partially Delivered</x:v>
      </x:c>
    </x:row>
    <x:row r="294">
      <x:c r="A294" s="36" t="str">
        <x:v>PO-2025-0293</x:v>
      </x:c>
      <x:c r="B294" s="37" t="n">
        <x:v>45931</x:v>
      </x:c>
      <x:c r="C294" s="36" t="str">
        <x:v>October</x:v>
      </x:c>
      <x:c r="D294" s="36" t="str">
        <x:v>Springbank Off-Stream Reservoir</x:v>
      </x:c>
      <x:c r="E294" s="36" t="str">
        <x:v>Calgary NE</x:v>
      </x:c>
      <x:c r="F294" s="36" t="str">
        <x:v>Aisha Nkosi</x:v>
      </x:c>
      <x:c r="G294" s="36" t="str">
        <x:v>Finishing</x:v>
      </x:c>
      <x:c r="H294" s="36" t="str">
        <x:v>Waterproofing Membrane</x:v>
      </x:c>
      <x:c r="I294" s="36" t="str">
        <x:v>Centura Tile Calgary</x:v>
      </x:c>
      <x:c r="J294" s="36" t="str">
        <x:v>3-Quote Comparison</x:v>
      </x:c>
      <x:c r="K294" s="38" t="n">
        <x:v>75</x:v>
      </x:c>
      <x:c r="L294" s="36" t="str">
        <x:v>m²</x:v>
      </x:c>
      <x:c r="M294" s="39" t="n">
        <x:v>210.15</x:v>
      </x:c>
      <x:c r="N294" s="39" t="n">
        <x:v>193.88</x:v>
      </x:c>
      <x:c r="O294" s="39" t="n">
        <x:v>15761.25</x:v>
      </x:c>
      <x:c r="P294" s="39" t="n">
        <x:v>14541</x:v>
      </x:c>
      <x:c r="Q294" s="39" t="n">
        <x:v>1220.25</x:v>
      </x:c>
      <x:c r="R294" s="40" t="n">
        <x:v>8.4</x:v>
      </x:c>
      <x:c r="S294" s="41" t="n">
        <x:v>76</x:v>
      </x:c>
      <x:c r="T294" s="36" t="str">
        <x:v>No</x:v>
      </x:c>
      <x:c r="U294" s="36" t="str">
        <x:v>Partially Delivered</x:v>
      </x:c>
    </x:row>
    <x:row r="295">
      <x:c r="A295" s="36" t="str">
        <x:v>PO-2025-0294</x:v>
      </x:c>
      <x:c r="B295" s="37" t="n">
        <x:v>45715</x:v>
      </x:c>
      <x:c r="C295" s="36" t="str">
        <x:v>February</x:v>
      </x:c>
      <x:c r="D295" s="36" t="str">
        <x:v>Quarry Park Mixed-Use Development</x:v>
      </x:c>
      <x:c r="E295" s="36" t="str">
        <x:v>Rocky View County</x:v>
      </x:c>
      <x:c r="F295" s="36" t="str">
        <x:v>Derek McLean</x:v>
      </x:c>
      <x:c r="G295" s="36" t="str">
        <x:v>Concrete &amp; Structural</x:v>
      </x:c>
      <x:c r="H295" s="36" t="str">
        <x:v>Rebar Steel</x:v>
      </x:c>
      <x:c r="I295" s="36" t="str">
        <x:v>Inland Concrete</x:v>
      </x:c>
      <x:c r="J295" s="36" t="str">
        <x:v>Tender – Open</x:v>
      </x:c>
      <x:c r="K295" s="38" t="n">
        <x:v>53</x:v>
      </x:c>
      <x:c r="L295" s="36" t="str">
        <x:v>m³</x:v>
      </x:c>
      <x:c r="M295" s="39" t="n">
        <x:v>661.47</x:v>
      </x:c>
      <x:c r="N295" s="39" t="n">
        <x:v>747.16</x:v>
      </x:c>
      <x:c r="O295" s="39" t="n">
        <x:v>35057.91</x:v>
      </x:c>
      <x:c r="P295" s="39" t="n">
        <x:v>39599.48</x:v>
      </x:c>
      <x:c r="Q295" s="39" t="n">
        <x:v>-4541.57</x:v>
      </x:c>
      <x:c r="R295" s="40" t="n">
        <x:v>-11.5</x:v>
      </x:c>
      <x:c r="S295" s="41" t="n">
        <x:v>11</x:v>
      </x:c>
      <x:c r="T295" s="36" t="str">
        <x:v>Yes</x:v>
      </x:c>
      <x:c r="U295" s="36" t="str">
        <x:v>Cancelled</x:v>
      </x:c>
    </x:row>
    <x:row r="296">
      <x:c r="A296" s="36" t="str">
        <x:v>PO-2025-0295</x:v>
      </x:c>
      <x:c r="B296" s="37" t="n">
        <x:v>45928</x:v>
      </x:c>
      <x:c r="C296" s="36" t="str">
        <x:v>September</x:v>
      </x:c>
      <x:c r="D296" s="36" t="str">
        <x:v>Calgary SE Ring Road Extension</x:v>
      </x:c>
      <x:c r="E296" s="36" t="str">
        <x:v>Calgary NE</x:v>
      </x:c>
      <x:c r="F296" s="36" t="str">
        <x:v>Linda Tran</x:v>
      </x:c>
      <x:c r="G296" s="36" t="str">
        <x:v>Civil Works</x:v>
      </x:c>
      <x:c r="H296" s="36" t="str">
        <x:v>Curb &amp; Gutter Concrete</x:v>
      </x:c>
      <x:c r="I296" s="36" t="str">
        <x:v>Graham Construction</x:v>
      </x:c>
      <x:c r="J296" s="36" t="str">
        <x:v>3-Quote Comparison</x:v>
      </x:c>
      <x:c r="K296" s="38" t="n">
        <x:v>114</x:v>
      </x:c>
      <x:c r="L296" s="36" t="str">
        <x:v>m³</x:v>
      </x:c>
      <x:c r="M296" s="39" t="n">
        <x:v>81.61</x:v>
      </x:c>
      <x:c r="N296" s="39" t="n">
        <x:v>82.02</x:v>
      </x:c>
      <x:c r="O296" s="39" t="n">
        <x:v>9303.54</x:v>
      </x:c>
      <x:c r="P296" s="39" t="n">
        <x:v>9350.28</x:v>
      </x:c>
      <x:c r="Q296" s="39" t="n">
        <x:v>-46.74</x:v>
      </x:c>
      <x:c r="R296" s="40" t="n">
        <x:v>-0.5</x:v>
      </x:c>
      <x:c r="S296" s="41" t="n">
        <x:v>63</x:v>
      </x:c>
      <x:c r="T296" s="36" t="str">
        <x:v>No</x:v>
      </x:c>
      <x:c r="U296" s="36" t="str">
        <x:v>Partially Delivered</x:v>
      </x:c>
    </x:row>
    <x:row r="297">
      <x:c r="A297" s="36" t="str">
        <x:v>PO-2025-0296</x:v>
      </x:c>
      <x:c r="B297" s="37" t="n">
        <x:v>45722</x:v>
      </x:c>
      <x:c r="C297" s="36" t="str">
        <x:v>March</x:v>
      </x:c>
      <x:c r="D297" s="36" t="str">
        <x:v>Quarry Park Mixed-Use Development</x:v>
      </x:c>
      <x:c r="E297" s="36" t="str">
        <x:v>Calgary NE</x:v>
      </x:c>
      <x:c r="F297" s="36" t="str">
        <x:v>Derek McLean</x:v>
      </x:c>
      <x:c r="G297" s="36" t="str">
        <x:v>MEP - Mechanical</x:v>
      </x:c>
      <x:c r="H297" s="36" t="str">
        <x:v>Air Handling Unit</x:v>
      </x:c>
      <x:c r="I297" s="36" t="str">
        <x:v>Stantec MEP</x:v>
      </x:c>
      <x:c r="J297" s="36" t="str">
        <x:v>Emergency Procurement</x:v>
      </x:c>
      <x:c r="K297" s="38" t="n">
        <x:v>56</x:v>
      </x:c>
      <x:c r="L297" s="36" t="str">
        <x:v>lot</x:v>
      </x:c>
      <x:c r="M297" s="39" t="n">
        <x:v>49232.68</x:v>
      </x:c>
      <x:c r="N297" s="39" t="n">
        <x:v>44830.96</x:v>
      </x:c>
      <x:c r="O297" s="39" t="n">
        <x:v>2757030.08</x:v>
      </x:c>
      <x:c r="P297" s="39" t="n">
        <x:v>2510533.76</x:v>
      </x:c>
      <x:c r="Q297" s="39" t="n">
        <x:v>246496.32</x:v>
      </x:c>
      <x:c r="R297" s="40" t="n">
        <x:v>9.8</x:v>
      </x:c>
      <x:c r="S297" s="41" t="n">
        <x:v>43</x:v>
      </x:c>
      <x:c r="T297" s="36" t="str">
        <x:v>Yes</x:v>
      </x:c>
      <x:c r="U297" s="36" t="str">
        <x:v>Cancelled</x:v>
      </x:c>
    </x:row>
    <x:row r="298">
      <x:c r="A298" s="36" t="str">
        <x:v>PO-2025-0297</x:v>
      </x:c>
      <x:c r="B298" s="37" t="n">
        <x:v>45929</x:v>
      </x:c>
      <x:c r="C298" s="36" t="str">
        <x:v>September</x:v>
      </x:c>
      <x:c r="D298" s="36" t="str">
        <x:v>Foothills Medical Centre Expansion</x:v>
      </x:c>
      <x:c r="E298" s="36" t="str">
        <x:v>Calgary SW</x:v>
      </x:c>
      <x:c r="F298" s="36" t="str">
        <x:v>Linda Tran</x:v>
      </x:c>
      <x:c r="G298" s="36" t="str">
        <x:v>MEP - Mechanical</x:v>
      </x:c>
      <x:c r="H298" s="36" t="str">
        <x:v>Heat Pump Assembly</x:v>
      </x:c>
      <x:c r="I298" s="36" t="str">
        <x:v>Stantec MEP</x:v>
      </x:c>
      <x:c r="J298" s="36" t="str">
        <x:v>Tender – Open</x:v>
      </x:c>
      <x:c r="K298" s="38" t="n">
        <x:v>3</x:v>
      </x:c>
      <x:c r="L298" s="36" t="str">
        <x:v>lot</x:v>
      </x:c>
      <x:c r="M298" s="39" t="n">
        <x:v>34392.51</x:v>
      </x:c>
      <x:c r="N298" s="39" t="n">
        <x:v>31270.21</x:v>
      </x:c>
      <x:c r="O298" s="39" t="n">
        <x:v>103177.53</x:v>
      </x:c>
      <x:c r="P298" s="39" t="n">
        <x:v>93810.63</x:v>
      </x:c>
      <x:c r="Q298" s="39" t="n">
        <x:v>9366.9</x:v>
      </x:c>
      <x:c r="R298" s="40" t="n">
        <x:v>10</x:v>
      </x:c>
      <x:c r="S298" s="41" t="n">
        <x:v>30</x:v>
      </x:c>
      <x:c r="T298" s="36" t="str">
        <x:v>Yes</x:v>
      </x:c>
      <x:c r="U298" s="36" t="str">
        <x:v>Delivered</x:v>
      </x:c>
    </x:row>
    <x:row r="299">
      <x:c r="A299" s="36" t="str">
        <x:v>PO-2025-0298</x:v>
      </x:c>
      <x:c r="B299" s="37" t="n">
        <x:v>45779</x:v>
      </x:c>
      <x:c r="C299" s="36" t="str">
        <x:v>May</x:v>
      </x:c>
      <x:c r="D299" s="36" t="str">
        <x:v>Calgary SE Ring Road Extension</x:v>
      </x:c>
      <x:c r="E299" s="36" t="str">
        <x:v>Calgary SW</x:v>
      </x:c>
      <x:c r="F299" s="36" t="str">
        <x:v>Priya Sharma</x:v>
      </x:c>
      <x:c r="G299" s="36" t="str">
        <x:v>Concrete &amp; Structural</x:v>
      </x:c>
      <x:c r="H299" s="36" t="str">
        <x:v>Ready-Mix Concrete</x:v>
      </x:c>
      <x:c r="I299" s="36" t="str">
        <x:v>Alberta Precast</x:v>
      </x:c>
      <x:c r="J299" s="36" t="str">
        <x:v>Standing Offer Agreement</x:v>
      </x:c>
      <x:c r="K299" s="38" t="n">
        <x:v>117</x:v>
      </x:c>
      <x:c r="L299" s="36" t="str">
        <x:v>m³</x:v>
      </x:c>
      <x:c r="M299" s="39" t="n">
        <x:v>664.42</x:v>
      </x:c>
      <x:c r="N299" s="39" t="n">
        <x:v>752.33</x:v>
      </x:c>
      <x:c r="O299" s="39" t="n">
        <x:v>77737.14</x:v>
      </x:c>
      <x:c r="P299" s="39" t="n">
        <x:v>88022.61</x:v>
      </x:c>
      <x:c r="Q299" s="39" t="n">
        <x:v>-10285.47</x:v>
      </x:c>
      <x:c r="R299" s="40" t="n">
        <x:v>-11.7</x:v>
      </x:c>
      <x:c r="S299" s="41" t="n">
        <x:v>64</x:v>
      </x:c>
      <x:c r="T299" s="36" t="str">
        <x:v>No</x:v>
      </x:c>
      <x:c r="U299" s="36" t="str">
        <x:v>Delivered</x:v>
      </x:c>
    </x:row>
    <x:row r="300">
      <x:c r="A300" s="36" t="str">
        <x:v>PO-2025-0299</x:v>
      </x:c>
      <x:c r="B300" s="37" t="n">
        <x:v>45918</x:v>
      </x:c>
      <x:c r="C300" s="36" t="str">
        <x:v>September</x:v>
      </x:c>
      <x:c r="D300" s="36" t="str">
        <x:v>Quarry Park Mixed-Use Development</x:v>
      </x:c>
      <x:c r="E300" s="36" t="str">
        <x:v>Calgary SE</x:v>
      </x:c>
      <x:c r="F300" s="36" t="str">
        <x:v>Mohammed Siddiqui</x:v>
      </x:c>
      <x:c r="G300" s="36" t="str">
        <x:v>Safety &amp; Temp Works</x:v>
      </x:c>
      <x:c r="H300" s="36" t="str">
        <x:v>Scaffolding System</x:v>
      </x:c>
      <x:c r="I300" s="36" t="str">
        <x:v>Safway Alberta</x:v>
      </x:c>
      <x:c r="J300" s="36" t="str">
        <x:v>3-Quote Comparison</x:v>
      </x:c>
      <x:c r="K300" s="38" t="n">
        <x:v>96</x:v>
      </x:c>
      <x:c r="L300" s="36" t="str">
        <x:v>lot</x:v>
      </x:c>
      <x:c r="M300" s="39" t="n">
        <x:v>4220.6</x:v>
      </x:c>
      <x:c r="N300" s="39" t="n">
        <x:v>5169.87</x:v>
      </x:c>
      <x:c r="O300" s="39" t="n">
        <x:v>405177.6</x:v>
      </x:c>
      <x:c r="P300" s="39" t="n">
        <x:v>496307.52</x:v>
      </x:c>
      <x:c r="Q300" s="39" t="n">
        <x:v>-91129.92</x:v>
      </x:c>
      <x:c r="R300" s="40" t="n">
        <x:v>-18.4</x:v>
      </x:c>
      <x:c r="S300" s="41" t="n">
        <x:v>8</x:v>
      </x:c>
      <x:c r="T300" s="36" t="str">
        <x:v>Yes</x:v>
      </x:c>
      <x:c r="U300" s="36" t="str">
        <x:v>Partially Delivered</x:v>
      </x:c>
    </x:row>
    <x:row r="301">
      <x:c r="A301" s="36" t="str">
        <x:v>PO-2025-0300</x:v>
      </x:c>
      <x:c r="B301" s="37" t="n">
        <x:v>45993</x:v>
      </x:c>
      <x:c r="C301" s="36" t="str">
        <x:v>December</x:v>
      </x:c>
      <x:c r="D301" s="36" t="str">
        <x:v>Rocky View Industrial Logistics Hub</x:v>
      </x:c>
      <x:c r="E301" s="36" t="str">
        <x:v>Calgary NE</x:v>
      </x:c>
      <x:c r="F301" s="36" t="str">
        <x:v>Derek McLean</x:v>
      </x:c>
      <x:c r="G301" s="36" t="str">
        <x:v>Safety &amp; Temp Works</x:v>
      </x:c>
      <x:c r="H301" s="36" t="str">
        <x:v>Site Hoarding &amp; Fencing</x:v>
      </x:c>
      <x:c r="I301" s="36" t="str">
        <x:v>BrandSafway Canada</x:v>
      </x:c>
      <x:c r="J301" s="36" t="str">
        <x:v>LPO – Direct Award</x:v>
      </x:c>
      <x:c r="K301" s="38" t="n">
        <x:v>97</x:v>
      </x:c>
      <x:c r="L301" s="36" t="str">
        <x:v>lot</x:v>
      </x:c>
      <x:c r="M301" s="39" t="n">
        <x:v>10677.2</x:v>
      </x:c>
      <x:c r="N301" s="39" t="n">
        <x:v>11162.06</x:v>
      </x:c>
      <x:c r="O301" s="39" t="n">
        <x:v>1035688.4</x:v>
      </x:c>
      <x:c r="P301" s="39" t="n">
        <x:v>1082719.82</x:v>
      </x:c>
      <x:c r="Q301" s="39" t="n">
        <x:v>-47031.42</x:v>
      </x:c>
      <x:c r="R301" s="40" t="n">
        <x:v>-4.3</x:v>
      </x:c>
      <x:c r="S301" s="41" t="n">
        <x:v>78</x:v>
      </x:c>
      <x:c r="T301" s="36" t="str">
        <x:v>Yes</x:v>
      </x:c>
      <x:c r="U301" s="36" t="str">
        <x:v>Partially Delivered</x:v>
      </x:c>
    </x:row>
    <x:row r="302">
      <x:c r="A302" s="36" t="str">
        <x:v>PO-2025-0301</x:v>
      </x:c>
      <x:c r="B302" s="37" t="n">
        <x:v>45760</x:v>
      </x:c>
      <x:c r="C302" s="36" t="str">
        <x:v>April</x:v>
      </x:c>
      <x:c r="D302" s="36" t="str">
        <x:v>Rocky View Industrial Logistics Hub</x:v>
      </x:c>
      <x:c r="E302" s="36" t="str">
        <x:v>Rocky View County</x:v>
      </x:c>
      <x:c r="F302" s="36" t="str">
        <x:v>Derek McLean</x:v>
      </x:c>
      <x:c r="G302" s="36" t="str">
        <x:v>MEP - Electrical</x:v>
      </x:c>
      <x:c r="H302" s="36" t="str">
        <x:v>MV Distribution Cable</x:v>
      </x:c>
      <x:c r="I302" s="36" t="str">
        <x:v>Schneider Electric Canada</x:v>
      </x:c>
      <x:c r="J302" s="36" t="str">
        <x:v>Standing Offer Agreement</x:v>
      </x:c>
      <x:c r="K302" s="38" t="n">
        <x:v>27</x:v>
      </x:c>
      <x:c r="L302" s="36" t="str">
        <x:v>lot</x:v>
      </x:c>
      <x:c r="M302" s="39" t="n">
        <x:v>43108.47</x:v>
      </x:c>
      <x:c r="N302" s="39" t="n">
        <x:v>39529.93</x:v>
      </x:c>
      <x:c r="O302" s="39" t="n">
        <x:v>1163928.69</x:v>
      </x:c>
      <x:c r="P302" s="39" t="n">
        <x:v>1067308.11</x:v>
      </x:c>
      <x:c r="Q302" s="39" t="n">
        <x:v>96620.58</x:v>
      </x:c>
      <x:c r="R302" s="40" t="n">
        <x:v>9.1</x:v>
      </x:c>
      <x:c r="S302" s="41" t="n">
        <x:v>60</x:v>
      </x:c>
      <x:c r="T302" s="36" t="str">
        <x:v>Yes</x:v>
      </x:c>
      <x:c r="U302" s="36" t="str">
        <x:v>Pending</x:v>
      </x:c>
    </x:row>
    <x:row r="303">
      <x:c r="A303" s="36" t="str">
        <x:v>PO-2025-0302</x:v>
      </x:c>
      <x:c r="B303" s="37" t="n">
        <x:v>45713</x:v>
      </x:c>
      <x:c r="C303" s="36" t="str">
        <x:v>February</x:v>
      </x:c>
      <x:c r="D303" s="36" t="str">
        <x:v>Saddledome Arena Retrofit</x:v>
      </x:c>
      <x:c r="E303" s="36" t="str">
        <x:v>Calgary NE</x:v>
      </x:c>
      <x:c r="F303" s="36" t="str">
        <x:v>James Okafor</x:v>
      </x:c>
      <x:c r="G303" s="36" t="str">
        <x:v>Civil Works</x:v>
      </x:c>
      <x:c r="H303" s="36" t="str">
        <x:v>Granular Backfill</x:v>
      </x:c>
      <x:c r="I303" s="36" t="str">
        <x:v>Graham Construction</x:v>
      </x:c>
      <x:c r="J303" s="36" t="str">
        <x:v>3-Quote Comparison</x:v>
      </x:c>
      <x:c r="K303" s="38" t="n">
        <x:v>105</x:v>
      </x:c>
      <x:c r="L303" s="36" t="str">
        <x:v>m³</x:v>
      </x:c>
      <x:c r="M303" s="39" t="n">
        <x:v>301.92</x:v>
      </x:c>
      <x:c r="N303" s="39" t="n">
        <x:v>339.41</x:v>
      </x:c>
      <x:c r="O303" s="39" t="n">
        <x:v>31701.6</x:v>
      </x:c>
      <x:c r="P303" s="39" t="n">
        <x:v>35638.05</x:v>
      </x:c>
      <x:c r="Q303" s="39" t="n">
        <x:v>-3936.45</x:v>
      </x:c>
      <x:c r="R303" s="40" t="n">
        <x:v>-11</x:v>
      </x:c>
      <x:c r="S303" s="41" t="n">
        <x:v>45</x:v>
      </x:c>
      <x:c r="T303" s="36" t="str">
        <x:v>Yes</x:v>
      </x:c>
      <x:c r="U303" s="36" t="str">
        <x:v>Delivered</x:v>
      </x:c>
    </x:row>
    <x:row r="304">
      <x:c r="A304" s="36" t="str">
        <x:v>PO-2025-0303</x:v>
      </x:c>
      <x:c r="B304" s="37" t="n">
        <x:v>45969</x:v>
      </x:c>
      <x:c r="C304" s="36" t="str">
        <x:v>November</x:v>
      </x:c>
      <x:c r="D304" s="36" t="str">
        <x:v>Saddledome Arena Retrofit</x:v>
      </x:c>
      <x:c r="E304" s="36" t="str">
        <x:v>Calgary SE</x:v>
      </x:c>
      <x:c r="F304" s="36" t="str">
        <x:v>Priya Sharma</x:v>
      </x:c>
      <x:c r="G304" s="36" t="str">
        <x:v>Finishing</x:v>
      </x:c>
      <x:c r="H304" s="36" t="str">
        <x:v>Drywall &amp; Framing</x:v>
      </x:c>
      <x:c r="I304" s="36" t="str">
        <x:v>Tremco Roofing</x:v>
      </x:c>
      <x:c r="J304" s="36" t="str">
        <x:v>Tender – Open</x:v>
      </x:c>
      <x:c r="K304" s="38" t="n">
        <x:v>45</x:v>
      </x:c>
      <x:c r="L304" s="36" t="str">
        <x:v>m²</x:v>
      </x:c>
      <x:c r="M304" s="39" t="n">
        <x:v>315.72</x:v>
      </x:c>
      <x:c r="N304" s="39" t="n">
        <x:v>351.19</x:v>
      </x:c>
      <x:c r="O304" s="39" t="n">
        <x:v>14207.4</x:v>
      </x:c>
      <x:c r="P304" s="39" t="n">
        <x:v>15803.55</x:v>
      </x:c>
      <x:c r="Q304" s="39" t="n">
        <x:v>-1596.15</x:v>
      </x:c>
      <x:c r="R304" s="40" t="n">
        <x:v>-10.1</x:v>
      </x:c>
      <x:c r="S304" s="41" t="n">
        <x:v>10</x:v>
      </x:c>
      <x:c r="T304" s="36" t="str">
        <x:v>Yes</x:v>
      </x:c>
      <x:c r="U304" s="36" t="str">
        <x:v>Pending</x:v>
      </x:c>
    </x:row>
    <x:row r="305">
      <x:c r="A305" s="36" t="str">
        <x:v>PO-2025-0304</x:v>
      </x:c>
      <x:c r="B305" s="37" t="n">
        <x:v>45684</x:v>
      </x:c>
      <x:c r="C305" s="36" t="str">
        <x:v>January</x:v>
      </x:c>
      <x:c r="D305" s="36" t="str">
        <x:v>Stampede Park Infrastructure Upgrade</x:v>
      </x:c>
      <x:c r="E305" s="36" t="str">
        <x:v>Rocky View County</x:v>
      </x:c>
      <x:c r="F305" s="36" t="str">
        <x:v>Liam Kowalski</x:v>
      </x:c>
      <x:c r="G305" s="36" t="str">
        <x:v>Concrete &amp; Structural</x:v>
      </x:c>
      <x:c r="H305" s="36" t="str">
        <x:v>Structural Formwork</x:v>
      </x:c>
      <x:c r="I305" s="36" t="str">
        <x:v>Evraz Steel Calgary</x:v>
      </x:c>
      <x:c r="J305" s="36" t="str">
        <x:v>Emergency Procurement</x:v>
      </x:c>
      <x:c r="K305" s="38" t="n">
        <x:v>82</x:v>
      </x:c>
      <x:c r="L305" s="36" t="str">
        <x:v>m³</x:v>
      </x:c>
      <x:c r="M305" s="39" t="n">
        <x:v>498.74</x:v>
      </x:c>
      <x:c r="N305" s="39" t="n">
        <x:v>461.12</x:v>
      </x:c>
      <x:c r="O305" s="39" t="n">
        <x:v>40896.68</x:v>
      </x:c>
      <x:c r="P305" s="39" t="n">
        <x:v>37811.84</x:v>
      </x:c>
      <x:c r="Q305" s="39" t="n">
        <x:v>3084.84</x:v>
      </x:c>
      <x:c r="R305" s="40" t="n">
        <x:v>8.2</x:v>
      </x:c>
      <x:c r="S305" s="41" t="n">
        <x:v>82</x:v>
      </x:c>
      <x:c r="T305" s="36" t="str">
        <x:v>Yes</x:v>
      </x:c>
      <x:c r="U305" s="36" t="str">
        <x:v>Delivered</x:v>
      </x:c>
    </x:row>
    <x:row r="306">
      <x:c r="A306" s="36" t="str">
        <x:v>PO-2025-0305</x:v>
      </x:c>
      <x:c r="B306" s="37" t="n">
        <x:v>45660</x:v>
      </x:c>
      <x:c r="C306" s="36" t="str">
        <x:v>January</x:v>
      </x:c>
      <x:c r="D306" s="36" t="str">
        <x:v>Rocky View Industrial Logistics Hub</x:v>
      </x:c>
      <x:c r="E306" s="36" t="str">
        <x:v>Rocky View County</x:v>
      </x:c>
      <x:c r="F306" s="36" t="str">
        <x:v>Liam Kowalski</x:v>
      </x:c>
      <x:c r="G306" s="36" t="str">
        <x:v>Civil Works</x:v>
      </x:c>
      <x:c r="H306" s="36" t="str">
        <x:v>Storm Drainage Pipe</x:v>
      </x:c>
      <x:c r="I306" s="36" t="str">
        <x:v>Graham Construction</x:v>
      </x:c>
      <x:c r="J306" s="36" t="str">
        <x:v>Emergency Procurement</x:v>
      </x:c>
      <x:c r="K306" s="38" t="n">
        <x:v>60</x:v>
      </x:c>
      <x:c r="L306" s="36" t="str">
        <x:v>m³</x:v>
      </x:c>
      <x:c r="M306" s="39" t="n">
        <x:v>307.67</x:v>
      </x:c>
      <x:c r="N306" s="39" t="n">
        <x:v>369.85</x:v>
      </x:c>
      <x:c r="O306" s="39" t="n">
        <x:v>18460.2</x:v>
      </x:c>
      <x:c r="P306" s="39" t="n">
        <x:v>22191</x:v>
      </x:c>
      <x:c r="Q306" s="39" t="n">
        <x:v>-3730.8</x:v>
      </x:c>
      <x:c r="R306" s="40" t="n">
        <x:v>-16.8</x:v>
      </x:c>
      <x:c r="S306" s="41" t="n">
        <x:v>85</x:v>
      </x:c>
      <x:c r="T306" s="36" t="str">
        <x:v>Yes</x:v>
      </x:c>
      <x:c r="U306" s="36" t="str">
        <x:v>Delivered</x:v>
      </x:c>
    </x:row>
    <x:row r="307">
      <x:c r="A307" s="36" t="str">
        <x:v>PO-2025-0306</x:v>
      </x:c>
      <x:c r="B307" s="37" t="n">
        <x:v>45941</x:v>
      </x:c>
      <x:c r="C307" s="36" t="str">
        <x:v>October</x:v>
      </x:c>
      <x:c r="D307" s="36" t="str">
        <x:v>Rocky View Industrial Logistics Hub</x:v>
      </x:c>
      <x:c r="E307" s="36" t="str">
        <x:v>Calgary SE</x:v>
      </x:c>
      <x:c r="F307" s="36" t="str">
        <x:v>Linda Tran</x:v>
      </x:c>
      <x:c r="G307" s="36" t="str">
        <x:v>Concrete &amp; Structural</x:v>
      </x:c>
      <x:c r="H307" s="36" t="str">
        <x:v>Post-Tension Cables</x:v>
      </x:c>
      <x:c r="I307" s="36" t="str">
        <x:v>Evraz Steel Calgary</x:v>
      </x:c>
      <x:c r="J307" s="36" t="str">
        <x:v>Tender – Open</x:v>
      </x:c>
      <x:c r="K307" s="38" t="n">
        <x:v>113</x:v>
      </x:c>
      <x:c r="L307" s="36" t="str">
        <x:v>m³</x:v>
      </x:c>
      <x:c r="M307" s="39" t="n">
        <x:v>240.36</x:v>
      </x:c>
      <x:c r="N307" s="39" t="n">
        <x:v>215.59</x:v>
      </x:c>
      <x:c r="O307" s="39" t="n">
        <x:v>27160.68</x:v>
      </x:c>
      <x:c r="P307" s="39" t="n">
        <x:v>24361.67</x:v>
      </x:c>
      <x:c r="Q307" s="39" t="n">
        <x:v>2799.01</x:v>
      </x:c>
      <x:c r="R307" s="40" t="n">
        <x:v>11.5</x:v>
      </x:c>
      <x:c r="S307" s="41" t="n">
        <x:v>43</x:v>
      </x:c>
      <x:c r="T307" s="36" t="str">
        <x:v>Yes</x:v>
      </x:c>
      <x:c r="U307" s="36" t="str">
        <x:v>Cancelled</x:v>
      </x:c>
    </x:row>
    <x:row r="308">
      <x:c r="A308" s="36" t="str">
        <x:v>PO-2025-0307</x:v>
      </x:c>
      <x:c r="B308" s="37" t="n">
        <x:v>45721</x:v>
      </x:c>
      <x:c r="C308" s="36" t="str">
        <x:v>March</x:v>
      </x:c>
      <x:c r="D308" s="36" t="str">
        <x:v>Calgary SE Ring Road Extension</x:v>
      </x:c>
      <x:c r="E308" s="36" t="str">
        <x:v>Rocky View County</x:v>
      </x:c>
      <x:c r="F308" s="36" t="str">
        <x:v>Sarah Bouchard</x:v>
      </x:c>
      <x:c r="G308" s="36" t="str">
        <x:v>MEP - Electrical</x:v>
      </x:c>
      <x:c r="H308" s="36" t="str">
        <x:v>MV Distribution Cable</x:v>
      </x:c>
      <x:c r="I308" s="36" t="str">
        <x:v>Stuart Olson Electrical</x:v>
      </x:c>
      <x:c r="J308" s="36" t="str">
        <x:v>Emergency Procurement</x:v>
      </x:c>
      <x:c r="K308" s="38" t="n">
        <x:v>29</x:v>
      </x:c>
      <x:c r="L308" s="36" t="str">
        <x:v>lot</x:v>
      </x:c>
      <x:c r="M308" s="39" t="n">
        <x:v>49087.07</x:v>
      </x:c>
      <x:c r="N308" s="39" t="n">
        <x:v>48266.86</x:v>
      </x:c>
      <x:c r="O308" s="39" t="n">
        <x:v>1423525.03</x:v>
      </x:c>
      <x:c r="P308" s="39" t="n">
        <x:v>1399738.94</x:v>
      </x:c>
      <x:c r="Q308" s="39" t="n">
        <x:v>23786.09</x:v>
      </x:c>
      <x:c r="R308" s="40" t="n">
        <x:v>1.7</x:v>
      </x:c>
      <x:c r="S308" s="41" t="n">
        <x:v>71</x:v>
      </x:c>
      <x:c r="T308" s="36" t="str">
        <x:v>Yes</x:v>
      </x:c>
      <x:c r="U308" s="36" t="str">
        <x:v>Cancelled</x:v>
      </x:c>
    </x:row>
    <x:row r="309">
      <x:c r="A309" s="36" t="str">
        <x:v>PO-2025-0308</x:v>
      </x:c>
      <x:c r="B309" s="37" t="n">
        <x:v>45807</x:v>
      </x:c>
      <x:c r="C309" s="36" t="str">
        <x:v>May</x:v>
      </x:c>
      <x:c r="D309" s="36" t="str">
        <x:v>Rocky View Industrial Logistics Hub</x:v>
      </x:c>
      <x:c r="E309" s="36" t="str">
        <x:v>Rocky View County</x:v>
      </x:c>
      <x:c r="F309" s="36" t="str">
        <x:v>Linda Tran</x:v>
      </x:c>
      <x:c r="G309" s="36" t="str">
        <x:v>Finishing</x:v>
      </x:c>
      <x:c r="H309" s="36" t="str">
        <x:v>Waterproofing Membrane</x:v>
      </x:c>
      <x:c r="I309" s="36" t="str">
        <x:v>Tremco Roofing</x:v>
      </x:c>
      <x:c r="J309" s="36" t="str">
        <x:v>LPO – Direct Award</x:v>
      </x:c>
      <x:c r="K309" s="38" t="n">
        <x:v>115</x:v>
      </x:c>
      <x:c r="L309" s="36" t="str">
        <x:v>m²</x:v>
      </x:c>
      <x:c r="M309" s="39" t="n">
        <x:v>223.24</x:v>
      </x:c>
      <x:c r="N309" s="39" t="n">
        <x:v>216.13</x:v>
      </x:c>
      <x:c r="O309" s="39" t="n">
        <x:v>25672.6</x:v>
      </x:c>
      <x:c r="P309" s="39" t="n">
        <x:v>24854.95</x:v>
      </x:c>
      <x:c r="Q309" s="39" t="n">
        <x:v>817.65</x:v>
      </x:c>
      <x:c r="R309" s="40" t="n">
        <x:v>3.3</x:v>
      </x:c>
      <x:c r="S309" s="41" t="n">
        <x:v>80</x:v>
      </x:c>
      <x:c r="T309" s="36" t="str">
        <x:v>No</x:v>
      </x:c>
      <x:c r="U309" s="36" t="str">
        <x:v>Delivered</x:v>
      </x:c>
    </x:row>
    <x:row r="310">
      <x:c r="A310" s="36" t="str">
        <x:v>PO-2025-0309</x:v>
      </x:c>
      <x:c r="B310" s="37" t="n">
        <x:v>45851</x:v>
      </x:c>
      <x:c r="C310" s="36" t="str">
        <x:v>July</x:v>
      </x:c>
      <x:c r="D310" s="36" t="str">
        <x:v>Bow River Crossing Overpass</x:v>
      </x:c>
      <x:c r="E310" s="36" t="str">
        <x:v>Calgary SE</x:v>
      </x:c>
      <x:c r="F310" s="36" t="str">
        <x:v>James Okafor</x:v>
      </x:c>
      <x:c r="G310" s="36" t="str">
        <x:v>MEP - Mechanical</x:v>
      </x:c>
      <x:c r="H310" s="36" t="str">
        <x:v>Boiler System</x:v>
      </x:c>
      <x:c r="I310" s="36" t="str">
        <x:v>Johnson Controls Alberta</x:v>
      </x:c>
      <x:c r="J310" s="36" t="str">
        <x:v>Emergency Procurement</x:v>
      </x:c>
      <x:c r="K310" s="38" t="n">
        <x:v>57</x:v>
      </x:c>
      <x:c r="L310" s="36" t="str">
        <x:v>lot</x:v>
      </x:c>
      <x:c r="M310" s="39" t="n">
        <x:v>15538.46</x:v>
      </x:c>
      <x:c r="N310" s="39" t="n">
        <x:v>16933.49</x:v>
      </x:c>
      <x:c r="O310" s="39" t="n">
        <x:v>885692.22</x:v>
      </x:c>
      <x:c r="P310" s="39" t="n">
        <x:v>965208.93</x:v>
      </x:c>
      <x:c r="Q310" s="39" t="n">
        <x:v>-79516.71</x:v>
      </x:c>
      <x:c r="R310" s="40" t="n">
        <x:v>-8.2</x:v>
      </x:c>
      <x:c r="S310" s="41" t="n">
        <x:v>21</x:v>
      </x:c>
      <x:c r="T310" s="36" t="str">
        <x:v>Yes</x:v>
      </x:c>
      <x:c r="U310" s="36" t="str">
        <x:v>Delivered</x:v>
      </x:c>
    </x:row>
    <x:row r="311">
      <x:c r="A311" s="36" t="str">
        <x:v>PO-2025-0310</x:v>
      </x:c>
      <x:c r="B311" s="37" t="n">
        <x:v>45919</x:v>
      </x:c>
      <x:c r="C311" s="36" t="str">
        <x:v>September</x:v>
      </x:c>
      <x:c r="D311" s="36" t="str">
        <x:v>Quarry Park Mixed-Use Development</x:v>
      </x:c>
      <x:c r="E311" s="36" t="str">
        <x:v>Calgary NE</x:v>
      </x:c>
      <x:c r="F311" s="36" t="str">
        <x:v>Liam Kowalski</x:v>
      </x:c>
      <x:c r="G311" s="36" t="str">
        <x:v>Civil Works</x:v>
      </x:c>
      <x:c r="H311" s="36" t="str">
        <x:v>Curb &amp; Gutter Concrete</x:v>
      </x:c>
      <x:c r="I311" s="36" t="str">
        <x:v>Ledcor Civil Alberta</x:v>
      </x:c>
      <x:c r="J311" s="36" t="str">
        <x:v>Tender – Open</x:v>
      </x:c>
      <x:c r="K311" s="38" t="n">
        <x:v>22</x:v>
      </x:c>
      <x:c r="L311" s="36" t="str">
        <x:v>m³</x:v>
      </x:c>
      <x:c r="M311" s="39" t="n">
        <x:v>79.27</x:v>
      </x:c>
      <x:c r="N311" s="39" t="n">
        <x:v>77.29</x:v>
      </x:c>
      <x:c r="O311" s="39" t="n">
        <x:v>1743.94</x:v>
      </x:c>
      <x:c r="P311" s="39" t="n">
        <x:v>1700.38</x:v>
      </x:c>
      <x:c r="Q311" s="39" t="n">
        <x:v>43.56</x:v>
      </x:c>
      <x:c r="R311" s="40" t="n">
        <x:v>2.6</x:v>
      </x:c>
      <x:c r="S311" s="41" t="n">
        <x:v>81</x:v>
      </x:c>
      <x:c r="T311" s="36" t="str">
        <x:v>Yes</x:v>
      </x:c>
      <x:c r="U311" s="36" t="str">
        <x:v>Cancelled</x:v>
      </x:c>
    </x:row>
    <x:row r="312">
      <x:c r="A312" s="36" t="str">
        <x:v>PO-2025-0311</x:v>
      </x:c>
      <x:c r="B312" s="37" t="n">
        <x:v>45945</x:v>
      </x:c>
      <x:c r="C312" s="36" t="str">
        <x:v>October</x:v>
      </x:c>
      <x:c r="D312" s="36" t="str">
        <x:v>Foothills Medical Centre Expansion</x:v>
      </x:c>
      <x:c r="E312" s="36" t="str">
        <x:v>Calgary SE</x:v>
      </x:c>
      <x:c r="F312" s="36" t="str">
        <x:v>Aisha Nkosi</x:v>
      </x:c>
      <x:c r="G312" s="36" t="str">
        <x:v>MEP - Electrical</x:v>
      </x:c>
      <x:c r="H312" s="36" t="str">
        <x:v>MV Distribution Cable</x:v>
      </x:c>
      <x:c r="I312" s="36" t="str">
        <x:v>Schneider Electric Canada</x:v>
      </x:c>
      <x:c r="J312" s="36" t="str">
        <x:v>LPO – Direct Award</x:v>
      </x:c>
      <x:c r="K312" s="38" t="n">
        <x:v>89</x:v>
      </x:c>
      <x:c r="L312" s="36" t="str">
        <x:v>lot</x:v>
      </x:c>
      <x:c r="M312" s="39" t="n">
        <x:v>47494.77</x:v>
      </x:c>
      <x:c r="N312" s="39" t="n">
        <x:v>43134.7</x:v>
      </x:c>
      <x:c r="O312" s="39" t="n">
        <x:v>4227034.53</x:v>
      </x:c>
      <x:c r="P312" s="39" t="n">
        <x:v>3838988.3</x:v>
      </x:c>
      <x:c r="Q312" s="39" t="n">
        <x:v>388046.23</x:v>
      </x:c>
      <x:c r="R312" s="40" t="n">
        <x:v>10.1</x:v>
      </x:c>
      <x:c r="S312" s="41" t="n">
        <x:v>71</x:v>
      </x:c>
      <x:c r="T312" s="36" t="str">
        <x:v>Yes</x:v>
      </x:c>
      <x:c r="U312" s="36" t="str">
        <x:v>Delivered</x:v>
      </x:c>
    </x:row>
    <x:row r="313">
      <x:c r="A313" s="36" t="str">
        <x:v>PO-2025-0312</x:v>
      </x:c>
      <x:c r="B313" s="37" t="n">
        <x:v>45689</x:v>
      </x:c>
      <x:c r="C313" s="36" t="str">
        <x:v>February</x:v>
      </x:c>
      <x:c r="D313" s="36" t="str">
        <x:v>Stampede Park Infrastructure Upgrade</x:v>
      </x:c>
      <x:c r="E313" s="36" t="str">
        <x:v>Rocky View County</x:v>
      </x:c>
      <x:c r="F313" s="36" t="str">
        <x:v>Mohammed Siddiqui</x:v>
      </x:c>
      <x:c r="G313" s="36" t="str">
        <x:v>Civil Works</x:v>
      </x:c>
      <x:c r="H313" s="36" t="str">
        <x:v>Bulk Excavation</x:v>
      </x:c>
      <x:c r="I313" s="36" t="str">
        <x:v>EllisDon Civil</x:v>
      </x:c>
      <x:c r="J313" s="36" t="str">
        <x:v>LPO – Direct Award</x:v>
      </x:c>
      <x:c r="K313" s="38" t="n">
        <x:v>1</x:v>
      </x:c>
      <x:c r="L313" s="36" t="str">
        <x:v>m³</x:v>
      </x:c>
      <x:c r="M313" s="39" t="n">
        <x:v>220.65</x:v>
      </x:c>
      <x:c r="N313" s="39" t="n">
        <x:v>267.35</x:v>
      </x:c>
      <x:c r="O313" s="39" t="n">
        <x:v>220.65</x:v>
      </x:c>
      <x:c r="P313" s="39" t="n">
        <x:v>267.35</x:v>
      </x:c>
      <x:c r="Q313" s="39" t="n">
        <x:v>-46.7</x:v>
      </x:c>
      <x:c r="R313" s="40" t="n">
        <x:v>-17.5</x:v>
      </x:c>
      <x:c r="S313" s="41" t="n">
        <x:v>18</x:v>
      </x:c>
      <x:c r="T313" s="36" t="str">
        <x:v>Yes</x:v>
      </x:c>
      <x:c r="U313" s="36" t="str">
        <x:v>Delivered</x:v>
      </x:c>
    </x:row>
    <x:row r="314">
      <x:c r="A314" s="36" t="str">
        <x:v>PO-2025-0313</x:v>
      </x:c>
      <x:c r="B314" s="37" t="n">
        <x:v>45870</x:v>
      </x:c>
      <x:c r="C314" s="36" t="str">
        <x:v>August</x:v>
      </x:c>
      <x:c r="D314" s="36" t="str">
        <x:v>Rocky View Industrial Logistics Hub</x:v>
      </x:c>
      <x:c r="E314" s="36" t="str">
        <x:v>Calgary SW</x:v>
      </x:c>
      <x:c r="F314" s="36" t="str">
        <x:v>Mohammed Siddiqui</x:v>
      </x:c>
      <x:c r="G314" s="36" t="str">
        <x:v>Civil Works</x:v>
      </x:c>
      <x:c r="H314" s="36" t="str">
        <x:v>Storm Drainage Pipe</x:v>
      </x:c>
      <x:c r="I314" s="36" t="str">
        <x:v>Kiewit Infrastructure</x:v>
      </x:c>
      <x:c r="J314" s="36" t="str">
        <x:v>Tender – Open</x:v>
      </x:c>
      <x:c r="K314" s="38" t="n">
        <x:v>99</x:v>
      </x:c>
      <x:c r="L314" s="36" t="str">
        <x:v>m³</x:v>
      </x:c>
      <x:c r="M314" s="39" t="n">
        <x:v>144.13</x:v>
      </x:c>
      <x:c r="N314" s="39" t="n">
        <x:v>145.63</x:v>
      </x:c>
      <x:c r="O314" s="39" t="n">
        <x:v>14268.87</x:v>
      </x:c>
      <x:c r="P314" s="39" t="n">
        <x:v>14417.37</x:v>
      </x:c>
      <x:c r="Q314" s="39" t="n">
        <x:v>-148.5</x:v>
      </x:c>
      <x:c r="R314" s="40" t="n">
        <x:v>-1</x:v>
      </x:c>
      <x:c r="S314" s="41" t="n">
        <x:v>30</x:v>
      </x:c>
      <x:c r="T314" s="36" t="str">
        <x:v>No</x:v>
      </x:c>
      <x:c r="U314" s="36" t="str">
        <x:v>Delivered</x:v>
      </x:c>
    </x:row>
    <x:row r="315">
      <x:c r="A315" s="36" t="str">
        <x:v>PO-2025-0314</x:v>
      </x:c>
      <x:c r="B315" s="37" t="n">
        <x:v>45709</x:v>
      </x:c>
      <x:c r="C315" s="36" t="str">
        <x:v>February</x:v>
      </x:c>
      <x:c r="D315" s="36" t="str">
        <x:v>Calgary SE Ring Road Extension</x:v>
      </x:c>
      <x:c r="E315" s="36" t="str">
        <x:v>Rocky View County</x:v>
      </x:c>
      <x:c r="F315" s="36" t="str">
        <x:v>Liam Kowalski</x:v>
      </x:c>
      <x:c r="G315" s="36" t="str">
        <x:v>Concrete &amp; Structural</x:v>
      </x:c>
      <x:c r="H315" s="36" t="str">
        <x:v>Structural Formwork</x:v>
      </x:c>
      <x:c r="I315" s="36" t="str">
        <x:v>Inland Concrete</x:v>
      </x:c>
      <x:c r="J315" s="36" t="str">
        <x:v>Emergency Procurement</x:v>
      </x:c>
      <x:c r="K315" s="38" t="n">
        <x:v>50</x:v>
      </x:c>
      <x:c r="L315" s="36" t="str">
        <x:v>m³</x:v>
      </x:c>
      <x:c r="M315" s="39" t="n">
        <x:v>367.03</x:v>
      </x:c>
      <x:c r="N315" s="39" t="n">
        <x:v>448.92</x:v>
      </x:c>
      <x:c r="O315" s="39" t="n">
        <x:v>18351.5</x:v>
      </x:c>
      <x:c r="P315" s="39" t="n">
        <x:v>22446</x:v>
      </x:c>
      <x:c r="Q315" s="39" t="n">
        <x:v>-4094.5</x:v>
      </x:c>
      <x:c r="R315" s="40" t="n">
        <x:v>-18.2</x:v>
      </x:c>
      <x:c r="S315" s="41" t="n">
        <x:v>41</x:v>
      </x:c>
      <x:c r="T315" s="36" t="str">
        <x:v>No</x:v>
      </x:c>
      <x:c r="U315" s="36" t="str">
        <x:v>Delivered</x:v>
      </x:c>
    </x:row>
    <x:row r="316">
      <x:c r="A316" s="36" t="str">
        <x:v>PO-2025-0315</x:v>
      </x:c>
      <x:c r="B316" s="37" t="n">
        <x:v>45771</x:v>
      </x:c>
      <x:c r="C316" s="36" t="str">
        <x:v>April</x:v>
      </x:c>
      <x:c r="D316" s="36" t="str">
        <x:v>Bow River Crossing Overpass</x:v>
      </x:c>
      <x:c r="E316" s="36" t="str">
        <x:v>Calgary SW</x:v>
      </x:c>
      <x:c r="F316" s="36" t="str">
        <x:v>Derek McLean</x:v>
      </x:c>
      <x:c r="G316" s="36" t="str">
        <x:v>Concrete &amp; Structural</x:v>
      </x:c>
      <x:c r="H316" s="36" t="str">
        <x:v>Precast Deck Panels</x:v>
      </x:c>
      <x:c r="I316" s="36" t="str">
        <x:v>Evraz Steel Calgary</x:v>
      </x:c>
      <x:c r="J316" s="36" t="str">
        <x:v>Standing Offer Agreement</x:v>
      </x:c>
      <x:c r="K316" s="38" t="n">
        <x:v>113</x:v>
      </x:c>
      <x:c r="L316" s="36" t="str">
        <x:v>m³</x:v>
      </x:c>
      <x:c r="M316" s="39" t="n">
        <x:v>382.98</x:v>
      </x:c>
      <x:c r="N316" s="39" t="n">
        <x:v>375.02</x:v>
      </x:c>
      <x:c r="O316" s="39" t="n">
        <x:v>43276.74</x:v>
      </x:c>
      <x:c r="P316" s="39" t="n">
        <x:v>42377.26</x:v>
      </x:c>
      <x:c r="Q316" s="39" t="n">
        <x:v>899.48</x:v>
      </x:c>
      <x:c r="R316" s="40" t="n">
        <x:v>2.1</x:v>
      </x:c>
      <x:c r="S316" s="41" t="n">
        <x:v>28</x:v>
      </x:c>
      <x:c r="T316" s="36" t="str">
        <x:v>Yes</x:v>
      </x:c>
      <x:c r="U316" s="36" t="str">
        <x:v>Delivered</x:v>
      </x:c>
    </x:row>
    <x:row r="317">
      <x:c r="A317" s="36" t="str">
        <x:v>PO-2025-0316</x:v>
      </x:c>
      <x:c r="B317" s="37" t="n">
        <x:v>45895</x:v>
      </x:c>
      <x:c r="C317" s="36" t="str">
        <x:v>August</x:v>
      </x:c>
      <x:c r="D317" s="36" t="str">
        <x:v>Bow River Crossing Overpass</x:v>
      </x:c>
      <x:c r="E317" s="36" t="str">
        <x:v>Calgary SE</x:v>
      </x:c>
      <x:c r="F317" s="36" t="str">
        <x:v>Sarah Bouchard</x:v>
      </x:c>
      <x:c r="G317" s="36" t="str">
        <x:v>Finishing</x:v>
      </x:c>
      <x:c r="H317" s="36" t="str">
        <x:v>Waterproofing Membrane</x:v>
      </x:c>
      <x:c r="I317" s="36" t="str">
        <x:v>Centura Tile Calgary</x:v>
      </x:c>
      <x:c r="J317" s="36" t="str">
        <x:v>3-Quote Comparison</x:v>
      </x:c>
      <x:c r="K317" s="38" t="n">
        <x:v>88</x:v>
      </x:c>
      <x:c r="L317" s="36" t="str">
        <x:v>m²</x:v>
      </x:c>
      <x:c r="M317" s="39" t="n">
        <x:v>152.99</x:v>
      </x:c>
      <x:c r="N317" s="39" t="n">
        <x:v>181.03</x:v>
      </x:c>
      <x:c r="O317" s="39" t="n">
        <x:v>13463.12</x:v>
      </x:c>
      <x:c r="P317" s="39" t="n">
        <x:v>15930.64</x:v>
      </x:c>
      <x:c r="Q317" s="39" t="n">
        <x:v>-2467.52</x:v>
      </x:c>
      <x:c r="R317" s="40" t="n">
        <x:v>-15.5</x:v>
      </x:c>
      <x:c r="S317" s="41" t="n">
        <x:v>29</x:v>
      </x:c>
      <x:c r="T317" s="36" t="str">
        <x:v>No</x:v>
      </x:c>
      <x:c r="U317" s="36" t="str">
        <x:v>Delivered</x:v>
      </x:c>
    </x:row>
    <x:row r="318">
      <x:c r="A318" s="36" t="str">
        <x:v>PO-2025-0317</x:v>
      </x:c>
      <x:c r="B318" s="37" t="n">
        <x:v>45915</x:v>
      </x:c>
      <x:c r="C318" s="36" t="str">
        <x:v>September</x:v>
      </x:c>
      <x:c r="D318" s="36" t="str">
        <x:v>Stampede Park Infrastructure Upgrade</x:v>
      </x:c>
      <x:c r="E318" s="36" t="str">
        <x:v>Calgary NE</x:v>
      </x:c>
      <x:c r="F318" s="36" t="str">
        <x:v>Liam Kowalski</x:v>
      </x:c>
      <x:c r="G318" s="36" t="str">
        <x:v>MEP - Mechanical</x:v>
      </x:c>
      <x:c r="H318" s="36" t="str">
        <x:v>Insulated Pipework</x:v>
      </x:c>
      <x:c r="I318" s="36" t="str">
        <x:v>Stantec MEP</x:v>
      </x:c>
      <x:c r="J318" s="36" t="str">
        <x:v>Tender – Open</x:v>
      </x:c>
      <x:c r="K318" s="38" t="n">
        <x:v>28</x:v>
      </x:c>
      <x:c r="L318" s="36" t="str">
        <x:v>lot</x:v>
      </x:c>
      <x:c r="M318" s="39" t="n">
        <x:v>84173.54</x:v>
      </x:c>
      <x:c r="N318" s="39" t="n">
        <x:v>74532.09</x:v>
      </x:c>
      <x:c r="O318" s="39" t="n">
        <x:v>2356859.12</x:v>
      </x:c>
      <x:c r="P318" s="39" t="n">
        <x:v>2086898.52</x:v>
      </x:c>
      <x:c r="Q318" s="39" t="n">
        <x:v>269960.6</x:v>
      </x:c>
      <x:c r="R318" s="40" t="n">
        <x:v>12.9</x:v>
      </x:c>
      <x:c r="S318" s="41" t="n">
        <x:v>41</x:v>
      </x:c>
      <x:c r="T318" s="36" t="str">
        <x:v>Yes</x:v>
      </x:c>
      <x:c r="U318" s="36" t="str">
        <x:v>Delivered</x:v>
      </x:c>
    </x:row>
    <x:row r="319">
      <x:c r="A319" s="36" t="str">
        <x:v>PO-2025-0318</x:v>
      </x:c>
      <x:c r="B319" s="37" t="n">
        <x:v>45839</x:v>
      </x:c>
      <x:c r="C319" s="36" t="str">
        <x:v>July</x:v>
      </x:c>
      <x:c r="D319" s="36" t="str">
        <x:v>Calgary SE Ring Road Extension</x:v>
      </x:c>
      <x:c r="E319" s="36" t="str">
        <x:v>Calgary SE</x:v>
      </x:c>
      <x:c r="F319" s="36" t="str">
        <x:v>Sarah Bouchard</x:v>
      </x:c>
      <x:c r="G319" s="36" t="str">
        <x:v>Concrete &amp; Structural</x:v>
      </x:c>
      <x:c r="H319" s="36" t="str">
        <x:v>Precast Deck Panels</x:v>
      </x:c>
      <x:c r="I319" s="36" t="str">
        <x:v>Evraz Steel Calgary</x:v>
      </x:c>
      <x:c r="J319" s="36" t="str">
        <x:v>Emergency Procurement</x:v>
      </x:c>
      <x:c r="K319" s="38" t="n">
        <x:v>29</x:v>
      </x:c>
      <x:c r="L319" s="36" t="str">
        <x:v>m³</x:v>
      </x:c>
      <x:c r="M319" s="39" t="n">
        <x:v>610.97</x:v>
      </x:c>
      <x:c r="N319" s="39" t="n">
        <x:v>547.83</x:v>
      </x:c>
      <x:c r="O319" s="39" t="n">
        <x:v>17718.13</x:v>
      </x:c>
      <x:c r="P319" s="39" t="n">
        <x:v>15887.07</x:v>
      </x:c>
      <x:c r="Q319" s="39" t="n">
        <x:v>1831.06</x:v>
      </x:c>
      <x:c r="R319" s="40" t="n">
        <x:v>11.5</x:v>
      </x:c>
      <x:c r="S319" s="41" t="n">
        <x:v>72</x:v>
      </x:c>
      <x:c r="T319" s="36" t="str">
        <x:v>Yes</x:v>
      </x:c>
      <x:c r="U319" s="36" t="str">
        <x:v>Delivered</x:v>
      </x:c>
    </x:row>
    <x:row r="320">
      <x:c r="A320" s="36" t="str">
        <x:v>PO-2025-0319</x:v>
      </x:c>
      <x:c r="B320" s="37" t="n">
        <x:v>45884</x:v>
      </x:c>
      <x:c r="C320" s="36" t="str">
        <x:v>August</x:v>
      </x:c>
      <x:c r="D320" s="36" t="str">
        <x:v>Calgary SE Ring Road Extension</x:v>
      </x:c>
      <x:c r="E320" s="36" t="str">
        <x:v>Calgary SE</x:v>
      </x:c>
      <x:c r="F320" s="36" t="str">
        <x:v>Derek McLean</x:v>
      </x:c>
      <x:c r="G320" s="36" t="str">
        <x:v>Civil Works</x:v>
      </x:c>
      <x:c r="H320" s="36" t="str">
        <x:v>Bulk Excavation</x:v>
      </x:c>
      <x:c r="I320" s="36" t="str">
        <x:v>Graham Construction</x:v>
      </x:c>
      <x:c r="J320" s="36" t="str">
        <x:v>Tender – Open</x:v>
      </x:c>
      <x:c r="K320" s="38" t="n">
        <x:v>71</x:v>
      </x:c>
      <x:c r="L320" s="36" t="str">
        <x:v>m³</x:v>
      </x:c>
      <x:c r="M320" s="39" t="n">
        <x:v>55.92</x:v>
      </x:c>
      <x:c r="N320" s="39" t="n">
        <x:v>56.07</x:v>
      </x:c>
      <x:c r="O320" s="39" t="n">
        <x:v>3970.32</x:v>
      </x:c>
      <x:c r="P320" s="39" t="n">
        <x:v>3980.97</x:v>
      </x:c>
      <x:c r="Q320" s="39" t="n">
        <x:v>-10.65</x:v>
      </x:c>
      <x:c r="R320" s="40" t="n">
        <x:v>-0.3</x:v>
      </x:c>
      <x:c r="S320" s="41" t="n">
        <x:v>34</x:v>
      </x:c>
      <x:c r="T320" s="36" t="str">
        <x:v>Yes</x:v>
      </x:c>
      <x:c r="U320" s="36" t="str">
        <x:v>Delivered</x:v>
      </x:c>
    </x:row>
    <x:row r="321">
      <x:c r="A321" s="36" t="str">
        <x:v>PO-2025-0320</x:v>
      </x:c>
      <x:c r="B321" s="37" t="n">
        <x:v>45906</x:v>
      </x:c>
      <x:c r="C321" s="36" t="str">
        <x:v>September</x:v>
      </x:c>
      <x:c r="D321" s="36" t="str">
        <x:v>Foothills Medical Centre Expansion</x:v>
      </x:c>
      <x:c r="E321" s="36" t="str">
        <x:v>Calgary SW</x:v>
      </x:c>
      <x:c r="F321" s="36" t="str">
        <x:v>Sarah Bouchard</x:v>
      </x:c>
      <x:c r="G321" s="36" t="str">
        <x:v>Concrete &amp; Structural</x:v>
      </x:c>
      <x:c r="H321" s="36" t="str">
        <x:v>Structural Formwork</x:v>
      </x:c>
      <x:c r="I321" s="36" t="str">
        <x:v>Alberta Precast</x:v>
      </x:c>
      <x:c r="J321" s="36" t="str">
        <x:v>Emergency Procurement</x:v>
      </x:c>
      <x:c r="K321" s="38" t="n">
        <x:v>66</x:v>
      </x:c>
      <x:c r="L321" s="36" t="str">
        <x:v>m³</x:v>
      </x:c>
      <x:c r="M321" s="39" t="n">
        <x:v>674.51</x:v>
      </x:c>
      <x:c r="N321" s="39" t="n">
        <x:v>757.93</x:v>
      </x:c>
      <x:c r="O321" s="39" t="n">
        <x:v>44517.66</x:v>
      </x:c>
      <x:c r="P321" s="39" t="n">
        <x:v>50023.38</x:v>
      </x:c>
      <x:c r="Q321" s="39" t="n">
        <x:v>-5505.72</x:v>
      </x:c>
      <x:c r="R321" s="40" t="n">
        <x:v>-11</x:v>
      </x:c>
      <x:c r="S321" s="41" t="n">
        <x:v>57</x:v>
      </x:c>
      <x:c r="T321" s="36" t="str">
        <x:v>Yes</x:v>
      </x:c>
      <x:c r="U321" s="36" t="str">
        <x:v>Pending</x:v>
      </x:c>
    </x:row>
    <x:row r="322">
      <x:c r="A322" s="36" t="str">
        <x:v>PO-2025-0321</x:v>
      </x:c>
      <x:c r="B322" s="37" t="n">
        <x:v>45719</x:v>
      </x:c>
      <x:c r="C322" s="36" t="str">
        <x:v>March</x:v>
      </x:c>
      <x:c r="D322" s="36" t="str">
        <x:v>Bow River Crossing Overpass</x:v>
      </x:c>
      <x:c r="E322" s="36" t="str">
        <x:v>Rocky View County</x:v>
      </x:c>
      <x:c r="F322" s="36" t="str">
        <x:v>James Okafor</x:v>
      </x:c>
      <x:c r="G322" s="36" t="str">
        <x:v>Safety &amp; Temp Works</x:v>
      </x:c>
      <x:c r="H322" s="36" t="str">
        <x:v>PPE Bulk Supply</x:v>
      </x:c>
      <x:c r="I322" s="36" t="str">
        <x:v>Safway Alberta</x:v>
      </x:c>
      <x:c r="J322" s="36" t="str">
        <x:v>LPO – Direct Award</x:v>
      </x:c>
      <x:c r="K322" s="38" t="n">
        <x:v>72</x:v>
      </x:c>
      <x:c r="L322" s="36" t="str">
        <x:v>lot</x:v>
      </x:c>
      <x:c r="M322" s="39" t="n">
        <x:v>14767.27</x:v>
      </x:c>
      <x:c r="N322" s="39" t="n">
        <x:v>13870.46</x:v>
      </x:c>
      <x:c r="O322" s="39" t="n">
        <x:v>1063243.44</x:v>
      </x:c>
      <x:c r="P322" s="39" t="n">
        <x:v>998673.12</x:v>
      </x:c>
      <x:c r="Q322" s="39" t="n">
        <x:v>64570.32</x:v>
      </x:c>
      <x:c r="R322" s="40" t="n">
        <x:v>6.5</x:v>
      </x:c>
      <x:c r="S322" s="41" t="n">
        <x:v>4</x:v>
      </x:c>
      <x:c r="T322" s="36" t="str">
        <x:v>No</x:v>
      </x:c>
      <x:c r="U322" s="36" t="str">
        <x:v>Partially Delivered</x:v>
      </x:c>
    </x:row>
    <x:row r="323">
      <x:c r="A323" s="36" t="str">
        <x:v>PO-2025-0322</x:v>
      </x:c>
      <x:c r="B323" s="37" t="n">
        <x:v>45700</x:v>
      </x:c>
      <x:c r="C323" s="36" t="str">
        <x:v>February</x:v>
      </x:c>
      <x:c r="D323" s="36" t="str">
        <x:v>Rocky View Industrial Logistics Hub</x:v>
      </x:c>
      <x:c r="E323" s="36" t="str">
        <x:v>Rocky View County</x:v>
      </x:c>
      <x:c r="F323" s="36" t="str">
        <x:v>James Okafor</x:v>
      </x:c>
      <x:c r="G323" s="36" t="str">
        <x:v>Civil Works</x:v>
      </x:c>
      <x:c r="H323" s="36" t="str">
        <x:v>Bulk Excavation</x:v>
      </x:c>
      <x:c r="I323" s="36" t="str">
        <x:v>Ledcor Civil Alberta</x:v>
      </x:c>
      <x:c r="J323" s="36" t="str">
        <x:v>Tender – Open</x:v>
      </x:c>
      <x:c r="K323" s="38" t="n">
        <x:v>77</x:v>
      </x:c>
      <x:c r="L323" s="36" t="str">
        <x:v>m³</x:v>
      </x:c>
      <x:c r="M323" s="39" t="n">
        <x:v>89.08</x:v>
      </x:c>
      <x:c r="N323" s="39" t="n">
        <x:v>85.26</x:v>
      </x:c>
      <x:c r="O323" s="39" t="n">
        <x:v>6859.16</x:v>
      </x:c>
      <x:c r="P323" s="39" t="n">
        <x:v>6565.02</x:v>
      </x:c>
      <x:c r="Q323" s="39" t="n">
        <x:v>294.14</x:v>
      </x:c>
      <x:c r="R323" s="40" t="n">
        <x:v>4.5</x:v>
      </x:c>
      <x:c r="S323" s="41" t="n">
        <x:v>80</x:v>
      </x:c>
      <x:c r="T323" s="36" t="str">
        <x:v>No</x:v>
      </x:c>
      <x:c r="U323" s="36" t="str">
        <x:v>Delivered</x:v>
      </x:c>
    </x:row>
    <x:row r="324">
      <x:c r="A324" s="36" t="str">
        <x:v>PO-2025-0323</x:v>
      </x:c>
      <x:c r="B324" s="37" t="n">
        <x:v>45889</x:v>
      </x:c>
      <x:c r="C324" s="36" t="str">
        <x:v>August</x:v>
      </x:c>
      <x:c r="D324" s="36" t="str">
        <x:v>Saddledome Arena Retrofit</x:v>
      </x:c>
      <x:c r="E324" s="36" t="str">
        <x:v>Rocky View County</x:v>
      </x:c>
      <x:c r="F324" s="36" t="str">
        <x:v>James Okafor</x:v>
      </x:c>
      <x:c r="G324" s="36" t="str">
        <x:v>Civil Works</x:v>
      </x:c>
      <x:c r="H324" s="36" t="str">
        <x:v>Storm Drainage Pipe</x:v>
      </x:c>
      <x:c r="I324" s="36" t="str">
        <x:v>Ledcor Civil Alberta</x:v>
      </x:c>
      <x:c r="J324" s="36" t="str">
        <x:v>Standing Offer Agreement</x:v>
      </x:c>
      <x:c r="K324" s="38" t="n">
        <x:v>24</x:v>
      </x:c>
      <x:c r="L324" s="36" t="str">
        <x:v>m³</x:v>
      </x:c>
      <x:c r="M324" s="39" t="n">
        <x:v>281.09</x:v>
      </x:c>
      <x:c r="N324" s="39" t="n">
        <x:v>330.92</x:v>
      </x:c>
      <x:c r="O324" s="39" t="n">
        <x:v>6746.16</x:v>
      </x:c>
      <x:c r="P324" s="39" t="n">
        <x:v>7942.08</x:v>
      </x:c>
      <x:c r="Q324" s="39" t="n">
        <x:v>-1195.92</x:v>
      </x:c>
      <x:c r="R324" s="40" t="n">
        <x:v>-15.1</x:v>
      </x:c>
      <x:c r="S324" s="41" t="n">
        <x:v>31</x:v>
      </x:c>
      <x:c r="T324" s="36" t="str">
        <x:v>Yes</x:v>
      </x:c>
      <x:c r="U324" s="36" t="str">
        <x:v>Delivered</x:v>
      </x:c>
    </x:row>
    <x:row r="325">
      <x:c r="A325" s="36" t="str">
        <x:v>PO-2025-0324</x:v>
      </x:c>
      <x:c r="B325" s="37" t="n">
        <x:v>45686</x:v>
      </x:c>
      <x:c r="C325" s="36" t="str">
        <x:v>January</x:v>
      </x:c>
      <x:c r="D325" s="36" t="str">
        <x:v>Stampede Park Infrastructure Upgrade</x:v>
      </x:c>
      <x:c r="E325" s="36" t="str">
        <x:v>Rocky View County</x:v>
      </x:c>
      <x:c r="F325" s="36" t="str">
        <x:v>Mohammed Siddiqui</x:v>
      </x:c>
      <x:c r="G325" s="36" t="str">
        <x:v>Civil Works</x:v>
      </x:c>
      <x:c r="H325" s="36" t="str">
        <x:v>Curb &amp; Gutter Concrete</x:v>
      </x:c>
      <x:c r="I325" s="36" t="str">
        <x:v>Graham Construction</x:v>
      </x:c>
      <x:c r="J325" s="36" t="str">
        <x:v>Tender – Open</x:v>
      </x:c>
      <x:c r="K325" s="38" t="n">
        <x:v>111</x:v>
      </x:c>
      <x:c r="L325" s="36" t="str">
        <x:v>m³</x:v>
      </x:c>
      <x:c r="M325" s="39" t="n">
        <x:v>164.94</x:v>
      </x:c>
      <x:c r="N325" s="39" t="n">
        <x:v>202.4</x:v>
      </x:c>
      <x:c r="O325" s="39" t="n">
        <x:v>18308.34</x:v>
      </x:c>
      <x:c r="P325" s="39" t="n">
        <x:v>22466.4</x:v>
      </x:c>
      <x:c r="Q325" s="39" t="n">
        <x:v>-4158.06</x:v>
      </x:c>
      <x:c r="R325" s="40" t="n">
        <x:v>-18.5</x:v>
      </x:c>
      <x:c r="S325" s="41" t="n">
        <x:v>41</x:v>
      </x:c>
      <x:c r="T325" s="36" t="str">
        <x:v>Yes</x:v>
      </x:c>
      <x:c r="U325" s="36" t="str">
        <x:v>Delivered</x:v>
      </x:c>
    </x:row>
    <x:row r="326">
      <x:c r="A326" s="36" t="str">
        <x:v>PO-2025-0325</x:v>
      </x:c>
      <x:c r="B326" s="37" t="n">
        <x:v>45812</x:v>
      </x:c>
      <x:c r="C326" s="36" t="str">
        <x:v>June</x:v>
      </x:c>
      <x:c r="D326" s="36" t="str">
        <x:v>Springbank Off-Stream Reservoir</x:v>
      </x:c>
      <x:c r="E326" s="36" t="str">
        <x:v>Calgary NE</x:v>
      </x:c>
      <x:c r="F326" s="36" t="str">
        <x:v>Priya Sharma</x:v>
      </x:c>
      <x:c r="G326" s="36" t="str">
        <x:v>Safety &amp; Temp Works</x:v>
      </x:c>
      <x:c r="H326" s="36" t="str">
        <x:v>Site Office Trailer</x:v>
      </x:c>
      <x:c r="I326" s="36" t="str">
        <x:v>Safway Alberta</x:v>
      </x:c>
      <x:c r="J326" s="36" t="str">
        <x:v>Tender – Open</x:v>
      </x:c>
      <x:c r="K326" s="38" t="n">
        <x:v>11</x:v>
      </x:c>
      <x:c r="L326" s="36" t="str">
        <x:v>lot</x:v>
      </x:c>
      <x:c r="M326" s="39" t="n">
        <x:v>9715.72</x:v>
      </x:c>
      <x:c r="N326" s="39" t="n">
        <x:v>11146.28</x:v>
      </x:c>
      <x:c r="O326" s="39" t="n">
        <x:v>106872.92</x:v>
      </x:c>
      <x:c r="P326" s="39" t="n">
        <x:v>122609.08</x:v>
      </x:c>
      <x:c r="Q326" s="39" t="n">
        <x:v>-15736.16</x:v>
      </x:c>
      <x:c r="R326" s="40" t="n">
        <x:v>-12.8</x:v>
      </x:c>
      <x:c r="S326" s="41" t="n">
        <x:v>65</x:v>
      </x:c>
      <x:c r="T326" s="36" t="str">
        <x:v>Yes</x:v>
      </x:c>
      <x:c r="U326" s="36" t="str">
        <x:v>Cancelled</x:v>
      </x:c>
    </x:row>
    <x:row r="327">
      <x:c r="A327" s="36" t="str">
        <x:v>PO-2025-0326</x:v>
      </x:c>
      <x:c r="B327" s="37" t="n">
        <x:v>45701</x:v>
      </x:c>
      <x:c r="C327" s="36" t="str">
        <x:v>February</x:v>
      </x:c>
      <x:c r="D327" s="36" t="str">
        <x:v>University District Residential Phase 3</x:v>
      </x:c>
      <x:c r="E327" s="36" t="str">
        <x:v>Rocky View County</x:v>
      </x:c>
      <x:c r="F327" s="36" t="str">
        <x:v>Priya Sharma</x:v>
      </x:c>
      <x:c r="G327" s="36" t="str">
        <x:v>Finishing</x:v>
      </x:c>
      <x:c r="H327" s="36" t="str">
        <x:v>Exterior Cladding Panel</x:v>
      </x:c>
      <x:c r="I327" s="36" t="str">
        <x:v>Centura Tile Calgary</x:v>
      </x:c>
      <x:c r="J327" s="36" t="str">
        <x:v>Emergency Procurement</x:v>
      </x:c>
      <x:c r="K327" s="38" t="n">
        <x:v>106</x:v>
      </x:c>
      <x:c r="L327" s="36" t="str">
        <x:v>m²</x:v>
      </x:c>
      <x:c r="M327" s="39" t="n">
        <x:v>308.64</x:v>
      </x:c>
      <x:c r="N327" s="39" t="n">
        <x:v>282.46</x:v>
      </x:c>
      <x:c r="O327" s="39" t="n">
        <x:v>32715.84</x:v>
      </x:c>
      <x:c r="P327" s="39" t="n">
        <x:v>29940.76</x:v>
      </x:c>
      <x:c r="Q327" s="39" t="n">
        <x:v>2775.08</x:v>
      </x:c>
      <x:c r="R327" s="40" t="n">
        <x:v>9.3</x:v>
      </x:c>
      <x:c r="S327" s="41" t="n">
        <x:v>62</x:v>
      </x:c>
      <x:c r="T327" s="36" t="str">
        <x:v>Yes</x:v>
      </x:c>
      <x:c r="U327" s="36" t="str">
        <x:v>Delivered</x:v>
      </x:c>
    </x:row>
    <x:row r="328">
      <x:c r="A328" s="36" t="str">
        <x:v>PO-2025-0327</x:v>
      </x:c>
      <x:c r="B328" s="37" t="n">
        <x:v>45719</x:v>
      </x:c>
      <x:c r="C328" s="36" t="str">
        <x:v>March</x:v>
      </x:c>
      <x:c r="D328" s="36" t="str">
        <x:v>Deerfoot Trail Widening - North</x:v>
      </x:c>
      <x:c r="E328" s="36" t="str">
        <x:v>Calgary NE</x:v>
      </x:c>
      <x:c r="F328" s="36" t="str">
        <x:v>James Okafor</x:v>
      </x:c>
      <x:c r="G328" s="36" t="str">
        <x:v>Safety &amp; Temp Works</x:v>
      </x:c>
      <x:c r="H328" s="36" t="str">
        <x:v>PPE Bulk Supply</x:v>
      </x:c>
      <x:c r="I328" s="36" t="str">
        <x:v>BrandSafway Canada</x:v>
      </x:c>
      <x:c r="J328" s="36" t="str">
        <x:v>LPO – Direct Award</x:v>
      </x:c>
      <x:c r="K328" s="38" t="n">
        <x:v>79</x:v>
      </x:c>
      <x:c r="L328" s="36" t="str">
        <x:v>lot</x:v>
      </x:c>
      <x:c r="M328" s="39" t="n">
        <x:v>16701.7</x:v>
      </x:c>
      <x:c r="N328" s="39" t="n">
        <x:v>14829.54</x:v>
      </x:c>
      <x:c r="O328" s="39" t="n">
        <x:v>1319434.3</x:v>
      </x:c>
      <x:c r="P328" s="39" t="n">
        <x:v>1171533.66</x:v>
      </x:c>
      <x:c r="Q328" s="39" t="n">
        <x:v>147900.64</x:v>
      </x:c>
      <x:c r="R328" s="40" t="n">
        <x:v>12.6</x:v>
      </x:c>
      <x:c r="S328" s="41" t="n">
        <x:v>60</x:v>
      </x:c>
      <x:c r="T328" s="36" t="str">
        <x:v>Yes</x:v>
      </x:c>
      <x:c r="U328" s="36" t="str">
        <x:v>Delivered</x:v>
      </x:c>
    </x:row>
    <x:row r="329">
      <x:c r="A329" s="36" t="str">
        <x:v>PO-2025-0328</x:v>
      </x:c>
      <x:c r="B329" s="37" t="n">
        <x:v>45799</x:v>
      </x:c>
      <x:c r="C329" s="36" t="str">
        <x:v>May</x:v>
      </x:c>
      <x:c r="D329" s="36" t="str">
        <x:v>Springbank Off-Stream Reservoir</x:v>
      </x:c>
      <x:c r="E329" s="36" t="str">
        <x:v>Calgary NE</x:v>
      </x:c>
      <x:c r="F329" s="36" t="str">
        <x:v>Derek McLean</x:v>
      </x:c>
      <x:c r="G329" s="36" t="str">
        <x:v>Concrete &amp; Structural</x:v>
      </x:c>
      <x:c r="H329" s="36" t="str">
        <x:v>Precast Deck Panels</x:v>
      </x:c>
      <x:c r="I329" s="36" t="str">
        <x:v>Alberta Precast</x:v>
      </x:c>
      <x:c r="J329" s="36" t="str">
        <x:v>LPO – Direct Award</x:v>
      </x:c>
      <x:c r="K329" s="38" t="n">
        <x:v>18</x:v>
      </x:c>
      <x:c r="L329" s="36" t="str">
        <x:v>m³</x:v>
      </x:c>
      <x:c r="M329" s="39" t="n">
        <x:v>606.78</x:v>
      </x:c>
      <x:c r="N329" s="39" t="n">
        <x:v>658.13</x:v>
      </x:c>
      <x:c r="O329" s="39" t="n">
        <x:v>10922.04</x:v>
      </x:c>
      <x:c r="P329" s="39" t="n">
        <x:v>11846.34</x:v>
      </x:c>
      <x:c r="Q329" s="39" t="n">
        <x:v>-924.3</x:v>
      </x:c>
      <x:c r="R329" s="40" t="n">
        <x:v>-7.8</x:v>
      </x:c>
      <x:c r="S329" s="41" t="n">
        <x:v>37</x:v>
      </x:c>
      <x:c r="T329" s="36" t="str">
        <x:v>No</x:v>
      </x:c>
      <x:c r="U329" s="36" t="str">
        <x:v>Delivered</x:v>
      </x:c>
    </x:row>
    <x:row r="330">
      <x:c r="A330" s="36" t="str">
        <x:v>PO-2025-0329</x:v>
      </x:c>
      <x:c r="B330" s="37" t="n">
        <x:v>45944</x:v>
      </x:c>
      <x:c r="C330" s="36" t="str">
        <x:v>October</x:v>
      </x:c>
      <x:c r="D330" s="36" t="str">
        <x:v>Rocky View Industrial Logistics Hub</x:v>
      </x:c>
      <x:c r="E330" s="36" t="str">
        <x:v>Rocky View County</x:v>
      </x:c>
      <x:c r="F330" s="36" t="str">
        <x:v>Sarah Bouchard</x:v>
      </x:c>
      <x:c r="G330" s="36" t="str">
        <x:v>Finishing</x:v>
      </x:c>
      <x:c r="H330" s="36" t="str">
        <x:v>Drywall &amp; Framing</x:v>
      </x:c>
      <x:c r="I330" s="36" t="str">
        <x:v>Dryvit Systems Canada</x:v>
      </x:c>
      <x:c r="J330" s="36" t="str">
        <x:v>3-Quote Comparison</x:v>
      </x:c>
      <x:c r="K330" s="38" t="n">
        <x:v>4</x:v>
      </x:c>
      <x:c r="L330" s="36" t="str">
        <x:v>m²</x:v>
      </x:c>
      <x:c r="M330" s="39" t="n">
        <x:v>66.35</x:v>
      </x:c>
      <x:c r="N330" s="39" t="n">
        <x:v>59.4</x:v>
      </x:c>
      <x:c r="O330" s="39" t="n">
        <x:v>265.4</x:v>
      </x:c>
      <x:c r="P330" s="39" t="n">
        <x:v>237.6</x:v>
      </x:c>
      <x:c r="Q330" s="39" t="n">
        <x:v>27.8</x:v>
      </x:c>
      <x:c r="R330" s="40" t="n">
        <x:v>11.7</x:v>
      </x:c>
      <x:c r="S330" s="41" t="n">
        <x:v>55</x:v>
      </x:c>
      <x:c r="T330" s="36" t="str">
        <x:v>No</x:v>
      </x:c>
      <x:c r="U330" s="36" t="str">
        <x:v>Delivered</x:v>
      </x:c>
    </x:row>
    <x:row r="331">
      <x:c r="A331" s="36" t="str">
        <x:v>PO-2025-0330</x:v>
      </x:c>
      <x:c r="B331" s="37" t="n">
        <x:v>45837</x:v>
      </x:c>
      <x:c r="C331" s="36" t="str">
        <x:v>June</x:v>
      </x:c>
      <x:c r="D331" s="36" t="str">
        <x:v>Springbank Off-Stream Reservoir</x:v>
      </x:c>
      <x:c r="E331" s="36" t="str">
        <x:v>Calgary SE</x:v>
      </x:c>
      <x:c r="F331" s="36" t="str">
        <x:v>Mohammed Siddiqui</x:v>
      </x:c>
      <x:c r="G331" s="36" t="str">
        <x:v>MEP - Mechanical</x:v>
      </x:c>
      <x:c r="H331" s="36" t="str">
        <x:v>Boiler System</x:v>
      </x:c>
      <x:c r="I331" s="36" t="str">
        <x:v>Ainsworth Inc.</x:v>
      </x:c>
      <x:c r="J331" s="36" t="str">
        <x:v>Emergency Procurement</x:v>
      </x:c>
      <x:c r="K331" s="38" t="n">
        <x:v>34</x:v>
      </x:c>
      <x:c r="L331" s="36" t="str">
        <x:v>lot</x:v>
      </x:c>
      <x:c r="M331" s="39" t="n">
        <x:v>57454.55</x:v>
      </x:c>
      <x:c r="N331" s="39" t="n">
        <x:v>65994.34</x:v>
      </x:c>
      <x:c r="O331" s="39" t="n">
        <x:v>1953454.7</x:v>
      </x:c>
      <x:c r="P331" s="39" t="n">
        <x:v>2243807.56</x:v>
      </x:c>
      <x:c r="Q331" s="39" t="n">
        <x:v>-290352.86</x:v>
      </x:c>
      <x:c r="R331" s="40" t="n">
        <x:v>-12.9</x:v>
      </x:c>
      <x:c r="S331" s="41" t="n">
        <x:v>37</x:v>
      </x:c>
      <x:c r="T331" s="36" t="str">
        <x:v>Yes</x:v>
      </x:c>
      <x:c r="U331" s="36" t="str">
        <x:v>Cancelled</x:v>
      </x:c>
    </x:row>
    <x:row r="332">
      <x:c r="A332" s="36" t="str">
        <x:v>PO-2025-0331</x:v>
      </x:c>
      <x:c r="B332" s="37" t="n">
        <x:v>45766</x:v>
      </x:c>
      <x:c r="C332" s="36" t="str">
        <x:v>April</x:v>
      </x:c>
      <x:c r="D332" s="36" t="str">
        <x:v>Deerfoot Trail Widening - North</x:v>
      </x:c>
      <x:c r="E332" s="36" t="str">
        <x:v>Calgary SE</x:v>
      </x:c>
      <x:c r="F332" s="36" t="str">
        <x:v>Mohammed Siddiqui</x:v>
      </x:c>
      <x:c r="G332" s="36" t="str">
        <x:v>MEP - Mechanical</x:v>
      </x:c>
      <x:c r="H332" s="36" t="str">
        <x:v>Insulated Pipework</x:v>
      </x:c>
      <x:c r="I332" s="36" t="str">
        <x:v>Johnson Controls Alberta</x:v>
      </x:c>
      <x:c r="J332" s="36" t="str">
        <x:v>LPO – Direct Award</x:v>
      </x:c>
      <x:c r="K332" s="38" t="n">
        <x:v>15</x:v>
      </x:c>
      <x:c r="L332" s="36" t="str">
        <x:v>lot</x:v>
      </x:c>
      <x:c r="M332" s="39" t="n">
        <x:v>34223.69</x:v>
      </x:c>
      <x:c r="N332" s="39" t="n">
        <x:v>39462.16</x:v>
      </x:c>
      <x:c r="O332" s="39" t="n">
        <x:v>513355.35</x:v>
      </x:c>
      <x:c r="P332" s="39" t="n">
        <x:v>591932.4</x:v>
      </x:c>
      <x:c r="Q332" s="39" t="n">
        <x:v>-78577.05</x:v>
      </x:c>
      <x:c r="R332" s="40" t="n">
        <x:v>-13.3</x:v>
      </x:c>
      <x:c r="S332" s="41" t="n">
        <x:v>78</x:v>
      </x:c>
      <x:c r="T332" s="36" t="str">
        <x:v>Yes</x:v>
      </x:c>
      <x:c r="U332" s="36" t="str">
        <x:v>Delivered</x:v>
      </x:c>
    </x:row>
    <x:row r="333">
      <x:c r="A333" s="36" t="str">
        <x:v>PO-2025-0332</x:v>
      </x:c>
      <x:c r="B333" s="37" t="n">
        <x:v>45692</x:v>
      </x:c>
      <x:c r="C333" s="36" t="str">
        <x:v>February</x:v>
      </x:c>
      <x:c r="D333" s="36" t="str">
        <x:v>Calgary SE Ring Road Extension</x:v>
      </x:c>
      <x:c r="E333" s="36" t="str">
        <x:v>Calgary SW</x:v>
      </x:c>
      <x:c r="F333" s="36" t="str">
        <x:v>Mohammed Siddiqui</x:v>
      </x:c>
      <x:c r="G333" s="36" t="str">
        <x:v>Safety &amp; Temp Works</x:v>
      </x:c>
      <x:c r="H333" s="36" t="str">
        <x:v>Scaffolding System</x:v>
      </x:c>
      <x:c r="I333" s="36" t="str">
        <x:v>Sunbelt Rentals Canada</x:v>
      </x:c>
      <x:c r="J333" s="36" t="str">
        <x:v>3-Quote Comparison</x:v>
      </x:c>
      <x:c r="K333" s="38" t="n">
        <x:v>120</x:v>
      </x:c>
      <x:c r="L333" s="36" t="str">
        <x:v>lot</x:v>
      </x:c>
      <x:c r="M333" s="39" t="n">
        <x:v>7840.73</x:v>
      </x:c>
      <x:c r="N333" s="39" t="n">
        <x:v>6746.2</x:v>
      </x:c>
      <x:c r="O333" s="39" t="n">
        <x:v>940887.6</x:v>
      </x:c>
      <x:c r="P333" s="39" t="n">
        <x:v>809544</x:v>
      </x:c>
      <x:c r="Q333" s="39" t="n">
        <x:v>131343.6</x:v>
      </x:c>
      <x:c r="R333" s="40" t="n">
        <x:v>16.2</x:v>
      </x:c>
      <x:c r="S333" s="41" t="n">
        <x:v>84</x:v>
      </x:c>
      <x:c r="T333" s="36" t="str">
        <x:v>Yes</x:v>
      </x:c>
      <x:c r="U333" s="36" t="str">
        <x:v>Delivered</x:v>
      </x:c>
    </x:row>
    <x:row r="334">
      <x:c r="A334" s="36" t="str">
        <x:v>PO-2025-0333</x:v>
      </x:c>
      <x:c r="B334" s="37" t="n">
        <x:v>45967</x:v>
      </x:c>
      <x:c r="C334" s="36" t="str">
        <x:v>November</x:v>
      </x:c>
      <x:c r="D334" s="36" t="str">
        <x:v>Springbank Off-Stream Reservoir</x:v>
      </x:c>
      <x:c r="E334" s="36" t="str">
        <x:v>Calgary SW</x:v>
      </x:c>
      <x:c r="F334" s="36" t="str">
        <x:v>Priya Sharma</x:v>
      </x:c>
      <x:c r="G334" s="36" t="str">
        <x:v>Finishing</x:v>
      </x:c>
      <x:c r="H334" s="36" t="str">
        <x:v>Drywall &amp; Framing</x:v>
      </x:c>
      <x:c r="I334" s="36" t="str">
        <x:v>Tremco Roofing</x:v>
      </x:c>
      <x:c r="J334" s="36" t="str">
        <x:v>Standing Offer Agreement</x:v>
      </x:c>
      <x:c r="K334" s="38" t="n">
        <x:v>37</x:v>
      </x:c>
      <x:c r="L334" s="36" t="str">
        <x:v>m²</x:v>
      </x:c>
      <x:c r="M334" s="39" t="n">
        <x:v>301.61</x:v>
      </x:c>
      <x:c r="N334" s="39" t="n">
        <x:v>287.7</x:v>
      </x:c>
      <x:c r="O334" s="39" t="n">
        <x:v>11159.57</x:v>
      </x:c>
      <x:c r="P334" s="39" t="n">
        <x:v>10644.9</x:v>
      </x:c>
      <x:c r="Q334" s="39" t="n">
        <x:v>514.67</x:v>
      </x:c>
      <x:c r="R334" s="40" t="n">
        <x:v>4.8</x:v>
      </x:c>
      <x:c r="S334" s="41" t="n">
        <x:v>54</x:v>
      </x:c>
      <x:c r="T334" s="36" t="str">
        <x:v>Yes</x:v>
      </x:c>
      <x:c r="U334" s="36" t="str">
        <x:v>Cancelled</x:v>
      </x:c>
    </x:row>
    <x:row r="335">
      <x:c r="A335" s="36" t="str">
        <x:v>PO-2025-0334</x:v>
      </x:c>
      <x:c r="B335" s="37" t="n">
        <x:v>45773</x:v>
      </x:c>
      <x:c r="C335" s="36" t="str">
        <x:v>April</x:v>
      </x:c>
      <x:c r="D335" s="36" t="str">
        <x:v>Bow River Crossing Overpass</x:v>
      </x:c>
      <x:c r="E335" s="36" t="str">
        <x:v>Calgary SW</x:v>
      </x:c>
      <x:c r="F335" s="36" t="str">
        <x:v>James Okafor</x:v>
      </x:c>
      <x:c r="G335" s="36" t="str">
        <x:v>MEP - Electrical</x:v>
      </x:c>
      <x:c r="H335" s="36" t="str">
        <x:v>MV Distribution Cable</x:v>
      </x:c>
      <x:c r="I335" s="36" t="str">
        <x:v>Flint Energy Services</x:v>
      </x:c>
      <x:c r="J335" s="36" t="str">
        <x:v>Emergency Procurement</x:v>
      </x:c>
      <x:c r="K335" s="38" t="n">
        <x:v>114</x:v>
      </x:c>
      <x:c r="L335" s="36" t="str">
        <x:v>lot</x:v>
      </x:c>
      <x:c r="M335" s="39" t="n">
        <x:v>28538.17</x:v>
      </x:c>
      <x:c r="N335" s="39" t="n">
        <x:v>31111.88</x:v>
      </x:c>
      <x:c r="O335" s="39" t="n">
        <x:v>3253351.38</x:v>
      </x:c>
      <x:c r="P335" s="39" t="n">
        <x:v>3546754.32</x:v>
      </x:c>
      <x:c r="Q335" s="39" t="n">
        <x:v>-293402.94</x:v>
      </x:c>
      <x:c r="R335" s="40" t="n">
        <x:v>-8.3</x:v>
      </x:c>
      <x:c r="S335" s="41" t="n">
        <x:v>74</x:v>
      </x:c>
      <x:c r="T335" s="36" t="str">
        <x:v>No</x:v>
      </x:c>
      <x:c r="U335" s="36" t="str">
        <x:v>Delivered</x:v>
      </x:c>
    </x:row>
    <x:row r="336">
      <x:c r="A336" s="36" t="str">
        <x:v>PO-2025-0335</x:v>
      </x:c>
      <x:c r="B336" s="37" t="n">
        <x:v>45943</x:v>
      </x:c>
      <x:c r="C336" s="36" t="str">
        <x:v>October</x:v>
      </x:c>
      <x:c r="D336" s="36" t="str">
        <x:v>Deerfoot Trail Widening - North</x:v>
      </x:c>
      <x:c r="E336" s="36" t="str">
        <x:v>Calgary SW</x:v>
      </x:c>
      <x:c r="F336" s="36" t="str">
        <x:v>Mohammed Siddiqui</x:v>
      </x:c>
      <x:c r="G336" s="36" t="str">
        <x:v>MEP - Electrical</x:v>
      </x:c>
      <x:c r="H336" s="36" t="str">
        <x:v>MV Distribution Cable</x:v>
      </x:c>
      <x:c r="I336" s="36" t="str">
        <x:v>Flint Energy Services</x:v>
      </x:c>
      <x:c r="J336" s="36" t="str">
        <x:v>LPO – Direct Award</x:v>
      </x:c>
      <x:c r="K336" s="38" t="n">
        <x:v>38</x:v>
      </x:c>
      <x:c r="L336" s="36" t="str">
        <x:v>lot</x:v>
      </x:c>
      <x:c r="M336" s="39" t="n">
        <x:v>85353.97</x:v>
      </x:c>
      <x:c r="N336" s="39" t="n">
        <x:v>74089.38</x:v>
      </x:c>
      <x:c r="O336" s="39" t="n">
        <x:v>3243450.86</x:v>
      </x:c>
      <x:c r="P336" s="39" t="n">
        <x:v>2815396.44</x:v>
      </x:c>
      <x:c r="Q336" s="39" t="n">
        <x:v>428054.42</x:v>
      </x:c>
      <x:c r="R336" s="40" t="n">
        <x:v>15.2</x:v>
      </x:c>
      <x:c r="S336" s="41" t="n">
        <x:v>54</x:v>
      </x:c>
      <x:c r="T336" s="36" t="str">
        <x:v>Yes</x:v>
      </x:c>
      <x:c r="U336" s="36" t="str">
        <x:v>Partially Delivered</x:v>
      </x:c>
    </x:row>
    <x:row r="337">
      <x:c r="A337" s="36" t="str">
        <x:v>PO-2025-0336</x:v>
      </x:c>
      <x:c r="B337" s="37" t="n">
        <x:v>45899</x:v>
      </x:c>
      <x:c r="C337" s="36" t="str">
        <x:v>August</x:v>
      </x:c>
      <x:c r="D337" s="36" t="str">
        <x:v>Saddledome Arena Retrofit</x:v>
      </x:c>
      <x:c r="E337" s="36" t="str">
        <x:v>Calgary NE</x:v>
      </x:c>
      <x:c r="F337" s="36" t="str">
        <x:v>Sarah Bouchard</x:v>
      </x:c>
      <x:c r="G337" s="36" t="str">
        <x:v>Safety &amp; Temp Works</x:v>
      </x:c>
      <x:c r="H337" s="36" t="str">
        <x:v>Scaffolding System</x:v>
      </x:c>
      <x:c r="I337" s="36" t="str">
        <x:v>Levitt-Safety Calgary</x:v>
      </x:c>
      <x:c r="J337" s="36" t="str">
        <x:v>LPO – Direct Award</x:v>
      </x:c>
      <x:c r="K337" s="38" t="n">
        <x:v>11</x:v>
      </x:c>
      <x:c r="L337" s="36" t="str">
        <x:v>lot</x:v>
      </x:c>
      <x:c r="M337" s="39" t="n">
        <x:v>4593.88</x:v>
      </x:c>
      <x:c r="N337" s="39" t="n">
        <x:v>4263.43</x:v>
      </x:c>
      <x:c r="O337" s="39" t="n">
        <x:v>50532.68</x:v>
      </x:c>
      <x:c r="P337" s="39" t="n">
        <x:v>46897.73</x:v>
      </x:c>
      <x:c r="Q337" s="39" t="n">
        <x:v>3634.95</x:v>
      </x:c>
      <x:c r="R337" s="40" t="n">
        <x:v>7.8</x:v>
      </x:c>
      <x:c r="S337" s="41" t="n">
        <x:v>26</x:v>
      </x:c>
      <x:c r="T337" s="36" t="str">
        <x:v>Yes</x:v>
      </x:c>
      <x:c r="U337" s="36" t="str">
        <x:v>Cancelled</x:v>
      </x:c>
    </x:row>
    <x:row r="338">
      <x:c r="A338" s="36" t="str">
        <x:v>PO-2025-0337</x:v>
      </x:c>
      <x:c r="B338" s="37" t="n">
        <x:v>45965</x:v>
      </x:c>
      <x:c r="C338" s="36" t="str">
        <x:v>November</x:v>
      </x:c>
      <x:c r="D338" s="36" t="str">
        <x:v>Springbank Off-Stream Reservoir</x:v>
      </x:c>
      <x:c r="E338" s="36" t="str">
        <x:v>Rocky View County</x:v>
      </x:c>
      <x:c r="F338" s="36" t="str">
        <x:v>Mohammed Siddiqui</x:v>
      </x:c>
      <x:c r="G338" s="36" t="str">
        <x:v>Civil Works</x:v>
      </x:c>
      <x:c r="H338" s="36" t="str">
        <x:v>Storm Drainage Pipe</x:v>
      </x:c>
      <x:c r="I338" s="36" t="str">
        <x:v>Graham Construction</x:v>
      </x:c>
      <x:c r="J338" s="36" t="str">
        <x:v>Emergency Procurement</x:v>
      </x:c>
      <x:c r="K338" s="38" t="n">
        <x:v>89</x:v>
      </x:c>
      <x:c r="L338" s="36" t="str">
        <x:v>m³</x:v>
      </x:c>
      <x:c r="M338" s="39" t="n">
        <x:v>173.31</x:v>
      </x:c>
      <x:c r="N338" s="39" t="n">
        <x:v>183.7</x:v>
      </x:c>
      <x:c r="O338" s="39" t="n">
        <x:v>15424.59</x:v>
      </x:c>
      <x:c r="P338" s="39" t="n">
        <x:v>16349.3</x:v>
      </x:c>
      <x:c r="Q338" s="39" t="n">
        <x:v>-924.71</x:v>
      </x:c>
      <x:c r="R338" s="40" t="n">
        <x:v>-5.7</x:v>
      </x:c>
      <x:c r="S338" s="41" t="n">
        <x:v>39</x:v>
      </x:c>
      <x:c r="T338" s="36" t="str">
        <x:v>Yes</x:v>
      </x:c>
      <x:c r="U338" s="36" t="str">
        <x:v>Pending</x:v>
      </x:c>
    </x:row>
    <x:row r="339">
      <x:c r="A339" s="36" t="str">
        <x:v>PO-2025-0338</x:v>
      </x:c>
      <x:c r="B339" s="37" t="n">
        <x:v>45811</x:v>
      </x:c>
      <x:c r="C339" s="36" t="str">
        <x:v>June</x:v>
      </x:c>
      <x:c r="D339" s="36" t="str">
        <x:v>Springbank Off-Stream Reservoir</x:v>
      </x:c>
      <x:c r="E339" s="36" t="str">
        <x:v>Calgary SE</x:v>
      </x:c>
      <x:c r="F339" s="36" t="str">
        <x:v>Mohammed Siddiqui</x:v>
      </x:c>
      <x:c r="G339" s="36" t="str">
        <x:v>Finishing</x:v>
      </x:c>
      <x:c r="H339" s="36" t="str">
        <x:v>Drywall &amp; Framing</x:v>
      </x:c>
      <x:c r="I339" s="36" t="str">
        <x:v>Tremco Roofing</x:v>
      </x:c>
      <x:c r="J339" s="36" t="str">
        <x:v>Tender – Open</x:v>
      </x:c>
      <x:c r="K339" s="38" t="n">
        <x:v>64</x:v>
      </x:c>
      <x:c r="L339" s="36" t="str">
        <x:v>m²</x:v>
      </x:c>
      <x:c r="M339" s="39" t="n">
        <x:v>365.13</x:v>
      </x:c>
      <x:c r="N339" s="39" t="n">
        <x:v>415.93</x:v>
      </x:c>
      <x:c r="O339" s="39" t="n">
        <x:v>23368.32</x:v>
      </x:c>
      <x:c r="P339" s="39" t="n">
        <x:v>26619.52</x:v>
      </x:c>
      <x:c r="Q339" s="39" t="n">
        <x:v>-3251.2</x:v>
      </x:c>
      <x:c r="R339" s="40" t="n">
        <x:v>-12.2</x:v>
      </x:c>
      <x:c r="S339" s="41" t="n">
        <x:v>74</x:v>
      </x:c>
      <x:c r="T339" s="36" t="str">
        <x:v>No</x:v>
      </x:c>
      <x:c r="U339" s="36" t="str">
        <x:v>Delivered</x:v>
      </x:c>
    </x:row>
    <x:row r="340">
      <x:c r="A340" s="36" t="str">
        <x:v>PO-2025-0339</x:v>
      </x:c>
      <x:c r="B340" s="37" t="n">
        <x:v>45916</x:v>
      </x:c>
      <x:c r="C340" s="36" t="str">
        <x:v>September</x:v>
      </x:c>
      <x:c r="D340" s="36" t="str">
        <x:v>Stampede Park Infrastructure Upgrade</x:v>
      </x:c>
      <x:c r="E340" s="36" t="str">
        <x:v>Calgary SE</x:v>
      </x:c>
      <x:c r="F340" s="36" t="str">
        <x:v>Aisha Nkosi</x:v>
      </x:c>
      <x:c r="G340" s="36" t="str">
        <x:v>Finishing</x:v>
      </x:c>
      <x:c r="H340" s="36" t="str">
        <x:v>Drywall &amp; Framing</x:v>
      </x:c>
      <x:c r="I340" s="36" t="str">
        <x:v>Dryvit Systems Canada</x:v>
      </x:c>
      <x:c r="J340" s="36" t="str">
        <x:v>LPO – Direct Award</x:v>
      </x:c>
      <x:c r="K340" s="38" t="n">
        <x:v>41</x:v>
      </x:c>
      <x:c r="L340" s="36" t="str">
        <x:v>m²</x:v>
      </x:c>
      <x:c r="M340" s="39" t="n">
        <x:v>107.79</x:v>
      </x:c>
      <x:c r="N340" s="39" t="n">
        <x:v>116.92</x:v>
      </x:c>
      <x:c r="O340" s="39" t="n">
        <x:v>4419.39</x:v>
      </x:c>
      <x:c r="P340" s="39" t="n">
        <x:v>4793.72</x:v>
      </x:c>
      <x:c r="Q340" s="39" t="n">
        <x:v>-374.33</x:v>
      </x:c>
      <x:c r="R340" s="40" t="n">
        <x:v>-7.8</x:v>
      </x:c>
      <x:c r="S340" s="41" t="n">
        <x:v>82</x:v>
      </x:c>
      <x:c r="T340" s="36" t="str">
        <x:v>No</x:v>
      </x:c>
      <x:c r="U340" s="36" t="str">
        <x:v>Partially Delivered</x:v>
      </x:c>
    </x:row>
    <x:row r="341">
      <x:c r="A341" s="36" t="str">
        <x:v>PO-2025-0340</x:v>
      </x:c>
      <x:c r="B341" s="37" t="n">
        <x:v>45906</x:v>
      </x:c>
      <x:c r="C341" s="36" t="str">
        <x:v>September</x:v>
      </x:c>
      <x:c r="D341" s="36" t="str">
        <x:v>Springbank Off-Stream Reservoir</x:v>
      </x:c>
      <x:c r="E341" s="36" t="str">
        <x:v>Calgary SE</x:v>
      </x:c>
      <x:c r="F341" s="36" t="str">
        <x:v>Priya Sharma</x:v>
      </x:c>
      <x:c r="G341" s="36" t="str">
        <x:v>Safety &amp; Temp Works</x:v>
      </x:c>
      <x:c r="H341" s="36" t="str">
        <x:v>Site Office Trailer</x:v>
      </x:c>
      <x:c r="I341" s="36" t="str">
        <x:v>Levitt-Safety Calgary</x:v>
      </x:c>
      <x:c r="J341" s="36" t="str">
        <x:v>Emergency Procurement</x:v>
      </x:c>
      <x:c r="K341" s="38" t="n">
        <x:v>55</x:v>
      </x:c>
      <x:c r="L341" s="36" t="str">
        <x:v>lot</x:v>
      </x:c>
      <x:c r="M341" s="39" t="n">
        <x:v>14339.97</x:v>
      </x:c>
      <x:c r="N341" s="39" t="n">
        <x:v>14948.3</x:v>
      </x:c>
      <x:c r="O341" s="39" t="n">
        <x:v>788698.35</x:v>
      </x:c>
      <x:c r="P341" s="39" t="n">
        <x:v>822156.5</x:v>
      </x:c>
      <x:c r="Q341" s="39" t="n">
        <x:v>-33458.15</x:v>
      </x:c>
      <x:c r="R341" s="40" t="n">
        <x:v>-4.1</x:v>
      </x:c>
      <x:c r="S341" s="41" t="n">
        <x:v>65</x:v>
      </x:c>
      <x:c r="T341" s="36" t="str">
        <x:v>Yes</x:v>
      </x:c>
      <x:c r="U341" s="36" t="str">
        <x:v>Partially Delivered</x:v>
      </x:c>
    </x:row>
    <x:row r="342">
      <x:c r="A342" s="36" t="str">
        <x:v>PO-2025-0341</x:v>
      </x:c>
      <x:c r="B342" s="37" t="n">
        <x:v>45919</x:v>
      </x:c>
      <x:c r="C342" s="36" t="str">
        <x:v>September</x:v>
      </x:c>
      <x:c r="D342" s="36" t="str">
        <x:v>Springbank Off-Stream Reservoir</x:v>
      </x:c>
      <x:c r="E342" s="36" t="str">
        <x:v>Calgary SE</x:v>
      </x:c>
      <x:c r="F342" s="36" t="str">
        <x:v>James Okafor</x:v>
      </x:c>
      <x:c r="G342" s="36" t="str">
        <x:v>MEP - Electrical</x:v>
      </x:c>
      <x:c r="H342" s="36" t="str">
        <x:v>LV Switchgear Panel</x:v>
      </x:c>
      <x:c r="I342" s="36" t="str">
        <x:v>Schneider Electric Canada</x:v>
      </x:c>
      <x:c r="J342" s="36" t="str">
        <x:v>3-Quote Comparison</x:v>
      </x:c>
      <x:c r="K342" s="38" t="n">
        <x:v>24</x:v>
      </x:c>
      <x:c r="L342" s="36" t="str">
        <x:v>lot</x:v>
      </x:c>
      <x:c r="M342" s="39" t="n">
        <x:v>73494.88</x:v>
      </x:c>
      <x:c r="N342" s="39" t="n">
        <x:v>67956.14</x:v>
      </x:c>
      <x:c r="O342" s="39" t="n">
        <x:v>1763877.12</x:v>
      </x:c>
      <x:c r="P342" s="39" t="n">
        <x:v>1630947.36</x:v>
      </x:c>
      <x:c r="Q342" s="39" t="n">
        <x:v>132929.76</x:v>
      </x:c>
      <x:c r="R342" s="40" t="n">
        <x:v>8.2</x:v>
      </x:c>
      <x:c r="S342" s="41" t="n">
        <x:v>70</x:v>
      </x:c>
      <x:c r="T342" s="36" t="str">
        <x:v>No</x:v>
      </x:c>
      <x:c r="U342" s="36" t="str">
        <x:v>Delivered</x:v>
      </x:c>
    </x:row>
    <x:row r="343">
      <x:c r="A343" s="36" t="str">
        <x:v>PO-2025-0342</x:v>
      </x:c>
      <x:c r="B343" s="37" t="n">
        <x:v>45703</x:v>
      </x:c>
      <x:c r="C343" s="36" t="str">
        <x:v>February</x:v>
      </x:c>
      <x:c r="D343" s="36" t="str">
        <x:v>Stampede Park Infrastructure Upgrade</x:v>
      </x:c>
      <x:c r="E343" s="36" t="str">
        <x:v>Calgary NE</x:v>
      </x:c>
      <x:c r="F343" s="36" t="str">
        <x:v>Priya Sharma</x:v>
      </x:c>
      <x:c r="G343" s="36" t="str">
        <x:v>Finishing</x:v>
      </x:c>
      <x:c r="H343" s="36" t="str">
        <x:v>Drywall &amp; Framing</x:v>
      </x:c>
      <x:c r="I343" s="36" t="str">
        <x:v>Dryvit Systems Canada</x:v>
      </x:c>
      <x:c r="J343" s="36" t="str">
        <x:v>Standing Offer Agreement</x:v>
      </x:c>
      <x:c r="K343" s="38" t="n">
        <x:v>110</x:v>
      </x:c>
      <x:c r="L343" s="36" t="str">
        <x:v>m²</x:v>
      </x:c>
      <x:c r="M343" s="39" t="n">
        <x:v>448.73</x:v>
      </x:c>
      <x:c r="N343" s="39" t="n">
        <x:v>446.57</x:v>
      </x:c>
      <x:c r="O343" s="39" t="n">
        <x:v>49360.3</x:v>
      </x:c>
      <x:c r="P343" s="39" t="n">
        <x:v>49122.7</x:v>
      </x:c>
      <x:c r="Q343" s="39" t="n">
        <x:v>237.6</x:v>
      </x:c>
      <x:c r="R343" s="40" t="n">
        <x:v>0.5</x:v>
      </x:c>
      <x:c r="S343" s="41" t="n">
        <x:v>60</x:v>
      </x:c>
      <x:c r="T343" s="36" t="str">
        <x:v>Yes</x:v>
      </x:c>
      <x:c r="U343" s="36" t="str">
        <x:v>Delivered</x:v>
      </x:c>
    </x:row>
    <x:row r="344">
      <x:c r="A344" s="36" t="str">
        <x:v>PO-2025-0343</x:v>
      </x:c>
      <x:c r="B344" s="37" t="n">
        <x:v>45972</x:v>
      </x:c>
      <x:c r="C344" s="36" t="str">
        <x:v>November</x:v>
      </x:c>
      <x:c r="D344" s="36" t="str">
        <x:v>Deerfoot Trail Widening - North</x:v>
      </x:c>
      <x:c r="E344" s="36" t="str">
        <x:v>Rocky View County</x:v>
      </x:c>
      <x:c r="F344" s="36" t="str">
        <x:v>Linda Tran</x:v>
      </x:c>
      <x:c r="G344" s="36" t="str">
        <x:v>Finishing</x:v>
      </x:c>
      <x:c r="H344" s="36" t="str">
        <x:v>Ceramic Floor Tile</x:v>
      </x:c>
      <x:c r="I344" s="36" t="str">
        <x:v>Dryvit Systems Canada</x:v>
      </x:c>
      <x:c r="J344" s="36" t="str">
        <x:v>3-Quote Comparison</x:v>
      </x:c>
      <x:c r="K344" s="38" t="n">
        <x:v>77</x:v>
      </x:c>
      <x:c r="L344" s="36" t="str">
        <x:v>m²</x:v>
      </x:c>
      <x:c r="M344" s="39" t="n">
        <x:v>441.88</x:v>
      </x:c>
      <x:c r="N344" s="39" t="n">
        <x:v>494.66</x:v>
      </x:c>
      <x:c r="O344" s="39" t="n">
        <x:v>34024.76</x:v>
      </x:c>
      <x:c r="P344" s="39" t="n">
        <x:v>38088.82</x:v>
      </x:c>
      <x:c r="Q344" s="39" t="n">
        <x:v>-4064.06</x:v>
      </x:c>
      <x:c r="R344" s="40" t="n">
        <x:v>-10.7</x:v>
      </x:c>
      <x:c r="S344" s="41" t="n">
        <x:v>47</x:v>
      </x:c>
      <x:c r="T344" s="36" t="str">
        <x:v>Yes</x:v>
      </x:c>
      <x:c r="U344" s="36" t="str">
        <x:v>Pending</x:v>
      </x:c>
    </x:row>
    <x:row r="345">
      <x:c r="A345" s="36" t="str">
        <x:v>PO-2025-0344</x:v>
      </x:c>
      <x:c r="B345" s="37" t="n">
        <x:v>45681</x:v>
      </x:c>
      <x:c r="C345" s="36" t="str">
        <x:v>January</x:v>
      </x:c>
      <x:c r="D345" s="36" t="str">
        <x:v>Foothills Medical Centre Expansion</x:v>
      </x:c>
      <x:c r="E345" s="36" t="str">
        <x:v>Rocky View County</x:v>
      </x:c>
      <x:c r="F345" s="36" t="str">
        <x:v>James Okafor</x:v>
      </x:c>
      <x:c r="G345" s="36" t="str">
        <x:v>MEP - Electrical</x:v>
      </x:c>
      <x:c r="H345" s="36" t="str">
        <x:v>LED Site Lighting</x:v>
      </x:c>
      <x:c r="I345" s="36" t="str">
        <x:v>Flint Energy Services</x:v>
      </x:c>
      <x:c r="J345" s="36" t="str">
        <x:v>Standing Offer Agreement</x:v>
      </x:c>
      <x:c r="K345" s="38" t="n">
        <x:v>57</x:v>
      </x:c>
      <x:c r="L345" s="36" t="str">
        <x:v>lot</x:v>
      </x:c>
      <x:c r="M345" s="39" t="n">
        <x:v>23011.33</x:v>
      </x:c>
      <x:c r="N345" s="39" t="n">
        <x:v>21808.11</x:v>
      </x:c>
      <x:c r="O345" s="39" t="n">
        <x:v>1311645.81</x:v>
      </x:c>
      <x:c r="P345" s="39" t="n">
        <x:v>1243062.27</x:v>
      </x:c>
      <x:c r="Q345" s="39" t="n">
        <x:v>68583.54</x:v>
      </x:c>
      <x:c r="R345" s="40" t="n">
        <x:v>5.5</x:v>
      </x:c>
      <x:c r="S345" s="41" t="n">
        <x:v>48</x:v>
      </x:c>
      <x:c r="T345" s="36" t="str">
        <x:v>Yes</x:v>
      </x:c>
      <x:c r="U345" s="36" t="str">
        <x:v>Delivered</x:v>
      </x:c>
    </x:row>
    <x:row r="346">
      <x:c r="A346" s="36" t="str">
        <x:v>PO-2025-0345</x:v>
      </x:c>
      <x:c r="B346" s="37" t="n">
        <x:v>45896</x:v>
      </x:c>
      <x:c r="C346" s="36" t="str">
        <x:v>August</x:v>
      </x:c>
      <x:c r="D346" s="36" t="str">
        <x:v>Springbank Off-Stream Reservoir</x:v>
      </x:c>
      <x:c r="E346" s="36" t="str">
        <x:v>Rocky View County</x:v>
      </x:c>
      <x:c r="F346" s="36" t="str">
        <x:v>Linda Tran</x:v>
      </x:c>
      <x:c r="G346" s="36" t="str">
        <x:v>Safety &amp; Temp Works</x:v>
      </x:c>
      <x:c r="H346" s="36" t="str">
        <x:v>Scaffolding System</x:v>
      </x:c>
      <x:c r="I346" s="36" t="str">
        <x:v>Safway Alberta</x:v>
      </x:c>
      <x:c r="J346" s="36" t="str">
        <x:v>Tender – Open</x:v>
      </x:c>
      <x:c r="K346" s="38" t="n">
        <x:v>92</x:v>
      </x:c>
      <x:c r="L346" s="36" t="str">
        <x:v>lot</x:v>
      </x:c>
      <x:c r="M346" s="39" t="n">
        <x:v>5762.54</x:v>
      </x:c>
      <x:c r="N346" s="39" t="n">
        <x:v>7117.19</x:v>
      </x:c>
      <x:c r="O346" s="39" t="n">
        <x:v>530153.68</x:v>
      </x:c>
      <x:c r="P346" s="39" t="n">
        <x:v>654781.48</x:v>
      </x:c>
      <x:c r="Q346" s="39" t="n">
        <x:v>-124627.8</x:v>
      </x:c>
      <x:c r="R346" s="40" t="n">
        <x:v>-19</x:v>
      </x:c>
      <x:c r="S346" s="41" t="n">
        <x:v>67</x:v>
      </x:c>
      <x:c r="T346" s="36" t="str">
        <x:v>Yes</x:v>
      </x:c>
      <x:c r="U346" s="36" t="str">
        <x:v>Delivered</x:v>
      </x:c>
    </x:row>
    <x:row r="347">
      <x:c r="A347" s="36" t="str">
        <x:v>PO-2025-0346</x:v>
      </x:c>
      <x:c r="B347" s="37" t="n">
        <x:v>45969</x:v>
      </x:c>
      <x:c r="C347" s="36" t="str">
        <x:v>November</x:v>
      </x:c>
      <x:c r="D347" s="36" t="str">
        <x:v>Springbank Off-Stream Reservoir</x:v>
      </x:c>
      <x:c r="E347" s="36" t="str">
        <x:v>Calgary SE</x:v>
      </x:c>
      <x:c r="F347" s="36" t="str">
        <x:v>Derek McLean</x:v>
      </x:c>
      <x:c r="G347" s="36" t="str">
        <x:v>Civil Works</x:v>
      </x:c>
      <x:c r="H347" s="36" t="str">
        <x:v>Curb &amp; Gutter Concrete</x:v>
      </x:c>
      <x:c r="I347" s="36" t="str">
        <x:v>EllisDon Civil</x:v>
      </x:c>
      <x:c r="J347" s="36" t="str">
        <x:v>Standing Offer Agreement</x:v>
      </x:c>
      <x:c r="K347" s="38" t="n">
        <x:v>67</x:v>
      </x:c>
      <x:c r="L347" s="36" t="str">
        <x:v>m³</x:v>
      </x:c>
      <x:c r="M347" s="39" t="n">
        <x:v>202.28</x:v>
      </x:c>
      <x:c r="N347" s="39" t="n">
        <x:v>244.25</x:v>
      </x:c>
      <x:c r="O347" s="39" t="n">
        <x:v>13552.76</x:v>
      </x:c>
      <x:c r="P347" s="39" t="n">
        <x:v>16364.75</x:v>
      </x:c>
      <x:c r="Q347" s="39" t="n">
        <x:v>-2811.99</x:v>
      </x:c>
      <x:c r="R347" s="40" t="n">
        <x:v>-17.2</x:v>
      </x:c>
      <x:c r="S347" s="41" t="n">
        <x:v>59</x:v>
      </x:c>
      <x:c r="T347" s="36" t="str">
        <x:v>Yes</x:v>
      </x:c>
      <x:c r="U347" s="36" t="str">
        <x:v>Delivered</x:v>
      </x:c>
    </x:row>
    <x:row r="348">
      <x:c r="A348" s="36" t="str">
        <x:v>PO-2025-0347</x:v>
      </x:c>
      <x:c r="B348" s="37" t="n">
        <x:v>45757</x:v>
      </x:c>
      <x:c r="C348" s="36" t="str">
        <x:v>April</x:v>
      </x:c>
      <x:c r="D348" s="36" t="str">
        <x:v>Calgary SE Ring Road Extension</x:v>
      </x:c>
      <x:c r="E348" s="36" t="str">
        <x:v>Calgary SE</x:v>
      </x:c>
      <x:c r="F348" s="36" t="str">
        <x:v>Mohammed Siddiqui</x:v>
      </x:c>
      <x:c r="G348" s="36" t="str">
        <x:v>Concrete &amp; Structural</x:v>
      </x:c>
      <x:c r="H348" s="36" t="str">
        <x:v>Ready-Mix Concrete</x:v>
      </x:c>
      <x:c r="I348" s="36" t="str">
        <x:v>Lafarge Canada - Calgary</x:v>
      </x:c>
      <x:c r="J348" s="36" t="str">
        <x:v>LPO – Direct Award</x:v>
      </x:c>
      <x:c r="K348" s="38" t="n">
        <x:v>119</x:v>
      </x:c>
      <x:c r="L348" s="36" t="str">
        <x:v>m³</x:v>
      </x:c>
      <x:c r="M348" s="39" t="n">
        <x:v>580.78</x:v>
      </x:c>
      <x:c r="N348" s="39" t="n">
        <x:v>608.77</x:v>
      </x:c>
      <x:c r="O348" s="39" t="n">
        <x:v>69112.82</x:v>
      </x:c>
      <x:c r="P348" s="39" t="n">
        <x:v>72443.63</x:v>
      </x:c>
      <x:c r="Q348" s="39" t="n">
        <x:v>-3330.81</x:v>
      </x:c>
      <x:c r="R348" s="40" t="n">
        <x:v>-4.6</x:v>
      </x:c>
      <x:c r="S348" s="41" t="n">
        <x:v>63</x:v>
      </x:c>
      <x:c r="T348" s="36" t="str">
        <x:v>No</x:v>
      </x:c>
      <x:c r="U348" s="36" t="str">
        <x:v>Delivered</x:v>
      </x:c>
    </x:row>
    <x:row r="349">
      <x:c r="A349" s="36" t="str">
        <x:v>PO-2025-0348</x:v>
      </x:c>
      <x:c r="B349" s="37" t="n">
        <x:v>45825</x:v>
      </x:c>
      <x:c r="C349" s="36" t="str">
        <x:v>June</x:v>
      </x:c>
      <x:c r="D349" s="36" t="str">
        <x:v>Bow River Crossing Overpass</x:v>
      </x:c>
      <x:c r="E349" s="36" t="str">
        <x:v>Calgary NE</x:v>
      </x:c>
      <x:c r="F349" s="36" t="str">
        <x:v>Aisha Nkosi</x:v>
      </x:c>
      <x:c r="G349" s="36" t="str">
        <x:v>Civil Works</x:v>
      </x:c>
      <x:c r="H349" s="36" t="str">
        <x:v>Road Base Aggregate</x:v>
      </x:c>
      <x:c r="I349" s="36" t="str">
        <x:v>EllisDon Civil</x:v>
      </x:c>
      <x:c r="J349" s="36" t="str">
        <x:v>Emergency Procurement</x:v>
      </x:c>
      <x:c r="K349" s="38" t="n">
        <x:v>110</x:v>
      </x:c>
      <x:c r="L349" s="36" t="str">
        <x:v>m³</x:v>
      </x:c>
      <x:c r="M349" s="39" t="n">
        <x:v>220.28</x:v>
      </x:c>
      <x:c r="N349" s="39" t="n">
        <x:v>209.54</x:v>
      </x:c>
      <x:c r="O349" s="39" t="n">
        <x:v>24230.8</x:v>
      </x:c>
      <x:c r="P349" s="39" t="n">
        <x:v>23049.4</x:v>
      </x:c>
      <x:c r="Q349" s="39" t="n">
        <x:v>1181.4</x:v>
      </x:c>
      <x:c r="R349" s="40" t="n">
        <x:v>5.1</x:v>
      </x:c>
      <x:c r="S349" s="41" t="n">
        <x:v>17</x:v>
      </x:c>
      <x:c r="T349" s="36" t="str">
        <x:v>Yes</x:v>
      </x:c>
      <x:c r="U349" s="36" t="str">
        <x:v>Cancelled</x:v>
      </x:c>
    </x:row>
    <x:row r="350">
      <x:c r="A350" s="36" t="str">
        <x:v>PO-2025-0349</x:v>
      </x:c>
      <x:c r="B350" s="37" t="n">
        <x:v>45964</x:v>
      </x:c>
      <x:c r="C350" s="36" t="str">
        <x:v>November</x:v>
      </x:c>
      <x:c r="D350" s="36" t="str">
        <x:v>Foothills Medical Centre Expansion</x:v>
      </x:c>
      <x:c r="E350" s="36" t="str">
        <x:v>Rocky View County</x:v>
      </x:c>
      <x:c r="F350" s="36" t="str">
        <x:v>Priya Sharma</x:v>
      </x:c>
      <x:c r="G350" s="36" t="str">
        <x:v>MEP - Electrical</x:v>
      </x:c>
      <x:c r="H350" s="36" t="str">
        <x:v>LED Site Lighting</x:v>
      </x:c>
      <x:c r="I350" s="36" t="str">
        <x:v>Flint Energy Services</x:v>
      </x:c>
      <x:c r="J350" s="36" t="str">
        <x:v>Standing Offer Agreement</x:v>
      </x:c>
      <x:c r="K350" s="38" t="n">
        <x:v>62</x:v>
      </x:c>
      <x:c r="L350" s="36" t="str">
        <x:v>lot</x:v>
      </x:c>
      <x:c r="M350" s="39" t="n">
        <x:v>83387.6</x:v>
      </x:c>
      <x:c r="N350" s="39" t="n">
        <x:v>78818.11</x:v>
      </x:c>
      <x:c r="O350" s="39" t="n">
        <x:v>5170031.2</x:v>
      </x:c>
      <x:c r="P350" s="39" t="n">
        <x:v>4886722.82</x:v>
      </x:c>
      <x:c r="Q350" s="39" t="n">
        <x:v>283308.38</x:v>
      </x:c>
      <x:c r="R350" s="40" t="n">
        <x:v>5.8</x:v>
      </x:c>
      <x:c r="S350" s="41" t="n">
        <x:v>24</x:v>
      </x:c>
      <x:c r="T350" s="36" t="str">
        <x:v>Yes</x:v>
      </x:c>
      <x:c r="U350" s="36" t="str">
        <x:v>Partially Delivered</x:v>
      </x:c>
    </x:row>
    <x:row r="351">
      <x:c r="A351" s="36" t="str">
        <x:v>PO-2025-0350</x:v>
      </x:c>
      <x:c r="B351" s="37" t="n">
        <x:v>45797</x:v>
      </x:c>
      <x:c r="C351" s="36" t="str">
        <x:v>May</x:v>
      </x:c>
      <x:c r="D351" s="36" t="str">
        <x:v>Foothills Medical Centre Expansion</x:v>
      </x:c>
      <x:c r="E351" s="36" t="str">
        <x:v>Calgary NE</x:v>
      </x:c>
      <x:c r="F351" s="36" t="str">
        <x:v>Liam Kowalski</x:v>
      </x:c>
      <x:c r="G351" s="36" t="str">
        <x:v>Concrete &amp; Structural</x:v>
      </x:c>
      <x:c r="H351" s="36" t="str">
        <x:v>Post-Tension Cables</x:v>
      </x:c>
      <x:c r="I351" s="36" t="str">
        <x:v>Inland Concrete</x:v>
      </x:c>
      <x:c r="J351" s="36" t="str">
        <x:v>3-Quote Comparison</x:v>
      </x:c>
      <x:c r="K351" s="38" t="n">
        <x:v>51</x:v>
      </x:c>
      <x:c r="L351" s="36" t="str">
        <x:v>m³</x:v>
      </x:c>
      <x:c r="M351" s="39" t="n">
        <x:v>365.5</x:v>
      </x:c>
      <x:c r="N351" s="39" t="n">
        <x:v>409.84</x:v>
      </x:c>
      <x:c r="O351" s="39" t="n">
        <x:v>18640.5</x:v>
      </x:c>
      <x:c r="P351" s="39" t="n">
        <x:v>20901.84</x:v>
      </x:c>
      <x:c r="Q351" s="39" t="n">
        <x:v>-2261.34</x:v>
      </x:c>
      <x:c r="R351" s="40" t="n">
        <x:v>-10.8</x:v>
      </x:c>
      <x:c r="S351" s="41" t="n">
        <x:v>33</x:v>
      </x:c>
      <x:c r="T351" s="36" t="str">
        <x:v>No</x:v>
      </x:c>
      <x:c r="U351" s="36" t="str">
        <x:v>Pending</x:v>
      </x:c>
    </x:row>
    <x:row r="352">
      <x:c r="A352" s="36" t="str">
        <x:v>PO-2025-0351</x:v>
      </x:c>
      <x:c r="B352" s="37" t="n">
        <x:v>45792</x:v>
      </x:c>
      <x:c r="C352" s="36" t="str">
        <x:v>May</x:v>
      </x:c>
      <x:c r="D352" s="36" t="str">
        <x:v>Bow River Crossing Overpass</x:v>
      </x:c>
      <x:c r="E352" s="36" t="str">
        <x:v>Calgary SE</x:v>
      </x:c>
      <x:c r="F352" s="36" t="str">
        <x:v>Sarah Bouchard</x:v>
      </x:c>
      <x:c r="G352" s="36" t="str">
        <x:v>MEP - Mechanical</x:v>
      </x:c>
      <x:c r="H352" s="36" t="str">
        <x:v>Heat Pump Assembly</x:v>
      </x:c>
      <x:c r="I352" s="36" t="str">
        <x:v>Stantec MEP</x:v>
      </x:c>
      <x:c r="J352" s="36" t="str">
        <x:v>Emergency Procurement</x:v>
      </x:c>
      <x:c r="K352" s="38" t="n">
        <x:v>33</x:v>
      </x:c>
      <x:c r="L352" s="36" t="str">
        <x:v>lot</x:v>
      </x:c>
      <x:c r="M352" s="39" t="n">
        <x:v>63488.66</x:v>
      </x:c>
      <x:c r="N352" s="39" t="n">
        <x:v>56648.81</x:v>
      </x:c>
      <x:c r="O352" s="39" t="n">
        <x:v>2095125.78</x:v>
      </x:c>
      <x:c r="P352" s="39" t="n">
        <x:v>1869410.73</x:v>
      </x:c>
      <x:c r="Q352" s="39" t="n">
        <x:v>225715.05</x:v>
      </x:c>
      <x:c r="R352" s="40" t="n">
        <x:v>12.1</x:v>
      </x:c>
      <x:c r="S352" s="41" t="n">
        <x:v>17</x:v>
      </x:c>
      <x:c r="T352" s="36" t="str">
        <x:v>Yes</x:v>
      </x:c>
      <x:c r="U352" s="36" t="str">
        <x:v>Delivered</x:v>
      </x:c>
    </x:row>
    <x:row r="353">
      <x:c r="A353" s="36" t="str">
        <x:v>PO-2025-0352</x:v>
      </x:c>
      <x:c r="B353" s="37" t="n">
        <x:v>45701</x:v>
      </x:c>
      <x:c r="C353" s="36" t="str">
        <x:v>February</x:v>
      </x:c>
      <x:c r="D353" s="36" t="str">
        <x:v>Bow River Crossing Overpass</x:v>
      </x:c>
      <x:c r="E353" s="36" t="str">
        <x:v>Calgary NE</x:v>
      </x:c>
      <x:c r="F353" s="36" t="str">
        <x:v>Linda Tran</x:v>
      </x:c>
      <x:c r="G353" s="36" t="str">
        <x:v>MEP - Mechanical</x:v>
      </x:c>
      <x:c r="H353" s="36" t="str">
        <x:v>Air Handling Unit</x:v>
      </x:c>
      <x:c r="I353" s="36" t="str">
        <x:v>Stantec MEP</x:v>
      </x:c>
      <x:c r="J353" s="36" t="str">
        <x:v>3-Quote Comparison</x:v>
      </x:c>
      <x:c r="K353" s="38" t="n">
        <x:v>111</x:v>
      </x:c>
      <x:c r="L353" s="36" t="str">
        <x:v>lot</x:v>
      </x:c>
      <x:c r="M353" s="39" t="n">
        <x:v>48256.83</x:v>
      </x:c>
      <x:c r="N353" s="39" t="n">
        <x:v>59742.58</x:v>
      </x:c>
      <x:c r="O353" s="39" t="n">
        <x:v>5356508.13</x:v>
      </x:c>
      <x:c r="P353" s="39" t="n">
        <x:v>6631426.38</x:v>
      </x:c>
      <x:c r="Q353" s="39" t="n">
        <x:v>-1274918.25</x:v>
      </x:c>
      <x:c r="R353" s="40" t="n">
        <x:v>-19.2</x:v>
      </x:c>
      <x:c r="S353" s="41" t="n">
        <x:v>83</x:v>
      </x:c>
      <x:c r="T353" s="36" t="str">
        <x:v>No</x:v>
      </x:c>
      <x:c r="U353" s="36" t="str">
        <x:v>Cancelled</x:v>
      </x:c>
    </x:row>
    <x:row r="354">
      <x:c r="A354" s="36" t="str">
        <x:v>PO-2025-0353</x:v>
      </x:c>
      <x:c r="B354" s="37" t="n">
        <x:v>45933</x:v>
      </x:c>
      <x:c r="C354" s="36" t="str">
        <x:v>October</x:v>
      </x:c>
      <x:c r="D354" s="36" t="str">
        <x:v>Foothills Medical Centre Expansion</x:v>
      </x:c>
      <x:c r="E354" s="36" t="str">
        <x:v>Rocky View County</x:v>
      </x:c>
      <x:c r="F354" s="36" t="str">
        <x:v>Priya Sharma</x:v>
      </x:c>
      <x:c r="G354" s="36" t="str">
        <x:v>Finishing</x:v>
      </x:c>
      <x:c r="H354" s="36" t="str">
        <x:v>Drywall &amp; Framing</x:v>
      </x:c>
      <x:c r="I354" s="36" t="str">
        <x:v>Centura Tile Calgary</x:v>
      </x:c>
      <x:c r="J354" s="36" t="str">
        <x:v>3-Quote Comparison</x:v>
      </x:c>
      <x:c r="K354" s="38" t="n">
        <x:v>29</x:v>
      </x:c>
      <x:c r="L354" s="36" t="str">
        <x:v>m²</x:v>
      </x:c>
      <x:c r="M354" s="39" t="n">
        <x:v>92.97</x:v>
      </x:c>
      <x:c r="N354" s="39" t="n">
        <x:v>86.47</x:v>
      </x:c>
      <x:c r="O354" s="39" t="n">
        <x:v>2696.13</x:v>
      </x:c>
      <x:c r="P354" s="39" t="n">
        <x:v>2507.63</x:v>
      </x:c>
      <x:c r="Q354" s="39" t="n">
        <x:v>188.5</x:v>
      </x:c>
      <x:c r="R354" s="40" t="n">
        <x:v>7.5</x:v>
      </x:c>
      <x:c r="S354" s="41" t="n">
        <x:v>75</x:v>
      </x:c>
      <x:c r="T354" s="36" t="str">
        <x:v>No</x:v>
      </x:c>
      <x:c r="U354" s="36" t="str">
        <x:v>Delivered</x:v>
      </x:c>
    </x:row>
    <x:row r="355">
      <x:c r="A355" s="36" t="str">
        <x:v>PO-2025-0354</x:v>
      </x:c>
      <x:c r="B355" s="37" t="n">
        <x:v>45847</x:v>
      </x:c>
      <x:c r="C355" s="36" t="str">
        <x:v>July</x:v>
      </x:c>
      <x:c r="D355" s="36" t="str">
        <x:v>University District Residential Phase 3</x:v>
      </x:c>
      <x:c r="E355" s="36" t="str">
        <x:v>Rocky View County</x:v>
      </x:c>
      <x:c r="F355" s="36" t="str">
        <x:v>Derek McLean</x:v>
      </x:c>
      <x:c r="G355" s="36" t="str">
        <x:v>MEP - Electrical</x:v>
      </x:c>
      <x:c r="H355" s="36" t="str">
        <x:v>MV Distribution Cable</x:v>
      </x:c>
      <x:c r="I355" s="36" t="str">
        <x:v>Flint Energy Services</x:v>
      </x:c>
      <x:c r="J355" s="36" t="str">
        <x:v>Tender – Open</x:v>
      </x:c>
      <x:c r="K355" s="38" t="n">
        <x:v>85</x:v>
      </x:c>
      <x:c r="L355" s="36" t="str">
        <x:v>lot</x:v>
      </x:c>
      <x:c r="M355" s="39" t="n">
        <x:v>13636.46</x:v>
      </x:c>
      <x:c r="N355" s="39" t="n">
        <x:v>15729.18</x:v>
      </x:c>
      <x:c r="O355" s="39" t="n">
        <x:v>1159099.1</x:v>
      </x:c>
      <x:c r="P355" s="39" t="n">
        <x:v>1336980.3</x:v>
      </x:c>
      <x:c r="Q355" s="39" t="n">
        <x:v>-177881.2</x:v>
      </x:c>
      <x:c r="R355" s="40" t="n">
        <x:v>-13.3</x:v>
      </x:c>
      <x:c r="S355" s="41" t="n">
        <x:v>45</x:v>
      </x:c>
      <x:c r="T355" s="36" t="str">
        <x:v>Yes</x:v>
      </x:c>
      <x:c r="U355" s="36" t="str">
        <x:v>Delivered</x:v>
      </x:c>
    </x:row>
    <x:row r="356">
      <x:c r="A356" s="36" t="str">
        <x:v>PO-2025-0355</x:v>
      </x:c>
      <x:c r="B356" s="37" t="n">
        <x:v>45693</x:v>
      </x:c>
      <x:c r="C356" s="36" t="str">
        <x:v>February</x:v>
      </x:c>
      <x:c r="D356" s="36" t="str">
        <x:v>Deerfoot Trail Widening - North</x:v>
      </x:c>
      <x:c r="E356" s="36" t="str">
        <x:v>Calgary SE</x:v>
      </x:c>
      <x:c r="F356" s="36" t="str">
        <x:v>Liam Kowalski</x:v>
      </x:c>
      <x:c r="G356" s="36" t="str">
        <x:v>Civil Works</x:v>
      </x:c>
      <x:c r="H356" s="36" t="str">
        <x:v>Granular Backfill</x:v>
      </x:c>
      <x:c r="I356" s="36" t="str">
        <x:v>Kiewit Infrastructure</x:v>
      </x:c>
      <x:c r="J356" s="36" t="str">
        <x:v>Standing Offer Agreement</x:v>
      </x:c>
      <x:c r="K356" s="38" t="n">
        <x:v>107</x:v>
      </x:c>
      <x:c r="L356" s="36" t="str">
        <x:v>m³</x:v>
      </x:c>
      <x:c r="M356" s="39" t="n">
        <x:v>131.5</x:v>
      </x:c>
      <x:c r="N356" s="39" t="n">
        <x:v>120.44</x:v>
      </x:c>
      <x:c r="O356" s="39" t="n">
        <x:v>14070.5</x:v>
      </x:c>
      <x:c r="P356" s="39" t="n">
        <x:v>12887.08</x:v>
      </x:c>
      <x:c r="Q356" s="39" t="n">
        <x:v>1183.42</x:v>
      </x:c>
      <x:c r="R356" s="40" t="n">
        <x:v>9.2</x:v>
      </x:c>
      <x:c r="S356" s="41" t="n">
        <x:v>78</x:v>
      </x:c>
      <x:c r="T356" s="36" t="str">
        <x:v>No</x:v>
      </x:c>
      <x:c r="U356" s="36" t="str">
        <x:v>Partially Delivered</x:v>
      </x:c>
    </x:row>
    <x:row r="357">
      <x:c r="A357" s="36" t="str">
        <x:v>PO-2025-0356</x:v>
      </x:c>
      <x:c r="B357" s="37" t="n">
        <x:v>45667</x:v>
      </x:c>
      <x:c r="C357" s="36" t="str">
        <x:v>January</x:v>
      </x:c>
      <x:c r="D357" s="36" t="str">
        <x:v>Foothills Medical Centre Expansion</x:v>
      </x:c>
      <x:c r="E357" s="36" t="str">
        <x:v>Calgary SE</x:v>
      </x:c>
      <x:c r="F357" s="36" t="str">
        <x:v>Derek McLean</x:v>
      </x:c>
      <x:c r="G357" s="36" t="str">
        <x:v>Finishing</x:v>
      </x:c>
      <x:c r="H357" s="36" t="str">
        <x:v>Waterproofing Membrane</x:v>
      </x:c>
      <x:c r="I357" s="36" t="str">
        <x:v>Dryvit Systems Canada</x:v>
      </x:c>
      <x:c r="J357" s="36" t="str">
        <x:v>Emergency Procurement</x:v>
      </x:c>
      <x:c r="K357" s="38" t="n">
        <x:v>71</x:v>
      </x:c>
      <x:c r="L357" s="36" t="str">
        <x:v>m²</x:v>
      </x:c>
      <x:c r="M357" s="39" t="n">
        <x:v>373.45</x:v>
      </x:c>
      <x:c r="N357" s="39" t="n">
        <x:v>422.52</x:v>
      </x:c>
      <x:c r="O357" s="39" t="n">
        <x:v>26514.95</x:v>
      </x:c>
      <x:c r="P357" s="39" t="n">
        <x:v>29998.92</x:v>
      </x:c>
      <x:c r="Q357" s="39" t="n">
        <x:v>-3483.97</x:v>
      </x:c>
      <x:c r="R357" s="40" t="n">
        <x:v>-11.6</x:v>
      </x:c>
      <x:c r="S357" s="41" t="n">
        <x:v>66</x:v>
      </x:c>
      <x:c r="T357" s="36" t="str">
        <x:v>Yes</x:v>
      </x:c>
      <x:c r="U357" s="36" t="str">
        <x:v>Delivered</x:v>
      </x:c>
    </x:row>
    <x:row r="358">
      <x:c r="A358" s="36" t="str">
        <x:v>PO-2025-0357</x:v>
      </x:c>
      <x:c r="B358" s="37" t="n">
        <x:v>45810</x:v>
      </x:c>
      <x:c r="C358" s="36" t="str">
        <x:v>June</x:v>
      </x:c>
      <x:c r="D358" s="36" t="str">
        <x:v>University District Residential Phase 3</x:v>
      </x:c>
      <x:c r="E358" s="36" t="str">
        <x:v>Rocky View County</x:v>
      </x:c>
      <x:c r="F358" s="36" t="str">
        <x:v>Priya Sharma</x:v>
      </x:c>
      <x:c r="G358" s="36" t="str">
        <x:v>Concrete &amp; Structural</x:v>
      </x:c>
      <x:c r="H358" s="36" t="str">
        <x:v>Rebar Steel</x:v>
      </x:c>
      <x:c r="I358" s="36" t="str">
        <x:v>Inland Concrete</x:v>
      </x:c>
      <x:c r="J358" s="36" t="str">
        <x:v>Standing Offer Agreement</x:v>
      </x:c>
      <x:c r="K358" s="38" t="n">
        <x:v>17</x:v>
      </x:c>
      <x:c r="L358" s="36" t="str">
        <x:v>m³</x:v>
      </x:c>
      <x:c r="M358" s="39" t="n">
        <x:v>314.14</x:v>
      </x:c>
      <x:c r="N358" s="39" t="n">
        <x:v>359.66</x:v>
      </x:c>
      <x:c r="O358" s="39" t="n">
        <x:v>5340.38</x:v>
      </x:c>
      <x:c r="P358" s="39" t="n">
        <x:v>6114.22</x:v>
      </x:c>
      <x:c r="Q358" s="39" t="n">
        <x:v>-773.84</x:v>
      </x:c>
      <x:c r="R358" s="40" t="n">
        <x:v>-12.7</x:v>
      </x:c>
      <x:c r="S358" s="41" t="n">
        <x:v>21</x:v>
      </x:c>
      <x:c r="T358" s="36" t="str">
        <x:v>Yes</x:v>
      </x:c>
      <x:c r="U358" s="36" t="str">
        <x:v>Delivered</x:v>
      </x:c>
    </x:row>
    <x:row r="359">
      <x:c r="A359" s="36" t="str">
        <x:v>PO-2025-0358</x:v>
      </x:c>
      <x:c r="B359" s="37" t="n">
        <x:v>45846</x:v>
      </x:c>
      <x:c r="C359" s="36" t="str">
        <x:v>July</x:v>
      </x:c>
      <x:c r="D359" s="36" t="str">
        <x:v>Bow River Crossing Overpass</x:v>
      </x:c>
      <x:c r="E359" s="36" t="str">
        <x:v>Rocky View County</x:v>
      </x:c>
      <x:c r="F359" s="36" t="str">
        <x:v>Aisha Nkosi</x:v>
      </x:c>
      <x:c r="G359" s="36" t="str">
        <x:v>Safety &amp; Temp Works</x:v>
      </x:c>
      <x:c r="H359" s="36" t="str">
        <x:v>Scaffolding System</x:v>
      </x:c>
      <x:c r="I359" s="36" t="str">
        <x:v>BrandSafway Canada</x:v>
      </x:c>
      <x:c r="J359" s="36" t="str">
        <x:v>LPO – Direct Award</x:v>
      </x:c>
      <x:c r="K359" s="38" t="n">
        <x:v>3</x:v>
      </x:c>
      <x:c r="L359" s="36" t="str">
        <x:v>lot</x:v>
      </x:c>
      <x:c r="M359" s="39" t="n">
        <x:v>9510.62</x:v>
      </x:c>
      <x:c r="N359" s="39" t="n">
        <x:v>10993.44</x:v>
      </x:c>
      <x:c r="O359" s="39" t="n">
        <x:v>28531.86</x:v>
      </x:c>
      <x:c r="P359" s="39" t="n">
        <x:v>32980.32</x:v>
      </x:c>
      <x:c r="Q359" s="39" t="n">
        <x:v>-4448.46</x:v>
      </x:c>
      <x:c r="R359" s="40" t="n">
        <x:v>-13.5</x:v>
      </x:c>
      <x:c r="S359" s="41" t="n">
        <x:v>33</x:v>
      </x:c>
      <x:c r="T359" s="36" t="str">
        <x:v>Yes</x:v>
      </x:c>
      <x:c r="U359" s="36" t="str">
        <x:v>Delivered</x:v>
      </x:c>
    </x:row>
    <x:row r="360">
      <x:c r="A360" s="36" t="str">
        <x:v>PO-2025-0359</x:v>
      </x:c>
      <x:c r="B360" s="37" t="n">
        <x:v>45949</x:v>
      </x:c>
      <x:c r="C360" s="36" t="str">
        <x:v>October</x:v>
      </x:c>
      <x:c r="D360" s="36" t="str">
        <x:v>Springbank Off-Stream Reservoir</x:v>
      </x:c>
      <x:c r="E360" s="36" t="str">
        <x:v>Calgary SW</x:v>
      </x:c>
      <x:c r="F360" s="36" t="str">
        <x:v>Sarah Bouchard</x:v>
      </x:c>
      <x:c r="G360" s="36" t="str">
        <x:v>Finishing</x:v>
      </x:c>
      <x:c r="H360" s="36" t="str">
        <x:v>Waterproofing Membrane</x:v>
      </x:c>
      <x:c r="I360" s="36" t="str">
        <x:v>Armstrong World Industries</x:v>
      </x:c>
      <x:c r="J360" s="36" t="str">
        <x:v>LPO – Direct Award</x:v>
      </x:c>
      <x:c r="K360" s="38" t="n">
        <x:v>37</x:v>
      </x:c>
      <x:c r="L360" s="36" t="str">
        <x:v>m²</x:v>
      </x:c>
      <x:c r="M360" s="39" t="n">
        <x:v>367.87</x:v>
      </x:c>
      <x:c r="N360" s="39" t="n">
        <x:v>389.68</x:v>
      </x:c>
      <x:c r="O360" s="39" t="n">
        <x:v>13611.19</x:v>
      </x:c>
      <x:c r="P360" s="39" t="n">
        <x:v>14418.16</x:v>
      </x:c>
      <x:c r="Q360" s="39" t="n">
        <x:v>-806.97</x:v>
      </x:c>
      <x:c r="R360" s="40" t="n">
        <x:v>-5.6</x:v>
      </x:c>
      <x:c r="S360" s="41" t="n">
        <x:v>80</x:v>
      </x:c>
      <x:c r="T360" s="36" t="str">
        <x:v>Yes</x:v>
      </x:c>
      <x:c r="U360" s="36" t="str">
        <x:v>Partially Delivered</x:v>
      </x:c>
    </x:row>
    <x:row r="361">
      <x:c r="A361" s="36" t="str">
        <x:v>PO-2025-0360</x:v>
      </x:c>
      <x:c r="B361" s="37" t="n">
        <x:v>45983</x:v>
      </x:c>
      <x:c r="C361" s="36" t="str">
        <x:v>November</x:v>
      </x:c>
      <x:c r="D361" s="36" t="str">
        <x:v>Springbank Off-Stream Reservoir</x:v>
      </x:c>
      <x:c r="E361" s="36" t="str">
        <x:v>Rocky View County</x:v>
      </x:c>
      <x:c r="F361" s="36" t="str">
        <x:v>Sarah Bouchard</x:v>
      </x:c>
      <x:c r="G361" s="36" t="str">
        <x:v>Civil Works</x:v>
      </x:c>
      <x:c r="H361" s="36" t="str">
        <x:v>Curb &amp; Gutter Concrete</x:v>
      </x:c>
      <x:c r="I361" s="36" t="str">
        <x:v>Kiewit Infrastructure</x:v>
      </x:c>
      <x:c r="J361" s="36" t="str">
        <x:v>LPO – Direct Award</x:v>
      </x:c>
      <x:c r="K361" s="38" t="n">
        <x:v>99</x:v>
      </x:c>
      <x:c r="L361" s="36" t="str">
        <x:v>m³</x:v>
      </x:c>
      <x:c r="M361" s="39" t="n">
        <x:v>266.09</x:v>
      </x:c>
      <x:c r="N361" s="39" t="n">
        <x:v>319.23</x:v>
      </x:c>
      <x:c r="O361" s="39" t="n">
        <x:v>26342.91</x:v>
      </x:c>
      <x:c r="P361" s="39" t="n">
        <x:v>31603.77</x:v>
      </x:c>
      <x:c r="Q361" s="39" t="n">
        <x:v>-5260.86</x:v>
      </x:c>
      <x:c r="R361" s="40" t="n">
        <x:v>-16.6</x:v>
      </x:c>
      <x:c r="S361" s="41" t="n">
        <x:v>74</x:v>
      </x:c>
      <x:c r="T361" s="36" t="str">
        <x:v>Yes</x:v>
      </x:c>
      <x:c r="U361" s="36" t="str">
        <x:v>Pending</x:v>
      </x:c>
    </x:row>
    <x:row r="362">
      <x:c r="A362" s="36" t="str">
        <x:v>PO-2025-0361</x:v>
      </x:c>
      <x:c r="B362" s="37" t="n">
        <x:v>45710</x:v>
      </x:c>
      <x:c r="C362" s="36" t="str">
        <x:v>February</x:v>
      </x:c>
      <x:c r="D362" s="36" t="str">
        <x:v>Calgary SE Ring Road Extension</x:v>
      </x:c>
      <x:c r="E362" s="36" t="str">
        <x:v>Calgary SE</x:v>
      </x:c>
      <x:c r="F362" s="36" t="str">
        <x:v>Derek McLean</x:v>
      </x:c>
      <x:c r="G362" s="36" t="str">
        <x:v>MEP - Mechanical</x:v>
      </x:c>
      <x:c r="H362" s="36" t="str">
        <x:v>Insulated Pipework</x:v>
      </x:c>
      <x:c r="I362" s="36" t="str">
        <x:v>Ainsworth Inc.</x:v>
      </x:c>
      <x:c r="J362" s="36" t="str">
        <x:v>Emergency Procurement</x:v>
      </x:c>
      <x:c r="K362" s="38" t="n">
        <x:v>116</x:v>
      </x:c>
      <x:c r="L362" s="36" t="str">
        <x:v>lot</x:v>
      </x:c>
      <x:c r="M362" s="39" t="n">
        <x:v>38172.57</x:v>
      </x:c>
      <x:c r="N362" s="39" t="n">
        <x:v>36301.69</x:v>
      </x:c>
      <x:c r="O362" s="39" t="n">
        <x:v>4428018.12</x:v>
      </x:c>
      <x:c r="P362" s="39" t="n">
        <x:v>4210996.04</x:v>
      </x:c>
      <x:c r="Q362" s="39" t="n">
        <x:v>217022.08</x:v>
      </x:c>
      <x:c r="R362" s="40" t="n">
        <x:v>5.2</x:v>
      </x:c>
      <x:c r="S362" s="41" t="n">
        <x:v>42</x:v>
      </x:c>
      <x:c r="T362" s="36" t="str">
        <x:v>Yes</x:v>
      </x:c>
      <x:c r="U362" s="36" t="str">
        <x:v>Delivered</x:v>
      </x:c>
    </x:row>
    <x:row r="363">
      <x:c r="A363" s="36" t="str">
        <x:v>PO-2025-0362</x:v>
      </x:c>
      <x:c r="B363" s="37" t="n">
        <x:v>45728</x:v>
      </x:c>
      <x:c r="C363" s="36" t="str">
        <x:v>March</x:v>
      </x:c>
      <x:c r="D363" s="36" t="str">
        <x:v>Rocky View Industrial Logistics Hub</x:v>
      </x:c>
      <x:c r="E363" s="36" t="str">
        <x:v>Rocky View County</x:v>
      </x:c>
      <x:c r="F363" s="36" t="str">
        <x:v>Priya Sharma</x:v>
      </x:c>
      <x:c r="G363" s="36" t="str">
        <x:v>MEP - Electrical</x:v>
      </x:c>
      <x:c r="H363" s="36" t="str">
        <x:v>Standby Generator</x:v>
      </x:c>
      <x:c r="I363" s="36" t="str">
        <x:v>Flint Energy Services</x:v>
      </x:c>
      <x:c r="J363" s="36" t="str">
        <x:v>Standing Offer Agreement</x:v>
      </x:c>
      <x:c r="K363" s="38" t="n">
        <x:v>116</x:v>
      </x:c>
      <x:c r="L363" s="36" t="str">
        <x:v>lot</x:v>
      </x:c>
      <x:c r="M363" s="39" t="n">
        <x:v>52908.44</x:v>
      </x:c>
      <x:c r="N363" s="39" t="n">
        <x:v>60699.1</x:v>
      </x:c>
      <x:c r="O363" s="39" t="n">
        <x:v>6137379.04</x:v>
      </x:c>
      <x:c r="P363" s="39" t="n">
        <x:v>7041095.6</x:v>
      </x:c>
      <x:c r="Q363" s="39" t="n">
        <x:v>-903716.56</x:v>
      </x:c>
      <x:c r="R363" s="40" t="n">
        <x:v>-12.8</x:v>
      </x:c>
      <x:c r="S363" s="41" t="n">
        <x:v>74</x:v>
      </x:c>
      <x:c r="T363" s="36" t="str">
        <x:v>Yes</x:v>
      </x:c>
      <x:c r="U363" s="36" t="str">
        <x:v>Cancelled</x:v>
      </x:c>
    </x:row>
    <x:row r="364">
      <x:c r="A364" s="36" t="str">
        <x:v>PO-2025-0363</x:v>
      </x:c>
      <x:c r="B364" s="37" t="n">
        <x:v>45957</x:v>
      </x:c>
      <x:c r="C364" s="36" t="str">
        <x:v>October</x:v>
      </x:c>
      <x:c r="D364" s="36" t="str">
        <x:v>University District Residential Phase 3</x:v>
      </x:c>
      <x:c r="E364" s="36" t="str">
        <x:v>Rocky View County</x:v>
      </x:c>
      <x:c r="F364" s="36" t="str">
        <x:v>Linda Tran</x:v>
      </x:c>
      <x:c r="G364" s="36" t="str">
        <x:v>Safety &amp; Temp Works</x:v>
      </x:c>
      <x:c r="H364" s="36" t="str">
        <x:v>PPE Bulk Supply</x:v>
      </x:c>
      <x:c r="I364" s="36" t="str">
        <x:v>Levitt-Safety Calgary</x:v>
      </x:c>
      <x:c r="J364" s="36" t="str">
        <x:v>3-Quote Comparison</x:v>
      </x:c>
      <x:c r="K364" s="38" t="n">
        <x:v>54</x:v>
      </x:c>
      <x:c r="L364" s="36" t="str">
        <x:v>lot</x:v>
      </x:c>
      <x:c r="M364" s="39" t="n">
        <x:v>16741.15</x:v>
      </x:c>
      <x:c r="N364" s="39" t="n">
        <x:v>15876.85</x:v>
      </x:c>
      <x:c r="O364" s="39" t="n">
        <x:v>904022.1</x:v>
      </x:c>
      <x:c r="P364" s="39" t="n">
        <x:v>857349.9</x:v>
      </x:c>
      <x:c r="Q364" s="39" t="n">
        <x:v>46672.2</x:v>
      </x:c>
      <x:c r="R364" s="40" t="n">
        <x:v>5.4</x:v>
      </x:c>
      <x:c r="S364" s="41" t="n">
        <x:v>70</x:v>
      </x:c>
      <x:c r="T364" s="36" t="str">
        <x:v>Yes</x:v>
      </x:c>
      <x:c r="U364" s="36" t="str">
        <x:v>Delivered</x:v>
      </x:c>
    </x:row>
    <x:row r="365">
      <x:c r="A365" s="36" t="str">
        <x:v>PO-2025-0364</x:v>
      </x:c>
      <x:c r="B365" s="37" t="n">
        <x:v>45663</x:v>
      </x:c>
      <x:c r="C365" s="36" t="str">
        <x:v>January</x:v>
      </x:c>
      <x:c r="D365" s="36" t="str">
        <x:v>Quarry Park Mixed-Use Development</x:v>
      </x:c>
      <x:c r="E365" s="36" t="str">
        <x:v>Rocky View County</x:v>
      </x:c>
      <x:c r="F365" s="36" t="str">
        <x:v>Priya Sharma</x:v>
      </x:c>
      <x:c r="G365" s="36" t="str">
        <x:v>Finishing</x:v>
      </x:c>
      <x:c r="H365" s="36" t="str">
        <x:v>Drywall &amp; Framing</x:v>
      </x:c>
      <x:c r="I365" s="36" t="str">
        <x:v>Centura Tile Calgary</x:v>
      </x:c>
      <x:c r="J365" s="36" t="str">
        <x:v>Tender – Open</x:v>
      </x:c>
      <x:c r="K365" s="38" t="n">
        <x:v>84</x:v>
      </x:c>
      <x:c r="L365" s="36" t="str">
        <x:v>m²</x:v>
      </x:c>
      <x:c r="M365" s="39" t="n">
        <x:v>378.07</x:v>
      </x:c>
      <x:c r="N365" s="39" t="n">
        <x:v>451.64</x:v>
      </x:c>
      <x:c r="O365" s="39" t="n">
        <x:v>31757.88</x:v>
      </x:c>
      <x:c r="P365" s="39" t="n">
        <x:v>37937.76</x:v>
      </x:c>
      <x:c r="Q365" s="39" t="n">
        <x:v>-6179.88</x:v>
      </x:c>
      <x:c r="R365" s="40" t="n">
        <x:v>-16.3</x:v>
      </x:c>
      <x:c r="S365" s="41" t="n">
        <x:v>12</x:v>
      </x:c>
      <x:c r="T365" s="36" t="str">
        <x:v>Yes</x:v>
      </x:c>
      <x:c r="U365" s="36" t="str">
        <x:v>Delivered</x:v>
      </x:c>
    </x:row>
    <x:row r="366">
      <x:c r="A366" s="36" t="str">
        <x:v>PO-2025-0365</x:v>
      </x:c>
      <x:c r="B366" s="37" t="n">
        <x:v>45986</x:v>
      </x:c>
      <x:c r="C366" s="36" t="str">
        <x:v>November</x:v>
      </x:c>
      <x:c r="D366" s="36" t="str">
        <x:v>Deerfoot Trail Widening - North</x:v>
      </x:c>
      <x:c r="E366" s="36" t="str">
        <x:v>Calgary SW</x:v>
      </x:c>
      <x:c r="F366" s="36" t="str">
        <x:v>Sarah Bouchard</x:v>
      </x:c>
      <x:c r="G366" s="36" t="str">
        <x:v>Finishing</x:v>
      </x:c>
      <x:c r="H366" s="36" t="str">
        <x:v>Ceramic Floor Tile</x:v>
      </x:c>
      <x:c r="I366" s="36" t="str">
        <x:v>Dryvit Systems Canada</x:v>
      </x:c>
      <x:c r="J366" s="36" t="str">
        <x:v>Standing Offer Agreement</x:v>
      </x:c>
      <x:c r="K366" s="38" t="n">
        <x:v>95</x:v>
      </x:c>
      <x:c r="L366" s="36" t="str">
        <x:v>m²</x:v>
      </x:c>
      <x:c r="M366" s="39" t="n">
        <x:v>193.25</x:v>
      </x:c>
      <x:c r="N366" s="39" t="n">
        <x:v>187.43</x:v>
      </x:c>
      <x:c r="O366" s="39" t="n">
        <x:v>18358.75</x:v>
      </x:c>
      <x:c r="P366" s="39" t="n">
        <x:v>17805.85</x:v>
      </x:c>
      <x:c r="Q366" s="39" t="n">
        <x:v>552.9</x:v>
      </x:c>
      <x:c r="R366" s="40" t="n">
        <x:v>3.1</x:v>
      </x:c>
      <x:c r="S366" s="41" t="n">
        <x:v>22</x:v>
      </x:c>
      <x:c r="T366" s="36" t="str">
        <x:v>Yes</x:v>
      </x:c>
      <x:c r="U366" s="36" t="str">
        <x:v>Delivered</x:v>
      </x:c>
    </x:row>
    <x:row r="367">
      <x:c r="A367" s="36" t="str">
        <x:v>PO-2025-0366</x:v>
      </x:c>
      <x:c r="B367" s="37" t="n">
        <x:v>45955</x:v>
      </x:c>
      <x:c r="C367" s="36" t="str">
        <x:v>October</x:v>
      </x:c>
      <x:c r="D367" s="36" t="str">
        <x:v>Springbank Off-Stream Reservoir</x:v>
      </x:c>
      <x:c r="E367" s="36" t="str">
        <x:v>Rocky View County</x:v>
      </x:c>
      <x:c r="F367" s="36" t="str">
        <x:v>James Okafor</x:v>
      </x:c>
      <x:c r="G367" s="36" t="str">
        <x:v>Civil Works</x:v>
      </x:c>
      <x:c r="H367" s="36" t="str">
        <x:v>Curb &amp; Gutter Concrete</x:v>
      </x:c>
      <x:c r="I367" s="36" t="str">
        <x:v>Ledcor Civil Alberta</x:v>
      </x:c>
      <x:c r="J367" s="36" t="str">
        <x:v>Emergency Procurement</x:v>
      </x:c>
      <x:c r="K367" s="38" t="n">
        <x:v>71</x:v>
      </x:c>
      <x:c r="L367" s="36" t="str">
        <x:v>m³</x:v>
      </x:c>
      <x:c r="M367" s="39" t="n">
        <x:v>129.5</x:v>
      </x:c>
      <x:c r="N367" s="39" t="n">
        <x:v>114.51</x:v>
      </x:c>
      <x:c r="O367" s="39" t="n">
        <x:v>9194.5</x:v>
      </x:c>
      <x:c r="P367" s="39" t="n">
        <x:v>8130.21</x:v>
      </x:c>
      <x:c r="Q367" s="39" t="n">
        <x:v>1064.29</x:v>
      </x:c>
      <x:c r="R367" s="40" t="n">
        <x:v>13.1</x:v>
      </x:c>
      <x:c r="S367" s="41" t="n">
        <x:v>51</x:v>
      </x:c>
      <x:c r="T367" s="36" t="str">
        <x:v>Yes</x:v>
      </x:c>
      <x:c r="U367" s="36" t="str">
        <x:v>Delivered</x:v>
      </x:c>
    </x:row>
    <x:row r="368">
      <x:c r="A368" s="36" t="str">
        <x:v>PO-2025-0367</x:v>
      </x:c>
      <x:c r="B368" s="37" t="n">
        <x:v>45833</x:v>
      </x:c>
      <x:c r="C368" s="36" t="str">
        <x:v>June</x:v>
      </x:c>
      <x:c r="D368" s="36" t="str">
        <x:v>Stampede Park Infrastructure Upgrade</x:v>
      </x:c>
      <x:c r="E368" s="36" t="str">
        <x:v>Calgary SW</x:v>
      </x:c>
      <x:c r="F368" s="36" t="str">
        <x:v>Mohammed Siddiqui</x:v>
      </x:c>
      <x:c r="G368" s="36" t="str">
        <x:v>MEP - Mechanical</x:v>
      </x:c>
      <x:c r="H368" s="36" t="str">
        <x:v>Insulated Pipework</x:v>
      </x:c>
      <x:c r="I368" s="36" t="str">
        <x:v>Ainsworth Inc.</x:v>
      </x:c>
      <x:c r="J368" s="36" t="str">
        <x:v>Tender – Open</x:v>
      </x:c>
      <x:c r="K368" s="38" t="n">
        <x:v>31</x:v>
      </x:c>
      <x:c r="L368" s="36" t="str">
        <x:v>lot</x:v>
      </x:c>
      <x:c r="M368" s="39" t="n">
        <x:v>59278.28</x:v>
      </x:c>
      <x:c r="N368" s="39" t="n">
        <x:v>61480.84</x:v>
      </x:c>
      <x:c r="O368" s="39" t="n">
        <x:v>1837626.68</x:v>
      </x:c>
      <x:c r="P368" s="39" t="n">
        <x:v>1905906.04</x:v>
      </x:c>
      <x:c r="Q368" s="39" t="n">
        <x:v>-68279.36</x:v>
      </x:c>
      <x:c r="R368" s="40" t="n">
        <x:v>-3.6</x:v>
      </x:c>
      <x:c r="S368" s="41" t="n">
        <x:v>49</x:v>
      </x:c>
      <x:c r="T368" s="36" t="str">
        <x:v>Yes</x:v>
      </x:c>
      <x:c r="U368" s="36" t="str">
        <x:v>Partially Delivered</x:v>
      </x:c>
    </x:row>
    <x:row r="369">
      <x:c r="A369" s="36" t="str">
        <x:v>PO-2025-0368</x:v>
      </x:c>
      <x:c r="B369" s="37" t="n">
        <x:v>45734</x:v>
      </x:c>
      <x:c r="C369" s="36" t="str">
        <x:v>March</x:v>
      </x:c>
      <x:c r="D369" s="36" t="str">
        <x:v>Quarry Park Mixed-Use Development</x:v>
      </x:c>
      <x:c r="E369" s="36" t="str">
        <x:v>Calgary SW</x:v>
      </x:c>
      <x:c r="F369" s="36" t="str">
        <x:v>Aisha Nkosi</x:v>
      </x:c>
      <x:c r="G369" s="36" t="str">
        <x:v>Concrete &amp; Structural</x:v>
      </x:c>
      <x:c r="H369" s="36" t="str">
        <x:v>Structural Formwork</x:v>
      </x:c>
      <x:c r="I369" s="36" t="str">
        <x:v>Lafarge Canada - Calgary</x:v>
      </x:c>
      <x:c r="J369" s="36" t="str">
        <x:v>Standing Offer Agreement</x:v>
      </x:c>
      <x:c r="K369" s="38" t="n">
        <x:v>18</x:v>
      </x:c>
      <x:c r="L369" s="36" t="str">
        <x:v>m³</x:v>
      </x:c>
      <x:c r="M369" s="39" t="n">
        <x:v>595.77</x:v>
      </x:c>
      <x:c r="N369" s="39" t="n">
        <x:v>650.1</x:v>
      </x:c>
      <x:c r="O369" s="39" t="n">
        <x:v>10723.86</x:v>
      </x:c>
      <x:c r="P369" s="39" t="n">
        <x:v>11701.8</x:v>
      </x:c>
      <x:c r="Q369" s="39" t="n">
        <x:v>-977.94</x:v>
      </x:c>
      <x:c r="R369" s="40" t="n">
        <x:v>-8.4</x:v>
      </x:c>
      <x:c r="S369" s="41" t="n">
        <x:v>45</x:v>
      </x:c>
      <x:c r="T369" s="36" t="str">
        <x:v>Yes</x:v>
      </x:c>
      <x:c r="U369" s="36" t="str">
        <x:v>Delivered</x:v>
      </x:c>
    </x:row>
    <x:row r="370">
      <x:c r="A370" s="36" t="str">
        <x:v>PO-2025-0369</x:v>
      </x:c>
      <x:c r="B370" s="37" t="n">
        <x:v>45782</x:v>
      </x:c>
      <x:c r="C370" s="36" t="str">
        <x:v>May</x:v>
      </x:c>
      <x:c r="D370" s="36" t="str">
        <x:v>Foothills Medical Centre Expansion</x:v>
      </x:c>
      <x:c r="E370" s="36" t="str">
        <x:v>Rocky View County</x:v>
      </x:c>
      <x:c r="F370" s="36" t="str">
        <x:v>Priya Sharma</x:v>
      </x:c>
      <x:c r="G370" s="36" t="str">
        <x:v>Safety &amp; Temp Works</x:v>
      </x:c>
      <x:c r="H370" s="36" t="str">
        <x:v>PPE Bulk Supply</x:v>
      </x:c>
      <x:c r="I370" s="36" t="str">
        <x:v>Safway Alberta</x:v>
      </x:c>
      <x:c r="J370" s="36" t="str">
        <x:v>LPO – Direct Award</x:v>
      </x:c>
      <x:c r="K370" s="38" t="n">
        <x:v>50</x:v>
      </x:c>
      <x:c r="L370" s="36" t="str">
        <x:v>lot</x:v>
      </x:c>
      <x:c r="M370" s="39" t="n">
        <x:v>3870.62</x:v>
      </x:c>
      <x:c r="N370" s="39" t="n">
        <x:v>3870.74</x:v>
      </x:c>
      <x:c r="O370" s="39" t="n">
        <x:v>193531</x:v>
      </x:c>
      <x:c r="P370" s="39" t="n">
        <x:v>193537</x:v>
      </x:c>
      <x:c r="Q370" s="39" t="n">
        <x:v>-6</x:v>
      </x:c>
      <x:c r="R370" s="40" t="n">
        <x:v>0</x:v>
      </x:c>
      <x:c r="S370" s="41" t="n">
        <x:v>35</x:v>
      </x:c>
      <x:c r="T370" s="36" t="str">
        <x:v>Yes</x:v>
      </x:c>
      <x:c r="U370" s="36" t="str">
        <x:v>Delivered</x:v>
      </x:c>
    </x:row>
    <x:row r="371">
      <x:c r="A371" s="36" t="str">
        <x:v>PO-2025-0370</x:v>
      </x:c>
      <x:c r="B371" s="37" t="n">
        <x:v>45782</x:v>
      </x:c>
      <x:c r="C371" s="36" t="str">
        <x:v>May</x:v>
      </x:c>
      <x:c r="D371" s="36" t="str">
        <x:v>Saddledome Arena Retrofit</x:v>
      </x:c>
      <x:c r="E371" s="36" t="str">
        <x:v>Calgary SW</x:v>
      </x:c>
      <x:c r="F371" s="36" t="str">
        <x:v>Linda Tran</x:v>
      </x:c>
      <x:c r="G371" s="36" t="str">
        <x:v>Civil Works</x:v>
      </x:c>
      <x:c r="H371" s="36" t="str">
        <x:v>Bulk Excavation</x:v>
      </x:c>
      <x:c r="I371" s="36" t="str">
        <x:v>Kiewit Infrastructure</x:v>
      </x:c>
      <x:c r="J371" s="36" t="str">
        <x:v>Tender – Open</x:v>
      </x:c>
      <x:c r="K371" s="38" t="n">
        <x:v>55</x:v>
      </x:c>
      <x:c r="L371" s="36" t="str">
        <x:v>m³</x:v>
      </x:c>
      <x:c r="M371" s="39" t="n">
        <x:v>236.6</x:v>
      </x:c>
      <x:c r="N371" s="39" t="n">
        <x:v>286.48</x:v>
      </x:c>
      <x:c r="O371" s="39" t="n">
        <x:v>13013</x:v>
      </x:c>
      <x:c r="P371" s="39" t="n">
        <x:v>15756.4</x:v>
      </x:c>
      <x:c r="Q371" s="39" t="n">
        <x:v>-2743.4</x:v>
      </x:c>
      <x:c r="R371" s="40" t="n">
        <x:v>-17.4</x:v>
      </x:c>
      <x:c r="S371" s="41" t="n">
        <x:v>30</x:v>
      </x:c>
      <x:c r="T371" s="36" t="str">
        <x:v>Yes</x:v>
      </x:c>
      <x:c r="U371" s="36" t="str">
        <x:v>Cancelled</x:v>
      </x:c>
    </x:row>
    <x:row r="372">
      <x:c r="A372" s="36" t="str">
        <x:v>PO-2025-0371</x:v>
      </x:c>
      <x:c r="B372" s="37" t="n">
        <x:v>45911</x:v>
      </x:c>
      <x:c r="C372" s="36" t="str">
        <x:v>September</x:v>
      </x:c>
      <x:c r="D372" s="36" t="str">
        <x:v>Quarry Park Mixed-Use Development</x:v>
      </x:c>
      <x:c r="E372" s="36" t="str">
        <x:v>Rocky View County</x:v>
      </x:c>
      <x:c r="F372" s="36" t="str">
        <x:v>Aisha Nkosi</x:v>
      </x:c>
      <x:c r="G372" s="36" t="str">
        <x:v>Civil Works</x:v>
      </x:c>
      <x:c r="H372" s="36" t="str">
        <x:v>Curb &amp; Gutter Concrete</x:v>
      </x:c>
      <x:c r="I372" s="36" t="str">
        <x:v>Graham Construction</x:v>
      </x:c>
      <x:c r="J372" s="36" t="str">
        <x:v>LPO – Direct Award</x:v>
      </x:c>
      <x:c r="K372" s="38" t="n">
        <x:v>73</x:v>
      </x:c>
      <x:c r="L372" s="36" t="str">
        <x:v>m³</x:v>
      </x:c>
      <x:c r="M372" s="39" t="n">
        <x:v>62.08</x:v>
      </x:c>
      <x:c r="N372" s="39" t="n">
        <x:v>61.13</x:v>
      </x:c>
      <x:c r="O372" s="39" t="n">
        <x:v>4531.84</x:v>
      </x:c>
      <x:c r="P372" s="39" t="n">
        <x:v>4462.49</x:v>
      </x:c>
      <x:c r="Q372" s="39" t="n">
        <x:v>69.35</x:v>
      </x:c>
      <x:c r="R372" s="40" t="n">
        <x:v>1.6</x:v>
      </x:c>
      <x:c r="S372" s="41" t="n">
        <x:v>83</x:v>
      </x:c>
      <x:c r="T372" s="36" t="str">
        <x:v>Yes</x:v>
      </x:c>
      <x:c r="U372" s="36" t="str">
        <x:v>Partially Delivered</x:v>
      </x:c>
    </x:row>
    <x:row r="373">
      <x:c r="A373" s="36" t="str">
        <x:v>PO-2025-0372</x:v>
      </x:c>
      <x:c r="B373" s="37" t="n">
        <x:v>45696</x:v>
      </x:c>
      <x:c r="C373" s="36" t="str">
        <x:v>February</x:v>
      </x:c>
      <x:c r="D373" s="36" t="str">
        <x:v>University District Residential Phase 3</x:v>
      </x:c>
      <x:c r="E373" s="36" t="str">
        <x:v>Calgary NE</x:v>
      </x:c>
      <x:c r="F373" s="36" t="str">
        <x:v>James Okafor</x:v>
      </x:c>
      <x:c r="G373" s="36" t="str">
        <x:v>Civil Works</x:v>
      </x:c>
      <x:c r="H373" s="36" t="str">
        <x:v>Bulk Excavation</x:v>
      </x:c>
      <x:c r="I373" s="36" t="str">
        <x:v>Ledcor Civil Alberta</x:v>
      </x:c>
      <x:c r="J373" s="36" t="str">
        <x:v>Tender – Open</x:v>
      </x:c>
      <x:c r="K373" s="38" t="n">
        <x:v>79</x:v>
      </x:c>
      <x:c r="L373" s="36" t="str">
        <x:v>m³</x:v>
      </x:c>
      <x:c r="M373" s="39" t="n">
        <x:v>114.95</x:v>
      </x:c>
      <x:c r="N373" s="39" t="n">
        <x:v>105.64</x:v>
      </x:c>
      <x:c r="O373" s="39" t="n">
        <x:v>9081.05</x:v>
      </x:c>
      <x:c r="P373" s="39" t="n">
        <x:v>8345.56</x:v>
      </x:c>
      <x:c r="Q373" s="39" t="n">
        <x:v>735.49</x:v>
      </x:c>
      <x:c r="R373" s="40" t="n">
        <x:v>8.8</x:v>
      </x:c>
      <x:c r="S373" s="41" t="n">
        <x:v>77</x:v>
      </x:c>
      <x:c r="T373" s="36" t="str">
        <x:v>Yes</x:v>
      </x:c>
      <x:c r="U373" s="36" t="str">
        <x:v>Partially Delivered</x:v>
      </x:c>
    </x:row>
    <x:row r="374">
      <x:c r="A374" s="36" t="str">
        <x:v>PO-2025-0373</x:v>
      </x:c>
      <x:c r="B374" s="37" t="n">
        <x:v>45782</x:v>
      </x:c>
      <x:c r="C374" s="36" t="str">
        <x:v>May</x:v>
      </x:c>
      <x:c r="D374" s="36" t="str">
        <x:v>Quarry Park Mixed-Use Development</x:v>
      </x:c>
      <x:c r="E374" s="36" t="str">
        <x:v>Calgary SE</x:v>
      </x:c>
      <x:c r="F374" s="36" t="str">
        <x:v>Sarah Bouchard</x:v>
      </x:c>
      <x:c r="G374" s="36" t="str">
        <x:v>MEP - Electrical</x:v>
      </x:c>
      <x:c r="H374" s="36" t="str">
        <x:v>LED Site Lighting</x:v>
      </x:c>
      <x:c r="I374" s="36" t="str">
        <x:v>Stuart Olson Electrical</x:v>
      </x:c>
      <x:c r="J374" s="36" t="str">
        <x:v>LPO – Direct Award</x:v>
      </x:c>
      <x:c r="K374" s="38" t="n">
        <x:v>86</x:v>
      </x:c>
      <x:c r="L374" s="36" t="str">
        <x:v>lot</x:v>
      </x:c>
      <x:c r="M374" s="39" t="n">
        <x:v>49456.88</x:v>
      </x:c>
      <x:c r="N374" s="39" t="n">
        <x:v>54890.29</x:v>
      </x:c>
      <x:c r="O374" s="39" t="n">
        <x:v>4253291.68</x:v>
      </x:c>
      <x:c r="P374" s="39" t="n">
        <x:v>4720564.94</x:v>
      </x:c>
      <x:c r="Q374" s="39" t="n">
        <x:v>-467273.26</x:v>
      </x:c>
      <x:c r="R374" s="40" t="n">
        <x:v>-9.9</x:v>
      </x:c>
      <x:c r="S374" s="41" t="n">
        <x:v>14</x:v>
      </x:c>
      <x:c r="T374" s="36" t="str">
        <x:v>Yes</x:v>
      </x:c>
      <x:c r="U374" s="36" t="str">
        <x:v>Cancelled</x:v>
      </x:c>
    </x:row>
    <x:row r="375">
      <x:c r="A375" s="36" t="str">
        <x:v>PO-2025-0374</x:v>
      </x:c>
      <x:c r="B375" s="37" t="n">
        <x:v>45911</x:v>
      </x:c>
      <x:c r="C375" s="36" t="str">
        <x:v>September</x:v>
      </x:c>
      <x:c r="D375" s="36" t="str">
        <x:v>Calgary SE Ring Road Extension</x:v>
      </x:c>
      <x:c r="E375" s="36" t="str">
        <x:v>Calgary NE</x:v>
      </x:c>
      <x:c r="F375" s="36" t="str">
        <x:v>Mohammed Siddiqui</x:v>
      </x:c>
      <x:c r="G375" s="36" t="str">
        <x:v>Safety &amp; Temp Works</x:v>
      </x:c>
      <x:c r="H375" s="36" t="str">
        <x:v>Scaffolding System</x:v>
      </x:c>
      <x:c r="I375" s="36" t="str">
        <x:v>Sunbelt Rentals Canada</x:v>
      </x:c>
      <x:c r="J375" s="36" t="str">
        <x:v>3-Quote Comparison</x:v>
      </x:c>
      <x:c r="K375" s="38" t="n">
        <x:v>37</x:v>
      </x:c>
      <x:c r="L375" s="36" t="str">
        <x:v>lot</x:v>
      </x:c>
      <x:c r="M375" s="39" t="n">
        <x:v>4380.35</x:v>
      </x:c>
      <x:c r="N375" s="39" t="n">
        <x:v>4924.68</x:v>
      </x:c>
      <x:c r="O375" s="39" t="n">
        <x:v>162072.95</x:v>
      </x:c>
      <x:c r="P375" s="39" t="n">
        <x:v>182213.16</x:v>
      </x:c>
      <x:c r="Q375" s="39" t="n">
        <x:v>-20140.21</x:v>
      </x:c>
      <x:c r="R375" s="40" t="n">
        <x:v>-11.1</x:v>
      </x:c>
      <x:c r="S375" s="41" t="n">
        <x:v>51</x:v>
      </x:c>
      <x:c r="T375" s="36" t="str">
        <x:v>No</x:v>
      </x:c>
      <x:c r="U375" s="36" t="str">
        <x:v>Pending</x:v>
      </x:c>
    </x:row>
    <x:row r="376">
      <x:c r="A376" s="36" t="str">
        <x:v>PO-2025-0375</x:v>
      </x:c>
      <x:c r="B376" s="37" t="n">
        <x:v>45739</x:v>
      </x:c>
      <x:c r="C376" s="36" t="str">
        <x:v>March</x:v>
      </x:c>
      <x:c r="D376" s="36" t="str">
        <x:v>Calgary SE Ring Road Extension</x:v>
      </x:c>
      <x:c r="E376" s="36" t="str">
        <x:v>Rocky View County</x:v>
      </x:c>
      <x:c r="F376" s="36" t="str">
        <x:v>Aisha Nkosi</x:v>
      </x:c>
      <x:c r="G376" s="36" t="str">
        <x:v>Concrete &amp; Structural</x:v>
      </x:c>
      <x:c r="H376" s="36" t="str">
        <x:v>Post-Tension Cables</x:v>
      </x:c>
      <x:c r="I376" s="36" t="str">
        <x:v>Inland Concrete</x:v>
      </x:c>
      <x:c r="J376" s="36" t="str">
        <x:v>3-Quote Comparison</x:v>
      </x:c>
      <x:c r="K376" s="38" t="n">
        <x:v>101</x:v>
      </x:c>
      <x:c r="L376" s="36" t="str">
        <x:v>m³</x:v>
      </x:c>
      <x:c r="M376" s="39" t="n">
        <x:v>349.65</x:v>
      </x:c>
      <x:c r="N376" s="39" t="n">
        <x:v>369.13</x:v>
      </x:c>
      <x:c r="O376" s="39" t="n">
        <x:v>35314.65</x:v>
      </x:c>
      <x:c r="P376" s="39" t="n">
        <x:v>37282.13</x:v>
      </x:c>
      <x:c r="Q376" s="39" t="n">
        <x:v>-1967.48</x:v>
      </x:c>
      <x:c r="R376" s="40" t="n">
        <x:v>-5.3</x:v>
      </x:c>
      <x:c r="S376" s="41" t="n">
        <x:v>70</x:v>
      </x:c>
      <x:c r="T376" s="36" t="str">
        <x:v>Yes</x:v>
      </x:c>
      <x:c r="U376" s="36" t="str">
        <x:v>Delivered</x:v>
      </x:c>
    </x:row>
    <x:row r="377">
      <x:c r="A377" s="36" t="str">
        <x:v>PO-2025-0376</x:v>
      </x:c>
      <x:c r="B377" s="37" t="n">
        <x:v>45672</x:v>
      </x:c>
      <x:c r="C377" s="36" t="str">
        <x:v>January</x:v>
      </x:c>
      <x:c r="D377" s="36" t="str">
        <x:v>Bow River Crossing Overpass</x:v>
      </x:c>
      <x:c r="E377" s="36" t="str">
        <x:v>Rocky View County</x:v>
      </x:c>
      <x:c r="F377" s="36" t="str">
        <x:v>James Okafor</x:v>
      </x:c>
      <x:c r="G377" s="36" t="str">
        <x:v>MEP - Mechanical</x:v>
      </x:c>
      <x:c r="H377" s="36" t="str">
        <x:v>HVAC Rooftop Unit</x:v>
      </x:c>
      <x:c r="I377" s="36" t="str">
        <x:v>Stantec MEP</x:v>
      </x:c>
      <x:c r="J377" s="36" t="str">
        <x:v>LPO – Direct Award</x:v>
      </x:c>
      <x:c r="K377" s="38" t="n">
        <x:v>109</x:v>
      </x:c>
      <x:c r="L377" s="36" t="str">
        <x:v>lot</x:v>
      </x:c>
      <x:c r="M377" s="39" t="n">
        <x:v>47636.53</x:v>
      </x:c>
      <x:c r="N377" s="39" t="n">
        <x:v>57956.01</x:v>
      </x:c>
      <x:c r="O377" s="39" t="n">
        <x:v>5192381.77</x:v>
      </x:c>
      <x:c r="P377" s="39" t="n">
        <x:v>6317205.09</x:v>
      </x:c>
      <x:c r="Q377" s="39" t="n">
        <x:v>-1124823.32</x:v>
      </x:c>
      <x:c r="R377" s="40" t="n">
        <x:v>-17.8</x:v>
      </x:c>
      <x:c r="S377" s="41" t="n">
        <x:v>59</x:v>
      </x:c>
      <x:c r="T377" s="36" t="str">
        <x:v>Yes</x:v>
      </x:c>
      <x:c r="U377" s="36" t="str">
        <x:v>Cancelled</x:v>
      </x:c>
    </x:row>
    <x:row r="378">
      <x:c r="A378" s="36" t="str">
        <x:v>PO-2025-0377</x:v>
      </x:c>
      <x:c r="B378" s="37" t="n">
        <x:v>45794</x:v>
      </x:c>
      <x:c r="C378" s="36" t="str">
        <x:v>May</x:v>
      </x:c>
      <x:c r="D378" s="36" t="str">
        <x:v>Springbank Off-Stream Reservoir</x:v>
      </x:c>
      <x:c r="E378" s="36" t="str">
        <x:v>Calgary SW</x:v>
      </x:c>
      <x:c r="F378" s="36" t="str">
        <x:v>Aisha Nkosi</x:v>
      </x:c>
      <x:c r="G378" s="36" t="str">
        <x:v>Civil Works</x:v>
      </x:c>
      <x:c r="H378" s="36" t="str">
        <x:v>Bulk Excavation</x:v>
      </x:c>
      <x:c r="I378" s="36" t="str">
        <x:v>Graham Construction</x:v>
      </x:c>
      <x:c r="J378" s="36" t="str">
        <x:v>Standing Offer Agreement</x:v>
      </x:c>
      <x:c r="K378" s="38" t="n">
        <x:v>69</x:v>
      </x:c>
      <x:c r="L378" s="36" t="str">
        <x:v>m³</x:v>
      </x:c>
      <x:c r="M378" s="39" t="n">
        <x:v>309.65</x:v>
      </x:c>
      <x:c r="N378" s="39" t="n">
        <x:v>271.24</x:v>
      </x:c>
      <x:c r="O378" s="39" t="n">
        <x:v>21365.85</x:v>
      </x:c>
      <x:c r="P378" s="39" t="n">
        <x:v>18715.56</x:v>
      </x:c>
      <x:c r="Q378" s="39" t="n">
        <x:v>2650.29</x:v>
      </x:c>
      <x:c r="R378" s="40" t="n">
        <x:v>14.2</x:v>
      </x:c>
      <x:c r="S378" s="41" t="n">
        <x:v>41</x:v>
      </x:c>
      <x:c r="T378" s="36" t="str">
        <x:v>Yes</x:v>
      </x:c>
      <x:c r="U378" s="36" t="str">
        <x:v>Partially Delivered</x:v>
      </x:c>
    </x:row>
    <x:row r="379">
      <x:c r="A379" s="36" t="str">
        <x:v>PO-2025-0378</x:v>
      </x:c>
      <x:c r="B379" s="37" t="n">
        <x:v>45903</x:v>
      </x:c>
      <x:c r="C379" s="36" t="str">
        <x:v>September</x:v>
      </x:c>
      <x:c r="D379" s="36" t="str">
        <x:v>Rocky View Industrial Logistics Hub</x:v>
      </x:c>
      <x:c r="E379" s="36" t="str">
        <x:v>Calgary SE</x:v>
      </x:c>
      <x:c r="F379" s="36" t="str">
        <x:v>Linda Tran</x:v>
      </x:c>
      <x:c r="G379" s="36" t="str">
        <x:v>MEP - Mechanical</x:v>
      </x:c>
      <x:c r="H379" s="36" t="str">
        <x:v>Air Handling Unit</x:v>
      </x:c>
      <x:c r="I379" s="36" t="str">
        <x:v>PCL Mechanical</x:v>
      </x:c>
      <x:c r="J379" s="36" t="str">
        <x:v>Standing Offer Agreement</x:v>
      </x:c>
      <x:c r="K379" s="38" t="n">
        <x:v>47</x:v>
      </x:c>
      <x:c r="L379" s="36" t="str">
        <x:v>lot</x:v>
      </x:c>
      <x:c r="M379" s="39" t="n">
        <x:v>48738.72</x:v>
      </x:c>
      <x:c r="N379" s="39" t="n">
        <x:v>43034.93</x:v>
      </x:c>
      <x:c r="O379" s="39" t="n">
        <x:v>2290719.84</x:v>
      </x:c>
      <x:c r="P379" s="39" t="n">
        <x:v>2022641.71</x:v>
      </x:c>
      <x:c r="Q379" s="39" t="n">
        <x:v>268078.13</x:v>
      </x:c>
      <x:c r="R379" s="40" t="n">
        <x:v>13.3</x:v>
      </x:c>
      <x:c r="S379" s="41" t="n">
        <x:v>8</x:v>
      </x:c>
      <x:c r="T379" s="36" t="str">
        <x:v>Yes</x:v>
      </x:c>
      <x:c r="U379" s="36" t="str">
        <x:v>Delivered</x:v>
      </x:c>
    </x:row>
    <x:row r="380">
      <x:c r="A380" s="36" t="str">
        <x:v>PO-2025-0379</x:v>
      </x:c>
      <x:c r="B380" s="37" t="n">
        <x:v>45936</x:v>
      </x:c>
      <x:c r="C380" s="36" t="str">
        <x:v>October</x:v>
      </x:c>
      <x:c r="D380" s="36" t="str">
        <x:v>Bow River Crossing Overpass</x:v>
      </x:c>
      <x:c r="E380" s="36" t="str">
        <x:v>Calgary NE</x:v>
      </x:c>
      <x:c r="F380" s="36" t="str">
        <x:v>Priya Sharma</x:v>
      </x:c>
      <x:c r="G380" s="36" t="str">
        <x:v>Finishing</x:v>
      </x:c>
      <x:c r="H380" s="36" t="str">
        <x:v>Exterior Cladding Panel</x:v>
      </x:c>
      <x:c r="I380" s="36" t="str">
        <x:v>Dryvit Systems Canada</x:v>
      </x:c>
      <x:c r="J380" s="36" t="str">
        <x:v>Tender – Open</x:v>
      </x:c>
      <x:c r="K380" s="38" t="n">
        <x:v>87</x:v>
      </x:c>
      <x:c r="L380" s="36" t="str">
        <x:v>m²</x:v>
      </x:c>
      <x:c r="M380" s="39" t="n">
        <x:v>239.76</x:v>
      </x:c>
      <x:c r="N380" s="39" t="n">
        <x:v>225.15</x:v>
      </x:c>
      <x:c r="O380" s="39" t="n">
        <x:v>20859.12</x:v>
      </x:c>
      <x:c r="P380" s="39" t="n">
        <x:v>19588.05</x:v>
      </x:c>
      <x:c r="Q380" s="39" t="n">
        <x:v>1271.07</x:v>
      </x:c>
      <x:c r="R380" s="40" t="n">
        <x:v>6.5</x:v>
      </x:c>
      <x:c r="S380" s="41" t="n">
        <x:v>66</x:v>
      </x:c>
      <x:c r="T380" s="36" t="str">
        <x:v>Yes</x:v>
      </x:c>
      <x:c r="U380" s="36" t="str">
        <x:v>Delivered</x:v>
      </x:c>
    </x:row>
    <x:row r="381">
      <x:c r="A381" s="36" t="str">
        <x:v>PO-2025-0380</x:v>
      </x:c>
      <x:c r="B381" s="37" t="n">
        <x:v>45927</x:v>
      </x:c>
      <x:c r="C381" s="36" t="str">
        <x:v>September</x:v>
      </x:c>
      <x:c r="D381" s="36" t="str">
        <x:v>Bow River Crossing Overpass</x:v>
      </x:c>
      <x:c r="E381" s="36" t="str">
        <x:v>Calgary SW</x:v>
      </x:c>
      <x:c r="F381" s="36" t="str">
        <x:v>Aisha Nkosi</x:v>
      </x:c>
      <x:c r="G381" s="36" t="str">
        <x:v>Safety &amp; Temp Works</x:v>
      </x:c>
      <x:c r="H381" s="36" t="str">
        <x:v>Site Office Trailer</x:v>
      </x:c>
      <x:c r="I381" s="36" t="str">
        <x:v>Safway Alberta</x:v>
      </x:c>
      <x:c r="J381" s="36" t="str">
        <x:v>Emergency Procurement</x:v>
      </x:c>
      <x:c r="K381" s="38" t="n">
        <x:v>66</x:v>
      </x:c>
      <x:c r="L381" s="36" t="str">
        <x:v>lot</x:v>
      </x:c>
      <x:c r="M381" s="39" t="n">
        <x:v>7220.09</x:v>
      </x:c>
      <x:c r="N381" s="39" t="n">
        <x:v>8324.15</x:v>
      </x:c>
      <x:c r="O381" s="39" t="n">
        <x:v>476525.94</x:v>
      </x:c>
      <x:c r="P381" s="39" t="n">
        <x:v>549393.9</x:v>
      </x:c>
      <x:c r="Q381" s="39" t="n">
        <x:v>-72867.96</x:v>
      </x:c>
      <x:c r="R381" s="40" t="n">
        <x:v>-13.3</x:v>
      </x:c>
      <x:c r="S381" s="41" t="n">
        <x:v>53</x:v>
      </x:c>
      <x:c r="T381" s="36" t="str">
        <x:v>Yes</x:v>
      </x:c>
      <x:c r="U381" s="36" t="str">
        <x:v>Partially Delivered</x:v>
      </x:c>
    </x:row>
    <x:row r="382">
      <x:c r="A382" s="36" t="str">
        <x:v>PO-2025-0381</x:v>
      </x:c>
      <x:c r="B382" s="37" t="n">
        <x:v>45671</x:v>
      </x:c>
      <x:c r="C382" s="36" t="str">
        <x:v>January</x:v>
      </x:c>
      <x:c r="D382" s="36" t="str">
        <x:v>Stampede Park Infrastructure Upgrade</x:v>
      </x:c>
      <x:c r="E382" s="36" t="str">
        <x:v>Calgary SW</x:v>
      </x:c>
      <x:c r="F382" s="36" t="str">
        <x:v>Priya Sharma</x:v>
      </x:c>
      <x:c r="G382" s="36" t="str">
        <x:v>MEP - Electrical</x:v>
      </x:c>
      <x:c r="H382" s="36" t="str">
        <x:v>Standby Generator</x:v>
      </x:c>
      <x:c r="I382" s="36" t="str">
        <x:v>Houle Electric</x:v>
      </x:c>
      <x:c r="J382" s="36" t="str">
        <x:v>Emergency Procurement</x:v>
      </x:c>
      <x:c r="K382" s="38" t="n">
        <x:v>59</x:v>
      </x:c>
      <x:c r="L382" s="36" t="str">
        <x:v>lot</x:v>
      </x:c>
      <x:c r="M382" s="39" t="n">
        <x:v>56471.83</x:v>
      </x:c>
      <x:c r="N382" s="39" t="n">
        <x:v>50265.08</x:v>
      </x:c>
      <x:c r="O382" s="39" t="n">
        <x:v>3331837.97</x:v>
      </x:c>
      <x:c r="P382" s="39" t="n">
        <x:v>2965639.72</x:v>
      </x:c>
      <x:c r="Q382" s="39" t="n">
        <x:v>366198.25</x:v>
      </x:c>
      <x:c r="R382" s="40" t="n">
        <x:v>12.3</x:v>
      </x:c>
      <x:c r="S382" s="41" t="n">
        <x:v>9</x:v>
      </x:c>
      <x:c r="T382" s="36" t="str">
        <x:v>Yes</x:v>
      </x:c>
      <x:c r="U382" s="36" t="str">
        <x:v>Pending</x:v>
      </x:c>
    </x:row>
    <x:row r="383">
      <x:c r="A383" s="36" t="str">
        <x:v>PO-2025-0382</x:v>
      </x:c>
      <x:c r="B383" s="37" t="n">
        <x:v>45909</x:v>
      </x:c>
      <x:c r="C383" s="36" t="str">
        <x:v>September</x:v>
      </x:c>
      <x:c r="D383" s="36" t="str">
        <x:v>Quarry Park Mixed-Use Development</x:v>
      </x:c>
      <x:c r="E383" s="36" t="str">
        <x:v>Calgary NE</x:v>
      </x:c>
      <x:c r="F383" s="36" t="str">
        <x:v>Sarah Bouchard</x:v>
      </x:c>
      <x:c r="G383" s="36" t="str">
        <x:v>Civil Works</x:v>
      </x:c>
      <x:c r="H383" s="36" t="str">
        <x:v>Granular Backfill</x:v>
      </x:c>
      <x:c r="I383" s="36" t="str">
        <x:v>Kiewit Infrastructure</x:v>
      </x:c>
      <x:c r="J383" s="36" t="str">
        <x:v>Standing Offer Agreement</x:v>
      </x:c>
      <x:c r="K383" s="38" t="n">
        <x:v>5</x:v>
      </x:c>
      <x:c r="L383" s="36" t="str">
        <x:v>m³</x:v>
      </x:c>
      <x:c r="M383" s="39" t="n">
        <x:v>186.51</x:v>
      </x:c>
      <x:c r="N383" s="39" t="n">
        <x:v>220.2</x:v>
      </x:c>
      <x:c r="O383" s="39" t="n">
        <x:v>932.55</x:v>
      </x:c>
      <x:c r="P383" s="39" t="n">
        <x:v>1101</x:v>
      </x:c>
      <x:c r="Q383" s="39" t="n">
        <x:v>-168.45</x:v>
      </x:c>
      <x:c r="R383" s="40" t="n">
        <x:v>-15.3</x:v>
      </x:c>
      <x:c r="S383" s="41" t="n">
        <x:v>53</x:v>
      </x:c>
      <x:c r="T383" s="36" t="str">
        <x:v>Yes</x:v>
      </x:c>
      <x:c r="U383" s="36" t="str">
        <x:v>Delivered</x:v>
      </x:c>
    </x:row>
    <x:row r="384">
      <x:c r="A384" s="36" t="str">
        <x:v>PO-2025-0383</x:v>
      </x:c>
      <x:c r="B384" s="37" t="n">
        <x:v>45900</x:v>
      </x:c>
      <x:c r="C384" s="36" t="str">
        <x:v>August</x:v>
      </x:c>
      <x:c r="D384" s="36" t="str">
        <x:v>Calgary SE Ring Road Extension</x:v>
      </x:c>
      <x:c r="E384" s="36" t="str">
        <x:v>Calgary SW</x:v>
      </x:c>
      <x:c r="F384" s="36" t="str">
        <x:v>Sarah Bouchard</x:v>
      </x:c>
      <x:c r="G384" s="36" t="str">
        <x:v>Finishing</x:v>
      </x:c>
      <x:c r="H384" s="36" t="str">
        <x:v>Drywall &amp; Framing</x:v>
      </x:c>
      <x:c r="I384" s="36" t="str">
        <x:v>Dryvit Systems Canada</x:v>
      </x:c>
      <x:c r="J384" s="36" t="str">
        <x:v>3-Quote Comparison</x:v>
      </x:c>
      <x:c r="K384" s="38" t="n">
        <x:v>64</x:v>
      </x:c>
      <x:c r="L384" s="36" t="str">
        <x:v>m²</x:v>
      </x:c>
      <x:c r="M384" s="39" t="n">
        <x:v>242.98</x:v>
      </x:c>
      <x:c r="N384" s="39" t="n">
        <x:v>226.17</x:v>
      </x:c>
      <x:c r="O384" s="39" t="n">
        <x:v>15550.72</x:v>
      </x:c>
      <x:c r="P384" s="39" t="n">
        <x:v>14474.88</x:v>
      </x:c>
      <x:c r="Q384" s="39" t="n">
        <x:v>1075.84</x:v>
      </x:c>
      <x:c r="R384" s="40" t="n">
        <x:v>7.4</x:v>
      </x:c>
      <x:c r="S384" s="41" t="n">
        <x:v>25</x:v>
      </x:c>
      <x:c r="T384" s="36" t="str">
        <x:v>Yes</x:v>
      </x:c>
      <x:c r="U384" s="36" t="str">
        <x:v>Cancelled</x:v>
      </x:c>
    </x:row>
    <x:row r="385">
      <x:c r="A385" s="36" t="str">
        <x:v>PO-2025-0384</x:v>
      </x:c>
      <x:c r="B385" s="37" t="n">
        <x:v>45688</x:v>
      </x:c>
      <x:c r="C385" s="36" t="str">
        <x:v>January</x:v>
      </x:c>
      <x:c r="D385" s="36" t="str">
        <x:v>Foothills Medical Centre Expansion</x:v>
      </x:c>
      <x:c r="E385" s="36" t="str">
        <x:v>Calgary SE</x:v>
      </x:c>
      <x:c r="F385" s="36" t="str">
        <x:v>James Okafor</x:v>
      </x:c>
      <x:c r="G385" s="36" t="str">
        <x:v>Safety &amp; Temp Works</x:v>
      </x:c>
      <x:c r="H385" s="36" t="str">
        <x:v>PPE Bulk Supply</x:v>
      </x:c>
      <x:c r="I385" s="36" t="str">
        <x:v>Sunbelt Rentals Canada</x:v>
      </x:c>
      <x:c r="J385" s="36" t="str">
        <x:v>LPO – Direct Award</x:v>
      </x:c>
      <x:c r="K385" s="38" t="n">
        <x:v>60</x:v>
      </x:c>
      <x:c r="L385" s="36" t="str">
        <x:v>lot</x:v>
      </x:c>
      <x:c r="M385" s="39" t="n">
        <x:v>13297.48</x:v>
      </x:c>
      <x:c r="N385" s="39" t="n">
        <x:v>16305.71</x:v>
      </x:c>
      <x:c r="O385" s="39" t="n">
        <x:v>797848.8</x:v>
      </x:c>
      <x:c r="P385" s="39" t="n">
        <x:v>978342.6</x:v>
      </x:c>
      <x:c r="Q385" s="39" t="n">
        <x:v>-180493.8</x:v>
      </x:c>
      <x:c r="R385" s="40" t="n">
        <x:v>-18.4</x:v>
      </x:c>
      <x:c r="S385" s="41" t="n">
        <x:v>43</x:v>
      </x:c>
      <x:c r="T385" s="36" t="str">
        <x:v>Yes</x:v>
      </x:c>
      <x:c r="U385" s="36" t="str">
        <x:v>Delivered</x:v>
      </x:c>
    </x:row>
    <x:row r="386">
      <x:c r="A386" s="36" t="str">
        <x:v>PO-2025-0385</x:v>
      </x:c>
      <x:c r="B386" s="37" t="n">
        <x:v>45701</x:v>
      </x:c>
      <x:c r="C386" s="36" t="str">
        <x:v>February</x:v>
      </x:c>
      <x:c r="D386" s="36" t="str">
        <x:v>Springbank Off-Stream Reservoir</x:v>
      </x:c>
      <x:c r="E386" s="36" t="str">
        <x:v>Calgary NE</x:v>
      </x:c>
      <x:c r="F386" s="36" t="str">
        <x:v>James Okafor</x:v>
      </x:c>
      <x:c r="G386" s="36" t="str">
        <x:v>Concrete &amp; Structural</x:v>
      </x:c>
      <x:c r="H386" s="36" t="str">
        <x:v>Precast Deck Panels</x:v>
      </x:c>
      <x:c r="I386" s="36" t="str">
        <x:v>Alberta Precast</x:v>
      </x:c>
      <x:c r="J386" s="36" t="str">
        <x:v>LPO – Direct Award</x:v>
      </x:c>
      <x:c r="K386" s="38" t="n">
        <x:v>80</x:v>
      </x:c>
      <x:c r="L386" s="36" t="str">
        <x:v>m³</x:v>
      </x:c>
      <x:c r="M386" s="39" t="n">
        <x:v>584.94</x:v>
      </x:c>
      <x:c r="N386" s="39" t="n">
        <x:v>543.21</x:v>
      </x:c>
      <x:c r="O386" s="39" t="n">
        <x:v>46795.2</x:v>
      </x:c>
      <x:c r="P386" s="39" t="n">
        <x:v>43456.8</x:v>
      </x:c>
      <x:c r="Q386" s="39" t="n">
        <x:v>3338.4</x:v>
      </x:c>
      <x:c r="R386" s="40" t="n">
        <x:v>7.7</x:v>
      </x:c>
      <x:c r="S386" s="41" t="n">
        <x:v>13</x:v>
      </x:c>
      <x:c r="T386" s="36" t="str">
        <x:v>Yes</x:v>
      </x:c>
      <x:c r="U386" s="36" t="str">
        <x:v>Cancelled</x:v>
      </x:c>
    </x:row>
    <x:row r="387">
      <x:c r="A387" s="36" t="str">
        <x:v>PO-2025-0386</x:v>
      </x:c>
      <x:c r="B387" s="37" t="n">
        <x:v>45947</x:v>
      </x:c>
      <x:c r="C387" s="36" t="str">
        <x:v>October</x:v>
      </x:c>
      <x:c r="D387" s="36" t="str">
        <x:v>Calgary SE Ring Road Extension</x:v>
      </x:c>
      <x:c r="E387" s="36" t="str">
        <x:v>Calgary NE</x:v>
      </x:c>
      <x:c r="F387" s="36" t="str">
        <x:v>Sarah Bouchard</x:v>
      </x:c>
      <x:c r="G387" s="36" t="str">
        <x:v>Civil Works</x:v>
      </x:c>
      <x:c r="H387" s="36" t="str">
        <x:v>Curb &amp; Gutter Concrete</x:v>
      </x:c>
      <x:c r="I387" s="36" t="str">
        <x:v>Ledcor Civil Alberta</x:v>
      </x:c>
      <x:c r="J387" s="36" t="str">
        <x:v>Tender – Open</x:v>
      </x:c>
      <x:c r="K387" s="38" t="n">
        <x:v>108</x:v>
      </x:c>
      <x:c r="L387" s="36" t="str">
        <x:v>m³</x:v>
      </x:c>
      <x:c r="M387" s="39" t="n">
        <x:v>75.84</x:v>
      </x:c>
      <x:c r="N387" s="39" t="n">
        <x:v>90.11</x:v>
      </x:c>
      <x:c r="O387" s="39" t="n">
        <x:v>8190.72</x:v>
      </x:c>
      <x:c r="P387" s="39" t="n">
        <x:v>9731.88</x:v>
      </x:c>
      <x:c r="Q387" s="39" t="n">
        <x:v>-1541.16</x:v>
      </x:c>
      <x:c r="R387" s="40" t="n">
        <x:v>-15.8</x:v>
      </x:c>
      <x:c r="S387" s="41" t="n">
        <x:v>53</x:v>
      </x:c>
      <x:c r="T387" s="36" t="str">
        <x:v>Yes</x:v>
      </x:c>
      <x:c r="U387" s="36" t="str">
        <x:v>Delivered</x:v>
      </x:c>
    </x:row>
    <x:row r="388">
      <x:c r="A388" s="36" t="str">
        <x:v>PO-2025-0387</x:v>
      </x:c>
      <x:c r="B388" s="37" t="n">
        <x:v>45857</x:v>
      </x:c>
      <x:c r="C388" s="36" t="str">
        <x:v>July</x:v>
      </x:c>
      <x:c r="D388" s="36" t="str">
        <x:v>Stampede Park Infrastructure Upgrade</x:v>
      </x:c>
      <x:c r="E388" s="36" t="str">
        <x:v>Calgary NE</x:v>
      </x:c>
      <x:c r="F388" s="36" t="str">
        <x:v>James Okafor</x:v>
      </x:c>
      <x:c r="G388" s="36" t="str">
        <x:v>MEP - Mechanical</x:v>
      </x:c>
      <x:c r="H388" s="36" t="str">
        <x:v>Air Handling Unit</x:v>
      </x:c>
      <x:c r="I388" s="36" t="str">
        <x:v>Johnson Controls Alberta</x:v>
      </x:c>
      <x:c r="J388" s="36" t="str">
        <x:v>Standing Offer Agreement</x:v>
      </x:c>
      <x:c r="K388" s="38" t="n">
        <x:v>98</x:v>
      </x:c>
      <x:c r="L388" s="36" t="str">
        <x:v>lot</x:v>
      </x:c>
      <x:c r="M388" s="39" t="n">
        <x:v>73393.4</x:v>
      </x:c>
      <x:c r="N388" s="39" t="n">
        <x:v>75339.88</x:v>
      </x:c>
      <x:c r="O388" s="39" t="n">
        <x:v>7192553.2</x:v>
      </x:c>
      <x:c r="P388" s="39" t="n">
        <x:v>7383308.24</x:v>
      </x:c>
      <x:c r="Q388" s="39" t="n">
        <x:v>-190755.04</x:v>
      </x:c>
      <x:c r="R388" s="40" t="n">
        <x:v>-2.6</x:v>
      </x:c>
      <x:c r="S388" s="41" t="n">
        <x:v>24</x:v>
      </x:c>
      <x:c r="T388" s="36" t="str">
        <x:v>No</x:v>
      </x:c>
      <x:c r="U388" s="36" t="str">
        <x:v>Delivered</x:v>
      </x:c>
    </x:row>
    <x:row r="389">
      <x:c r="A389" s="36" t="str">
        <x:v>PO-2025-0388</x:v>
      </x:c>
      <x:c r="B389" s="37" t="n">
        <x:v>45789</x:v>
      </x:c>
      <x:c r="C389" s="36" t="str">
        <x:v>May</x:v>
      </x:c>
      <x:c r="D389" s="36" t="str">
        <x:v>Calgary SE Ring Road Extension</x:v>
      </x:c>
      <x:c r="E389" s="36" t="str">
        <x:v>Calgary NE</x:v>
      </x:c>
      <x:c r="F389" s="36" t="str">
        <x:v>Aisha Nkosi</x:v>
      </x:c>
      <x:c r="G389" s="36" t="str">
        <x:v>Finishing</x:v>
      </x:c>
      <x:c r="H389" s="36" t="str">
        <x:v>Waterproofing Membrane</x:v>
      </x:c>
      <x:c r="I389" s="36" t="str">
        <x:v>Dryvit Systems Canada</x:v>
      </x:c>
      <x:c r="J389" s="36" t="str">
        <x:v>LPO – Direct Award</x:v>
      </x:c>
      <x:c r="K389" s="38" t="n">
        <x:v>58</x:v>
      </x:c>
      <x:c r="L389" s="36" t="str">
        <x:v>m²</x:v>
      </x:c>
      <x:c r="M389" s="39" t="n">
        <x:v>244.73</x:v>
      </x:c>
      <x:c r="N389" s="39" t="n">
        <x:v>227.14</x:v>
      </x:c>
      <x:c r="O389" s="39" t="n">
        <x:v>14194.34</x:v>
      </x:c>
      <x:c r="P389" s="39" t="n">
        <x:v>13174.12</x:v>
      </x:c>
      <x:c r="Q389" s="39" t="n">
        <x:v>1020.22</x:v>
      </x:c>
      <x:c r="R389" s="40" t="n">
        <x:v>7.7</x:v>
      </x:c>
      <x:c r="S389" s="41" t="n">
        <x:v>46</x:v>
      </x:c>
      <x:c r="T389" s="36" t="str">
        <x:v>Yes</x:v>
      </x:c>
      <x:c r="U389" s="36" t="str">
        <x:v>Delivered</x:v>
      </x:c>
    </x:row>
    <x:row r="390">
      <x:c r="A390" s="36" t="str">
        <x:v>PO-2025-0389</x:v>
      </x:c>
      <x:c r="B390" s="37" t="n">
        <x:v>45797</x:v>
      </x:c>
      <x:c r="C390" s="36" t="str">
        <x:v>May</x:v>
      </x:c>
      <x:c r="D390" s="36" t="str">
        <x:v>Stampede Park Infrastructure Upgrade</x:v>
      </x:c>
      <x:c r="E390" s="36" t="str">
        <x:v>Rocky View County</x:v>
      </x:c>
      <x:c r="F390" s="36" t="str">
        <x:v>Aisha Nkosi</x:v>
      </x:c>
      <x:c r="G390" s="36" t="str">
        <x:v>MEP - Electrical</x:v>
      </x:c>
      <x:c r="H390" s="36" t="str">
        <x:v>MV Distribution Cable</x:v>
      </x:c>
      <x:c r="I390" s="36" t="str">
        <x:v>Stuart Olson Electrical</x:v>
      </x:c>
      <x:c r="J390" s="36" t="str">
        <x:v>Emergency Procurement</x:v>
      </x:c>
      <x:c r="K390" s="38" t="n">
        <x:v>85</x:v>
      </x:c>
      <x:c r="L390" s="36" t="str">
        <x:v>lot</x:v>
      </x:c>
      <x:c r="M390" s="39" t="n">
        <x:v>83738.55</x:v>
      </x:c>
      <x:c r="N390" s="39" t="n">
        <x:v>89776.42</x:v>
      </x:c>
      <x:c r="O390" s="39" t="n">
        <x:v>7117776.75</x:v>
      </x:c>
      <x:c r="P390" s="39" t="n">
        <x:v>7630995.7</x:v>
      </x:c>
      <x:c r="Q390" s="39" t="n">
        <x:v>-513218.95</x:v>
      </x:c>
      <x:c r="R390" s="40" t="n">
        <x:v>-6.7</x:v>
      </x:c>
      <x:c r="S390" s="41" t="n">
        <x:v>71</x:v>
      </x:c>
      <x:c r="T390" s="36" t="str">
        <x:v>Yes</x:v>
      </x:c>
      <x:c r="U390" s="36" t="str">
        <x:v>Delivered</x:v>
      </x:c>
    </x:row>
    <x:row r="391">
      <x:c r="A391" s="36" t="str">
        <x:v>PO-2025-0390</x:v>
      </x:c>
      <x:c r="B391" s="37" t="n">
        <x:v>45882</x:v>
      </x:c>
      <x:c r="C391" s="36" t="str">
        <x:v>August</x:v>
      </x:c>
      <x:c r="D391" s="36" t="str">
        <x:v>Foothills Medical Centre Expansion</x:v>
      </x:c>
      <x:c r="E391" s="36" t="str">
        <x:v>Calgary SE</x:v>
      </x:c>
      <x:c r="F391" s="36" t="str">
        <x:v>Linda Tran</x:v>
      </x:c>
      <x:c r="G391" s="36" t="str">
        <x:v>MEP - Electrical</x:v>
      </x:c>
      <x:c r="H391" s="36" t="str">
        <x:v>LED Site Lighting</x:v>
      </x:c>
      <x:c r="I391" s="36" t="str">
        <x:v>Schneider Electric Canada</x:v>
      </x:c>
      <x:c r="J391" s="36" t="str">
        <x:v>LPO – Direct Award</x:v>
      </x:c>
      <x:c r="K391" s="38" t="n">
        <x:v>86</x:v>
      </x:c>
      <x:c r="L391" s="36" t="str">
        <x:v>lot</x:v>
      </x:c>
      <x:c r="M391" s="39" t="n">
        <x:v>83610.45</x:v>
      </x:c>
      <x:c r="N391" s="39" t="n">
        <x:v>95855.93</x:v>
      </x:c>
      <x:c r="O391" s="39" t="n">
        <x:v>7190498.7</x:v>
      </x:c>
      <x:c r="P391" s="39" t="n">
        <x:v>8243609.98</x:v>
      </x:c>
      <x:c r="Q391" s="39" t="n">
        <x:v>-1053111.28</x:v>
      </x:c>
      <x:c r="R391" s="40" t="n">
        <x:v>-12.8</x:v>
      </x:c>
      <x:c r="S391" s="41" t="n">
        <x:v>21</x:v>
      </x:c>
      <x:c r="T391" s="36" t="str">
        <x:v>Yes</x:v>
      </x:c>
      <x:c r="U391" s="36" t="str">
        <x:v>Delivered</x:v>
      </x:c>
    </x:row>
    <x:row r="392">
      <x:c r="A392" s="36" t="str">
        <x:v>PO-2025-0391</x:v>
      </x:c>
      <x:c r="B392" s="37" t="n">
        <x:v>45989</x:v>
      </x:c>
      <x:c r="C392" s="36" t="str">
        <x:v>November</x:v>
      </x:c>
      <x:c r="D392" s="36" t="str">
        <x:v>Quarry Park Mixed-Use Development</x:v>
      </x:c>
      <x:c r="E392" s="36" t="str">
        <x:v>Rocky View County</x:v>
      </x:c>
      <x:c r="F392" s="36" t="str">
        <x:v>Sarah Bouchard</x:v>
      </x:c>
      <x:c r="G392" s="36" t="str">
        <x:v>Concrete &amp; Structural</x:v>
      </x:c>
      <x:c r="H392" s="36" t="str">
        <x:v>Rebar Steel</x:v>
      </x:c>
      <x:c r="I392" s="36" t="str">
        <x:v>Evraz Steel Calgary</x:v>
      </x:c>
      <x:c r="J392" s="36" t="str">
        <x:v>LPO – Direct Award</x:v>
      </x:c>
      <x:c r="K392" s="38" t="n">
        <x:v>56</x:v>
      </x:c>
      <x:c r="L392" s="36" t="str">
        <x:v>m³</x:v>
      </x:c>
      <x:c r="M392" s="39" t="n">
        <x:v>378.81</x:v>
      </x:c>
      <x:c r="N392" s="39" t="n">
        <x:v>333.05</x:v>
      </x:c>
      <x:c r="O392" s="39" t="n">
        <x:v>21213.36</x:v>
      </x:c>
      <x:c r="P392" s="39" t="n">
        <x:v>18650.8</x:v>
      </x:c>
      <x:c r="Q392" s="39" t="n">
        <x:v>2562.56</x:v>
      </x:c>
      <x:c r="R392" s="40" t="n">
        <x:v>13.7</x:v>
      </x:c>
      <x:c r="S392" s="41" t="n">
        <x:v>7</x:v>
      </x:c>
      <x:c r="T392" s="36" t="str">
        <x:v>Yes</x:v>
      </x:c>
      <x:c r="U392" s="36" t="str">
        <x:v>Pending</x:v>
      </x:c>
    </x:row>
    <x:row r="393">
      <x:c r="A393" s="36" t="str">
        <x:v>PO-2025-0392</x:v>
      </x:c>
      <x:c r="B393" s="37" t="n">
        <x:v>45967</x:v>
      </x:c>
      <x:c r="C393" s="36" t="str">
        <x:v>November</x:v>
      </x:c>
      <x:c r="D393" s="36" t="str">
        <x:v>Deerfoot Trail Widening - North</x:v>
      </x:c>
      <x:c r="E393" s="36" t="str">
        <x:v>Calgary NE</x:v>
      </x:c>
      <x:c r="F393" s="36" t="str">
        <x:v>Priya Sharma</x:v>
      </x:c>
      <x:c r="G393" s="36" t="str">
        <x:v>Civil Works</x:v>
      </x:c>
      <x:c r="H393" s="36" t="str">
        <x:v>Storm Drainage Pipe</x:v>
      </x:c>
      <x:c r="I393" s="36" t="str">
        <x:v>EllisDon Civil</x:v>
      </x:c>
      <x:c r="J393" s="36" t="str">
        <x:v>Tender – Open</x:v>
      </x:c>
      <x:c r="K393" s="38" t="n">
        <x:v>72</x:v>
      </x:c>
      <x:c r="L393" s="36" t="str">
        <x:v>m³</x:v>
      </x:c>
      <x:c r="M393" s="39" t="n">
        <x:v>87.77</x:v>
      </x:c>
      <x:c r="N393" s="39" t="n">
        <x:v>80.68</x:v>
      </x:c>
      <x:c r="O393" s="39" t="n">
        <x:v>6319.44</x:v>
      </x:c>
      <x:c r="P393" s="39" t="n">
        <x:v>5808.96</x:v>
      </x:c>
      <x:c r="Q393" s="39" t="n">
        <x:v>510.48</x:v>
      </x:c>
      <x:c r="R393" s="40" t="n">
        <x:v>8.8</x:v>
      </x:c>
      <x:c r="S393" s="41" t="n">
        <x:v>65</x:v>
      </x:c>
      <x:c r="T393" s="36" t="str">
        <x:v>No</x:v>
      </x:c>
      <x:c r="U393" s="36" t="str">
        <x:v>Partially Delivered</x:v>
      </x:c>
    </x:row>
    <x:row r="394">
      <x:c r="A394" s="36" t="str">
        <x:v>PO-2025-0393</x:v>
      </x:c>
      <x:c r="B394" s="37" t="n">
        <x:v>45957</x:v>
      </x:c>
      <x:c r="C394" s="36" t="str">
        <x:v>October</x:v>
      </x:c>
      <x:c r="D394" s="36" t="str">
        <x:v>Quarry Park Mixed-Use Development</x:v>
      </x:c>
      <x:c r="E394" s="36" t="str">
        <x:v>Calgary SW</x:v>
      </x:c>
      <x:c r="F394" s="36" t="str">
        <x:v>Linda Tran</x:v>
      </x:c>
      <x:c r="G394" s="36" t="str">
        <x:v>Finishing</x:v>
      </x:c>
      <x:c r="H394" s="36" t="str">
        <x:v>Exterior Cladding Panel</x:v>
      </x:c>
      <x:c r="I394" s="36" t="str">
        <x:v>Tremco Roofing</x:v>
      </x:c>
      <x:c r="J394" s="36" t="str">
        <x:v>3-Quote Comparison</x:v>
      </x:c>
      <x:c r="K394" s="38" t="n">
        <x:v>65</x:v>
      </x:c>
      <x:c r="L394" s="36" t="str">
        <x:v>m²</x:v>
      </x:c>
      <x:c r="M394" s="39" t="n">
        <x:v>435.83</x:v>
      </x:c>
      <x:c r="N394" s="39" t="n">
        <x:v>496.74</x:v>
      </x:c>
      <x:c r="O394" s="39" t="n">
        <x:v>28328.95</x:v>
      </x:c>
      <x:c r="P394" s="39" t="n">
        <x:v>32288.1</x:v>
      </x:c>
      <x:c r="Q394" s="39" t="n">
        <x:v>-3959.15</x:v>
      </x:c>
      <x:c r="R394" s="40" t="n">
        <x:v>-12.3</x:v>
      </x:c>
      <x:c r="S394" s="41" t="n">
        <x:v>84</x:v>
      </x:c>
      <x:c r="T394" s="36" t="str">
        <x:v>Yes</x:v>
      </x:c>
      <x:c r="U394" s="36" t="str">
        <x:v>Delivered</x:v>
      </x:c>
    </x:row>
    <x:row r="395">
      <x:c r="A395" s="36" t="str">
        <x:v>PO-2025-0394</x:v>
      </x:c>
      <x:c r="B395" s="37" t="n">
        <x:v>45821</x:v>
      </x:c>
      <x:c r="C395" s="36" t="str">
        <x:v>June</x:v>
      </x:c>
      <x:c r="D395" s="36" t="str">
        <x:v>Rocky View Industrial Logistics Hub</x:v>
      </x:c>
      <x:c r="E395" s="36" t="str">
        <x:v>Calgary NE</x:v>
      </x:c>
      <x:c r="F395" s="36" t="str">
        <x:v>James Okafor</x:v>
      </x:c>
      <x:c r="G395" s="36" t="str">
        <x:v>MEP - Electrical</x:v>
      </x:c>
      <x:c r="H395" s="36" t="str">
        <x:v>LED Site Lighting</x:v>
      </x:c>
      <x:c r="I395" s="36" t="str">
        <x:v>Houle Electric</x:v>
      </x:c>
      <x:c r="J395" s="36" t="str">
        <x:v>3-Quote Comparison</x:v>
      </x:c>
      <x:c r="K395" s="38" t="n">
        <x:v>87</x:v>
      </x:c>
      <x:c r="L395" s="36" t="str">
        <x:v>lot</x:v>
      </x:c>
      <x:c r="M395" s="39" t="n">
        <x:v>82895.29</x:v>
      </x:c>
      <x:c r="N395" s="39" t="n">
        <x:v>91792.78</x:v>
      </x:c>
      <x:c r="O395" s="39" t="n">
        <x:v>7211890.23</x:v>
      </x:c>
      <x:c r="P395" s="39" t="n">
        <x:v>7985971.86</x:v>
      </x:c>
      <x:c r="Q395" s="39" t="n">
        <x:v>-774081.63</x:v>
      </x:c>
      <x:c r="R395" s="40" t="n">
        <x:v>-9.7</x:v>
      </x:c>
      <x:c r="S395" s="41" t="n">
        <x:v>53</x:v>
      </x:c>
      <x:c r="T395" s="36" t="str">
        <x:v>Yes</x:v>
      </x:c>
      <x:c r="U395" s="36" t="str">
        <x:v>Pending</x:v>
      </x:c>
    </x:row>
    <x:row r="396">
      <x:c r="A396" s="36" t="str">
        <x:v>PO-2025-0395</x:v>
      </x:c>
      <x:c r="B396" s="37" t="n">
        <x:v>45930</x:v>
      </x:c>
      <x:c r="C396" s="36" t="str">
        <x:v>September</x:v>
      </x:c>
      <x:c r="D396" s="36" t="str">
        <x:v>Stampede Park Infrastructure Upgrade</x:v>
      </x:c>
      <x:c r="E396" s="36" t="str">
        <x:v>Calgary SE</x:v>
      </x:c>
      <x:c r="F396" s="36" t="str">
        <x:v>Sarah Bouchard</x:v>
      </x:c>
      <x:c r="G396" s="36" t="str">
        <x:v>MEP - Electrical</x:v>
      </x:c>
      <x:c r="H396" s="36" t="str">
        <x:v>LED Site Lighting</x:v>
      </x:c>
      <x:c r="I396" s="36" t="str">
        <x:v>Schneider Electric Canada</x:v>
      </x:c>
      <x:c r="J396" s="36" t="str">
        <x:v>LPO – Direct Award</x:v>
      </x:c>
      <x:c r="K396" s="38" t="n">
        <x:v>42</x:v>
      </x:c>
      <x:c r="L396" s="36" t="str">
        <x:v>lot</x:v>
      </x:c>
      <x:c r="M396" s="39" t="n">
        <x:v>35989.63</x:v>
      </x:c>
      <x:c r="N396" s="39" t="n">
        <x:v>35027.65</x:v>
      </x:c>
      <x:c r="O396" s="39" t="n">
        <x:v>1511564.46</x:v>
      </x:c>
      <x:c r="P396" s="39" t="n">
        <x:v>1471161.3</x:v>
      </x:c>
      <x:c r="Q396" s="39" t="n">
        <x:v>40403.16</x:v>
      </x:c>
      <x:c r="R396" s="40" t="n">
        <x:v>2.7</x:v>
      </x:c>
      <x:c r="S396" s="41" t="n">
        <x:v>5</x:v>
      </x:c>
      <x:c r="T396" s="36" t="str">
        <x:v>Yes</x:v>
      </x:c>
      <x:c r="U396" s="36" t="str">
        <x:v>Delivered</x:v>
      </x:c>
    </x:row>
    <x:row r="397">
      <x:c r="A397" s="36" t="str">
        <x:v>PO-2025-0396</x:v>
      </x:c>
      <x:c r="B397" s="37" t="n">
        <x:v>45852</x:v>
      </x:c>
      <x:c r="C397" s="36" t="str">
        <x:v>July</x:v>
      </x:c>
      <x:c r="D397" s="36" t="str">
        <x:v>Deerfoot Trail Widening - North</x:v>
      </x:c>
      <x:c r="E397" s="36" t="str">
        <x:v>Calgary SW</x:v>
      </x:c>
      <x:c r="F397" s="36" t="str">
        <x:v>Aisha Nkosi</x:v>
      </x:c>
      <x:c r="G397" s="36" t="str">
        <x:v>Civil Works</x:v>
      </x:c>
      <x:c r="H397" s="36" t="str">
        <x:v>Bulk Excavation</x:v>
      </x:c>
      <x:c r="I397" s="36" t="str">
        <x:v>Kiewit Infrastructure</x:v>
      </x:c>
      <x:c r="J397" s="36" t="str">
        <x:v>LPO – Direct Award</x:v>
      </x:c>
      <x:c r="K397" s="38" t="n">
        <x:v>4</x:v>
      </x:c>
      <x:c r="L397" s="36" t="str">
        <x:v>m³</x:v>
      </x:c>
      <x:c r="M397" s="39" t="n">
        <x:v>220.06</x:v>
      </x:c>
      <x:c r="N397" s="39" t="n">
        <x:v>268.74</x:v>
      </x:c>
      <x:c r="O397" s="39" t="n">
        <x:v>880.24</x:v>
      </x:c>
      <x:c r="P397" s="39" t="n">
        <x:v>1074.96</x:v>
      </x:c>
      <x:c r="Q397" s="39" t="n">
        <x:v>-194.72</x:v>
      </x:c>
      <x:c r="R397" s="40" t="n">
        <x:v>-18.1</x:v>
      </x:c>
      <x:c r="S397" s="41" t="n">
        <x:v>47</x:v>
      </x:c>
      <x:c r="T397" s="36" t="str">
        <x:v>No</x:v>
      </x:c>
      <x:c r="U397" s="36" t="str">
        <x:v>Pending</x:v>
      </x:c>
    </x:row>
    <x:row r="398">
      <x:c r="A398" s="36" t="str">
        <x:v>PO-2025-0397</x:v>
      </x:c>
      <x:c r="B398" s="37" t="n">
        <x:v>45698</x:v>
      </x:c>
      <x:c r="C398" s="36" t="str">
        <x:v>February</x:v>
      </x:c>
      <x:c r="D398" s="36" t="str">
        <x:v>Calgary SE Ring Road Extension</x:v>
      </x:c>
      <x:c r="E398" s="36" t="str">
        <x:v>Calgary NE</x:v>
      </x:c>
      <x:c r="F398" s="36" t="str">
        <x:v>Priya Sharma</x:v>
      </x:c>
      <x:c r="G398" s="36" t="str">
        <x:v>Civil Works</x:v>
      </x:c>
      <x:c r="H398" s="36" t="str">
        <x:v>Granular Backfill</x:v>
      </x:c>
      <x:c r="I398" s="36" t="str">
        <x:v>Kiewit Infrastructure</x:v>
      </x:c>
      <x:c r="J398" s="36" t="str">
        <x:v>Tender – Open</x:v>
      </x:c>
      <x:c r="K398" s="38" t="n">
        <x:v>65</x:v>
      </x:c>
      <x:c r="L398" s="36" t="str">
        <x:v>m³</x:v>
      </x:c>
      <x:c r="M398" s="39" t="n">
        <x:v>253.19</x:v>
      </x:c>
      <x:c r="N398" s="39" t="n">
        <x:v>224.71</x:v>
      </x:c>
      <x:c r="O398" s="39" t="n">
        <x:v>16457.35</x:v>
      </x:c>
      <x:c r="P398" s="39" t="n">
        <x:v>14606.15</x:v>
      </x:c>
      <x:c r="Q398" s="39" t="n">
        <x:v>1851.2</x:v>
      </x:c>
      <x:c r="R398" s="40" t="n">
        <x:v>12.7</x:v>
      </x:c>
      <x:c r="S398" s="41" t="n">
        <x:v>31</x:v>
      </x:c>
      <x:c r="T398" s="36" t="str">
        <x:v>Yes</x:v>
      </x:c>
      <x:c r="U398" s="36" t="str">
        <x:v>Pending</x:v>
      </x:c>
    </x:row>
    <x:row r="399">
      <x:c r="A399" s="36" t="str">
        <x:v>PO-2025-0398</x:v>
      </x:c>
      <x:c r="B399" s="37" t="n">
        <x:v>45745</x:v>
      </x:c>
      <x:c r="C399" s="36" t="str">
        <x:v>March</x:v>
      </x:c>
      <x:c r="D399" s="36" t="str">
        <x:v>Springbank Off-Stream Reservoir</x:v>
      </x:c>
      <x:c r="E399" s="36" t="str">
        <x:v>Calgary SW</x:v>
      </x:c>
      <x:c r="F399" s="36" t="str">
        <x:v>Derek McLean</x:v>
      </x:c>
      <x:c r="G399" s="36" t="str">
        <x:v>Finishing</x:v>
      </x:c>
      <x:c r="H399" s="36" t="str">
        <x:v>Ceramic Floor Tile</x:v>
      </x:c>
      <x:c r="I399" s="36" t="str">
        <x:v>Dryvit Systems Canada</x:v>
      </x:c>
      <x:c r="J399" s="36" t="str">
        <x:v>Standing Offer Agreement</x:v>
      </x:c>
      <x:c r="K399" s="38" t="n">
        <x:v>79</x:v>
      </x:c>
      <x:c r="L399" s="36" t="str">
        <x:v>m²</x:v>
      </x:c>
      <x:c r="M399" s="39" t="n">
        <x:v>175.58</x:v>
      </x:c>
      <x:c r="N399" s="39" t="n">
        <x:v>154.26</x:v>
      </x:c>
      <x:c r="O399" s="39" t="n">
        <x:v>13870.82</x:v>
      </x:c>
      <x:c r="P399" s="39" t="n">
        <x:v>12186.54</x:v>
      </x:c>
      <x:c r="Q399" s="39" t="n">
        <x:v>1684.28</x:v>
      </x:c>
      <x:c r="R399" s="40" t="n">
        <x:v>13.8</x:v>
      </x:c>
      <x:c r="S399" s="41" t="n">
        <x:v>18</x:v>
      </x:c>
      <x:c r="T399" s="36" t="str">
        <x:v>No</x:v>
      </x:c>
      <x:c r="U399" s="36" t="str">
        <x:v>Delivered</x:v>
      </x:c>
    </x:row>
    <x:row r="400">
      <x:c r="A400" s="36" t="str">
        <x:v>PO-2025-0399</x:v>
      </x:c>
      <x:c r="B400" s="37" t="n">
        <x:v>45900</x:v>
      </x:c>
      <x:c r="C400" s="36" t="str">
        <x:v>August</x:v>
      </x:c>
      <x:c r="D400" s="36" t="str">
        <x:v>University District Residential Phase 3</x:v>
      </x:c>
      <x:c r="E400" s="36" t="str">
        <x:v>Calgary SW</x:v>
      </x:c>
      <x:c r="F400" s="36" t="str">
        <x:v>Derek McLean</x:v>
      </x:c>
      <x:c r="G400" s="36" t="str">
        <x:v>MEP - Mechanical</x:v>
      </x:c>
      <x:c r="H400" s="36" t="str">
        <x:v>Insulated Pipework</x:v>
      </x:c>
      <x:c r="I400" s="36" t="str">
        <x:v>Ainsworth Inc.</x:v>
      </x:c>
      <x:c r="J400" s="36" t="str">
        <x:v>3-Quote Comparison</x:v>
      </x:c>
      <x:c r="K400" s="38" t="n">
        <x:v>18</x:v>
      </x:c>
      <x:c r="L400" s="36" t="str">
        <x:v>lot</x:v>
      </x:c>
      <x:c r="M400" s="39" t="n">
        <x:v>37874.89</x:v>
      </x:c>
      <x:c r="N400" s="39" t="n">
        <x:v>40612.06</x:v>
      </x:c>
      <x:c r="O400" s="39" t="n">
        <x:v>681748.02</x:v>
      </x:c>
      <x:c r="P400" s="39" t="n">
        <x:v>731017.08</x:v>
      </x:c>
      <x:c r="Q400" s="39" t="n">
        <x:v>-49269.06</x:v>
      </x:c>
      <x:c r="R400" s="40" t="n">
        <x:v>-6.7</x:v>
      </x:c>
      <x:c r="S400" s="41" t="n">
        <x:v>51</x:v>
      </x:c>
      <x:c r="T400" s="36" t="str">
        <x:v>No</x:v>
      </x:c>
      <x:c r="U400" s="36" t="str">
        <x:v>Partially Delivered</x:v>
      </x:c>
    </x:row>
    <x:row r="401">
      <x:c r="A401" s="42" t="str">
        <x:v>PO-2025-0400</x:v>
      </x:c>
      <x:c r="B401" s="43" t="n">
        <x:v>45696</x:v>
      </x:c>
      <x:c r="C401" s="42" t="str">
        <x:v>February</x:v>
      </x:c>
      <x:c r="D401" s="42" t="str">
        <x:v>Calgary SE Ring Road Extension</x:v>
      </x:c>
      <x:c r="E401" s="42" t="str">
        <x:v>Rocky View County</x:v>
      </x:c>
      <x:c r="F401" s="42" t="str">
        <x:v>Aisha Nkosi</x:v>
      </x:c>
      <x:c r="G401" s="42" t="str">
        <x:v>Safety &amp; Temp Works</x:v>
      </x:c>
      <x:c r="H401" s="42" t="str">
        <x:v>Fall Protection Netting</x:v>
      </x:c>
      <x:c r="I401" s="42" t="str">
        <x:v>BrandSafway Canada</x:v>
      </x:c>
      <x:c r="J401" s="42" t="str">
        <x:v>3-Quote Comparison</x:v>
      </x:c>
      <x:c r="K401" s="44" t="n">
        <x:v>19</x:v>
      </x:c>
      <x:c r="L401" s="42" t="str">
        <x:v>lot</x:v>
      </x:c>
      <x:c r="M401" s="45" t="n">
        <x:v>8278.85</x:v>
      </x:c>
      <x:c r="N401" s="45" t="n">
        <x:v>7165.64</x:v>
      </x:c>
      <x:c r="O401" s="45" t="n">
        <x:v>157298.15</x:v>
      </x:c>
      <x:c r="P401" s="45" t="n">
        <x:v>136147.16</x:v>
      </x:c>
      <x:c r="Q401" s="45" t="n">
        <x:v>21150.99</x:v>
      </x:c>
      <x:c r="R401" s="46" t="n">
        <x:v>15.5</x:v>
      </x:c>
      <x:c r="S401" s="47" t="n">
        <x:v>69</x:v>
      </x:c>
      <x:c r="T401" s="42" t="str">
        <x:v>Yes</x:v>
      </x:c>
      <x:c r="U401" s="42" t="str">
        <x:v>Delivered</x:v>
      </x:c>
    </x:row>
  </x:sheetData>
  <x:conditionalFormatting sqref="Q2:Q401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9446e8553240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8" hidden="0" customWidth="1"/>
    <x:col min="5" max="5" width="10" hidden="0" customWidth="1"/>
    <x:col min="6" max="6" width="22" hidden="0" customWidth="1"/>
    <x:col min="7" max="7" width="22" hidden="0" customWidth="1"/>
    <x:col min="8" max="8" width="22" hidden="0" customWidth="1"/>
    <x:col min="9" max="9" width="24" hidden="0" customWidth="1"/>
    <x:col min="10" max="10" width="66" hidden="0" customWidth="1"/>
    <x:col min="11" max="11" width="38" hidden="0" customWidth="1"/>
    <x:col min="12" max="12" width="18" hidden="0" customWidth="1"/>
    <x:col min="13" max="13" width="20" hidden="0" customWidth="1"/>
  </x:cols>
  <x:sheetData>
    <x:row r="1" ht="30" customHeight="1">
      <x:c r="A1" s="53" t="str">
        <x:v>Audit_ID</x:v>
      </x:c>
      <x:c r="B1" s="53" t="str">
        <x:v>Excel_Row</x:v>
      </x:c>
      <x:c r="C1" s="53" t="str">
        <x:v>Original_PO_Number</x:v>
      </x:c>
      <x:c r="D1" s="53" t="str">
        <x:v>Cleaned_PO_Number</x:v>
      </x:c>
      <x:c r="E1" s="53" t="str">
        <x:v>Cell</x:v>
      </x:c>
      <x:c r="F1" s="53" t="str">
        <x:v>Column</x:v>
      </x:c>
      <x:c r="G1" s="53" t="str">
        <x:v>Original_Value</x:v>
      </x:c>
      <x:c r="H1" s="53" t="str">
        <x:v>Cleaned_Value</x:v>
      </x:c>
      <x:c r="I1" s="53" t="str">
        <x:v>Action_Type</x:v>
      </x:c>
      <x:c r="J1" s="53" t="str">
        <x:v>Justification</x:v>
      </x:c>
      <x:c r="K1" s="53" t="str">
        <x:v>Validation_Result</x:v>
      </x:c>
      <x:c r="L1" s="53" t="str">
        <x:v>Confidence_Level</x:v>
      </x:c>
      <x:c r="M1" s="53" t="str">
        <x:v>Approval_Status</x:v>
      </x:c>
    </x:row>
    <x:row r="2">
      <x:c r="A2" s="63" t="str">
        <x:v>AUD-0001</x:v>
      </x:c>
      <x:c r="B2" s="63" t="n">
        <x:v>2</x:v>
      </x:c>
      <x:c r="C2" s="63" t="str">
        <x:v>PO-2025-0001</x:v>
      </x:c>
      <x:c r="D2" s="63" t="str">
        <x:v>PO-2025-0001</x:v>
      </x:c>
      <x:c r="E2" s="63" t="str">
        <x:v>B2</x:v>
      </x:c>
      <x:c r="F2" s="63" t="str">
        <x:v>PO_Date</x:v>
      </x:c>
      <x:c r="G2" s="63" t="str">
        <x:v>20/08/2025</x:v>
      </x:c>
      <x:c r="H2" s="63" t="str">
        <x:v>2025-08-20</x:v>
      </x:c>
      <x:c r="I2" s="63" t="str">
        <x:v>standardization</x:v>
      </x:c>
      <x:c r="J2" s="63" t="str">
        <x:v>Converted the source text date to a true spreadsheet date and standardized its display without changing the calendar date.</x:v>
      </x:c>
      <x:c r="K2" s="63" t="str">
        <x:v>PASS — parsed source date equals cleaned date</x:v>
      </x:c>
      <x:c r="L2" s="63" t="str">
        <x:v>High</x:v>
      </x:c>
      <x:c r="M2" s="63" t="str">
        <x:v>Instructor Approved</x:v>
      </x:c>
    </x:row>
    <x:row r="3">
      <x:c r="A3" s="64" t="str">
        <x:v>AUD-0002</x:v>
      </x:c>
      <x:c r="B3" s="64" t="n">
        <x:v>3</x:v>
      </x:c>
      <x:c r="C3" s="64" t="str">
        <x:v>PO-2025-0002</x:v>
      </x:c>
      <x:c r="D3" s="64" t="str">
        <x:v>PO-2025-0002</x:v>
      </x:c>
      <x:c r="E3" s="64" t="str">
        <x:v>B3</x:v>
      </x:c>
      <x:c r="F3" s="64" t="str">
        <x:v>PO_Date</x:v>
      </x:c>
      <x:c r="G3" s="64" t="str">
        <x:v>16/02/2025</x:v>
      </x:c>
      <x:c r="H3" s="64" t="str">
        <x:v>2025-02-16</x:v>
      </x:c>
      <x:c r="I3" s="64" t="str">
        <x:v>standardization</x:v>
      </x:c>
      <x:c r="J3" s="64" t="str">
        <x:v>Converted the source text date to a true spreadsheet date and standardized its display without changing the calendar date.</x:v>
      </x:c>
      <x:c r="K3" s="64" t="str">
        <x:v>PASS — parsed source date equals cleaned date</x:v>
      </x:c>
      <x:c r="L3" s="64" t="str">
        <x:v>High</x:v>
      </x:c>
      <x:c r="M3" s="64" t="str">
        <x:v>Instructor Approved</x:v>
      </x:c>
    </x:row>
    <x:row r="4">
      <x:c r="A4" s="64" t="str">
        <x:v>AUD-0003</x:v>
      </x:c>
      <x:c r="B4" s="64" t="n">
        <x:v>4</x:v>
      </x:c>
      <x:c r="C4" s="64" t="str">
        <x:v>PO-2025-0003</x:v>
      </x:c>
      <x:c r="D4" s="64" t="str">
        <x:v>PO-2025-0003</x:v>
      </x:c>
      <x:c r="E4" s="64" t="str">
        <x:v>B4</x:v>
      </x:c>
      <x:c r="F4" s="64" t="str">
        <x:v>PO_Date</x:v>
      </x:c>
      <x:c r="G4" s="64" t="str">
        <x:v>04/11/2025</x:v>
      </x:c>
      <x:c r="H4" s="64" t="str">
        <x:v>2025-11-04</x:v>
      </x:c>
      <x:c r="I4" s="64" t="str">
        <x:v>standardization</x:v>
      </x:c>
      <x:c r="J4" s="64" t="str">
        <x:v>Converted the source text date to a true spreadsheet date and standardized its display without changing the calendar date.</x:v>
      </x:c>
      <x:c r="K4" s="64" t="str">
        <x:v>PASS — parsed source date equals cleaned date</x:v>
      </x:c>
      <x:c r="L4" s="64" t="str">
        <x:v>High</x:v>
      </x:c>
      <x:c r="M4" s="64" t="str">
        <x:v>Instructor Approved</x:v>
      </x:c>
    </x:row>
    <x:row r="5">
      <x:c r="A5" s="64" t="str">
        <x:v>AUD-0004</x:v>
      </x:c>
      <x:c r="B5" s="64" t="n">
        <x:v>5</x:v>
      </x:c>
      <x:c r="C5" s="64" t="str">
        <x:v>PO-2025-0004</x:v>
      </x:c>
      <x:c r="D5" s="64" t="str">
        <x:v>PO-2025-0004</x:v>
      </x:c>
      <x:c r="E5" s="64" t="str">
        <x:v>B5</x:v>
      </x:c>
      <x:c r="F5" s="64" t="str">
        <x:v>PO_Date</x:v>
      </x:c>
      <x:c r="G5" s="64" t="str">
        <x:v>12/02/2025</x:v>
      </x:c>
      <x:c r="H5" s="64" t="str">
        <x:v>2025-02-12</x:v>
      </x:c>
      <x:c r="I5" s="64" t="str">
        <x:v>standardization</x:v>
      </x:c>
      <x:c r="J5" s="64" t="str">
        <x:v>Converted the source text date to a true spreadsheet date and standardized its display without changing the calendar date.</x:v>
      </x:c>
      <x:c r="K5" s="64" t="str">
        <x:v>PASS — parsed source date equals cleaned date</x:v>
      </x:c>
      <x:c r="L5" s="64" t="str">
        <x:v>High</x:v>
      </x:c>
      <x:c r="M5" s="64" t="str">
        <x:v>Instructor Approved</x:v>
      </x:c>
    </x:row>
    <x:row r="6">
      <x:c r="A6" s="64" t="str">
        <x:v>AUD-0005</x:v>
      </x:c>
      <x:c r="B6" s="64" t="n">
        <x:v>6</x:v>
      </x:c>
      <x:c r="C6" s="64" t="str">
        <x:v>PO-2025-0005</x:v>
      </x:c>
      <x:c r="D6" s="64" t="str">
        <x:v>PO-2025-0005</x:v>
      </x:c>
      <x:c r="E6" s="64" t="str">
        <x:v>B6</x:v>
      </x:c>
      <x:c r="F6" s="64" t="str">
        <x:v>PO_Date</x:v>
      </x:c>
      <x:c r="G6" s="64" t="str">
        <x:v>01/01/2025</x:v>
      </x:c>
      <x:c r="H6" s="64" t="str">
        <x:v>2025-01-01</x:v>
      </x:c>
      <x:c r="I6" s="64" t="str">
        <x:v>standardization</x:v>
      </x:c>
      <x:c r="J6" s="64" t="str">
        <x:v>Converted the source text date to a true spreadsheet date and standardized its display without changing the calendar date.</x:v>
      </x:c>
      <x:c r="K6" s="64" t="str">
        <x:v>PASS — parsed source date equals cleaned date</x:v>
      </x:c>
      <x:c r="L6" s="64" t="str">
        <x:v>High</x:v>
      </x:c>
      <x:c r="M6" s="64" t="str">
        <x:v>Instructor Approved</x:v>
      </x:c>
    </x:row>
    <x:row r="7">
      <x:c r="A7" s="64" t="str">
        <x:v>AUD-0006</x:v>
      </x:c>
      <x:c r="B7" s="64" t="n">
        <x:v>7</x:v>
      </x:c>
      <x:c r="C7" s="64" t="str">
        <x:v>PO-2025-0006</x:v>
      </x:c>
      <x:c r="D7" s="64" t="str">
        <x:v>PO-2025-0006</x:v>
      </x:c>
      <x:c r="E7" s="64" t="str">
        <x:v>B7</x:v>
      </x:c>
      <x:c r="F7" s="64" t="str">
        <x:v>PO_Date</x:v>
      </x:c>
      <x:c r="G7" s="64" t="str">
        <x:v>20/06/2025</x:v>
      </x:c>
      <x:c r="H7" s="64" t="str">
        <x:v>2025-06-20</x:v>
      </x:c>
      <x:c r="I7" s="64" t="str">
        <x:v>standardization</x:v>
      </x:c>
      <x:c r="J7" s="64" t="str">
        <x:v>Converted the source text date to a true spreadsheet date and standardized its display without changing the calendar date.</x:v>
      </x:c>
      <x:c r="K7" s="64" t="str">
        <x:v>PASS — parsed source date equals cleaned date</x:v>
      </x:c>
      <x:c r="L7" s="64" t="str">
        <x:v>High</x:v>
      </x:c>
      <x:c r="M7" s="64" t="str">
        <x:v>Instructor Approved</x:v>
      </x:c>
    </x:row>
    <x:row r="8">
      <x:c r="A8" s="64" t="str">
        <x:v>AUD-0007</x:v>
      </x:c>
      <x:c r="B8" s="64" t="n">
        <x:v>8</x:v>
      </x:c>
      <x:c r="C8" s="64" t="str">
        <x:v>PO-2025-0007</x:v>
      </x:c>
      <x:c r="D8" s="64" t="str">
        <x:v>PO-2025-0007</x:v>
      </x:c>
      <x:c r="E8" s="64" t="str">
        <x:v>B8</x:v>
      </x:c>
      <x:c r="F8" s="64" t="str">
        <x:v>PO_Date</x:v>
      </x:c>
      <x:c r="G8" s="64" t="str">
        <x:v>08/04/2025</x:v>
      </x:c>
      <x:c r="H8" s="64" t="str">
        <x:v>2025-04-08</x:v>
      </x:c>
      <x:c r="I8" s="64" t="str">
        <x:v>standardization</x:v>
      </x:c>
      <x:c r="J8" s="64" t="str">
        <x:v>Converted the source text date to a true spreadsheet date and standardized its display without changing the calendar date.</x:v>
      </x:c>
      <x:c r="K8" s="64" t="str">
        <x:v>PASS — parsed source date equals cleaned date</x:v>
      </x:c>
      <x:c r="L8" s="64" t="str">
        <x:v>High</x:v>
      </x:c>
      <x:c r="M8" s="64" t="str">
        <x:v>Instructor Approved</x:v>
      </x:c>
    </x:row>
    <x:row r="9">
      <x:c r="A9" s="64" t="str">
        <x:v>AUD-0008</x:v>
      </x:c>
      <x:c r="B9" s="64" t="n">
        <x:v>9</x:v>
      </x:c>
      <x:c r="C9" s="64" t="str">
        <x:v>PO-2025-0008</x:v>
      </x:c>
      <x:c r="D9" s="64" t="str">
        <x:v>PO-2025-0008</x:v>
      </x:c>
      <x:c r="E9" s="64" t="str">
        <x:v>B9</x:v>
      </x:c>
      <x:c r="F9" s="64" t="str">
        <x:v>PO_Date</x:v>
      </x:c>
      <x:c r="G9" s="64" t="str">
        <x:v>18/04/2025</x:v>
      </x:c>
      <x:c r="H9" s="64" t="str">
        <x:v>2025-04-18</x:v>
      </x:c>
      <x:c r="I9" s="64" t="str">
        <x:v>standardization</x:v>
      </x:c>
      <x:c r="J9" s="64" t="str">
        <x:v>Converted the source text date to a true spreadsheet date and standardized its display without changing the calendar date.</x:v>
      </x:c>
      <x:c r="K9" s="64" t="str">
        <x:v>PASS — parsed source date equals cleaned date</x:v>
      </x:c>
      <x:c r="L9" s="64" t="str">
        <x:v>High</x:v>
      </x:c>
      <x:c r="M9" s="64" t="str">
        <x:v>Instructor Approved</x:v>
      </x:c>
    </x:row>
    <x:row r="10">
      <x:c r="A10" s="64" t="str">
        <x:v>AUD-0009</x:v>
      </x:c>
      <x:c r="B10" s="64" t="n">
        <x:v>10</x:v>
      </x:c>
      <x:c r="C10" s="64" t="str">
        <x:v>PO-2025-0009</x:v>
      </x:c>
      <x:c r="D10" s="64" t="str">
        <x:v>PO-2025-0009</x:v>
      </x:c>
      <x:c r="E10" s="64" t="str">
        <x:v>B10</x:v>
      </x:c>
      <x:c r="F10" s="64" t="str">
        <x:v>PO_Date</x:v>
      </x:c>
      <x:c r="G10" s="64" t="str">
        <x:v>17/07/2025</x:v>
      </x:c>
      <x:c r="H10" s="64" t="str">
        <x:v>2025-07-17</x:v>
      </x:c>
      <x:c r="I10" s="64" t="str">
        <x:v>standardization</x:v>
      </x:c>
      <x:c r="J10" s="64" t="str">
        <x:v>Converted the source text date to a true spreadsheet date and standardized its display without changing the calendar date.</x:v>
      </x:c>
      <x:c r="K10" s="64" t="str">
        <x:v>PASS — parsed source date equals cleaned date</x:v>
      </x:c>
      <x:c r="L10" s="64" t="str">
        <x:v>High</x:v>
      </x:c>
      <x:c r="M10" s="64" t="str">
        <x:v>Instructor Approved</x:v>
      </x:c>
    </x:row>
    <x:row r="11">
      <x:c r="A11" s="64" t="str">
        <x:v>AUD-0010</x:v>
      </x:c>
      <x:c r="B11" s="64" t="n">
        <x:v>11</x:v>
      </x:c>
      <x:c r="C11" s="64" t="str">
        <x:v>PO-2025-0010</x:v>
      </x:c>
      <x:c r="D11" s="64" t="str">
        <x:v>PO-2025-0010</x:v>
      </x:c>
      <x:c r="E11" s="64" t="str">
        <x:v>B11</x:v>
      </x:c>
      <x:c r="F11" s="64" t="str">
        <x:v>PO_Date</x:v>
      </x:c>
      <x:c r="G11" s="64" t="str">
        <x:v>11/03/2025</x:v>
      </x:c>
      <x:c r="H11" s="64" t="str">
        <x:v>2025-03-11</x:v>
      </x:c>
      <x:c r="I11" s="64" t="str">
        <x:v>standardization</x:v>
      </x:c>
      <x:c r="J11" s="64" t="str">
        <x:v>Converted the source text date to a true spreadsheet date and standardized its display without changing the calendar date.</x:v>
      </x:c>
      <x:c r="K11" s="64" t="str">
        <x:v>PASS — parsed source date equals cleaned date</x:v>
      </x:c>
      <x:c r="L11" s="64" t="str">
        <x:v>High</x:v>
      </x:c>
      <x:c r="M11" s="64" t="str">
        <x:v>Instructor Approved</x:v>
      </x:c>
    </x:row>
    <x:row r="12">
      <x:c r="A12" s="64" t="str">
        <x:v>AUD-0011</x:v>
      </x:c>
      <x:c r="B12" s="64" t="n">
        <x:v>12</x:v>
      </x:c>
      <x:c r="C12" s="64" t="str">
        <x:v>PO-2025-0011</x:v>
      </x:c>
      <x:c r="D12" s="64" t="str">
        <x:v>PO-2025-0011</x:v>
      </x:c>
      <x:c r="E12" s="64" t="str">
        <x:v>B12</x:v>
      </x:c>
      <x:c r="F12" s="64" t="str">
        <x:v>PO_Date</x:v>
      </x:c>
      <x:c r="G12" s="64" t="str">
        <x:v>18-07-2025</x:v>
      </x:c>
      <x:c r="H12" s="64" t="str">
        <x:v>2025-07-18</x:v>
      </x:c>
      <x:c r="I12" s="64" t="str">
        <x:v>standardization</x:v>
      </x:c>
      <x:c r="J12" s="64" t="str">
        <x:v>Converted the source text date to a true spreadsheet date and standardized its display without changing the calendar date.</x:v>
      </x:c>
      <x:c r="K12" s="64" t="str">
        <x:v>PASS — parsed source date equals cleaned date</x:v>
      </x:c>
      <x:c r="L12" s="64" t="str">
        <x:v>High</x:v>
      </x:c>
      <x:c r="M12" s="64" t="str">
        <x:v>Instructor Approved</x:v>
      </x:c>
    </x:row>
    <x:row r="13">
      <x:c r="A13" s="64" t="str">
        <x:v>AUD-0012</x:v>
      </x:c>
      <x:c r="B13" s="64" t="n">
        <x:v>13</x:v>
      </x:c>
      <x:c r="C13" s="64" t="str">
        <x:v>PO-2025-0012</x:v>
      </x:c>
      <x:c r="D13" s="64" t="str">
        <x:v>PO-2025-0012</x:v>
      </x:c>
      <x:c r="E13" s="64" t="str">
        <x:v>B13</x:v>
      </x:c>
      <x:c r="F13" s="64" t="str">
        <x:v>PO_Date</x:v>
      </x:c>
      <x:c r="G13" s="64" t="str">
        <x:v>09/09/2025</x:v>
      </x:c>
      <x:c r="H13" s="64" t="str">
        <x:v>2025-09-09</x:v>
      </x:c>
      <x:c r="I13" s="64" t="str">
        <x:v>standardization</x:v>
      </x:c>
      <x:c r="J13" s="64" t="str">
        <x:v>Converted the source text date to a true spreadsheet date and standardized its display without changing the calendar date.</x:v>
      </x:c>
      <x:c r="K13" s="64" t="str">
        <x:v>PASS — parsed source date equals cleaned date</x:v>
      </x:c>
      <x:c r="L13" s="64" t="str">
        <x:v>High</x:v>
      </x:c>
      <x:c r="M13" s="64" t="str">
        <x:v>Instructor Approved</x:v>
      </x:c>
    </x:row>
    <x:row r="14">
      <x:c r="A14" s="64" t="str">
        <x:v>AUD-0013</x:v>
      </x:c>
      <x:c r="B14" s="64" t="n">
        <x:v>14</x:v>
      </x:c>
      <x:c r="C14" s="64" t="str">
        <x:v>PO-2025-0013</x:v>
      </x:c>
      <x:c r="D14" s="64" t="str">
        <x:v>PO-2025-0013</x:v>
      </x:c>
      <x:c r="E14" s="64" t="str">
        <x:v>B14</x:v>
      </x:c>
      <x:c r="F14" s="64" t="str">
        <x:v>PO_Date</x:v>
      </x:c>
      <x:c r="G14" s="64" t="str">
        <x:v>09/01/2025</x:v>
      </x:c>
      <x:c r="H14" s="64" t="str">
        <x:v>2025-01-09</x:v>
      </x:c>
      <x:c r="I14" s="64" t="str">
        <x:v>standardization</x:v>
      </x:c>
      <x:c r="J14" s="64" t="str">
        <x:v>Converted the source text date to a true spreadsheet date and standardized its display without changing the calendar date.</x:v>
      </x:c>
      <x:c r="K14" s="64" t="str">
        <x:v>PASS — parsed source date equals cleaned date</x:v>
      </x:c>
      <x:c r="L14" s="64" t="str">
        <x:v>High</x:v>
      </x:c>
      <x:c r="M14" s="64" t="str">
        <x:v>Instructor Approved</x:v>
      </x:c>
    </x:row>
    <x:row r="15">
      <x:c r="A15" s="64" t="str">
        <x:v>AUD-0014</x:v>
      </x:c>
      <x:c r="B15" s="64" t="n">
        <x:v>15</x:v>
      </x:c>
      <x:c r="C15" s="64" t="str">
        <x:v>PO-2025-0014</x:v>
      </x:c>
      <x:c r="D15" s="64" t="str">
        <x:v>PO-2025-0014</x:v>
      </x:c>
      <x:c r="E15" s="64" t="str">
        <x:v>B15</x:v>
      </x:c>
      <x:c r="F15" s="64" t="str">
        <x:v>PO_Date</x:v>
      </x:c>
      <x:c r="G15" s="64" t="str">
        <x:v>19/08/2025</x:v>
      </x:c>
      <x:c r="H15" s="64" t="str">
        <x:v>2025-08-19</x:v>
      </x:c>
      <x:c r="I15" s="64" t="str">
        <x:v>standardization</x:v>
      </x:c>
      <x:c r="J15" s="64" t="str">
        <x:v>Converted the source text date to a true spreadsheet date and standardized its display without changing the calendar date.</x:v>
      </x:c>
      <x:c r="K15" s="64" t="str">
        <x:v>PASS — parsed source date equals cleaned date</x:v>
      </x:c>
      <x:c r="L15" s="64" t="str">
        <x:v>High</x:v>
      </x:c>
      <x:c r="M15" s="64" t="str">
        <x:v>Instructor Approved</x:v>
      </x:c>
    </x:row>
    <x:row r="16">
      <x:c r="A16" s="64" t="str">
        <x:v>AUD-0015</x:v>
      </x:c>
      <x:c r="B16" s="64" t="n">
        <x:v>16</x:v>
      </x:c>
      <x:c r="C16" s="64" t="str">
        <x:v>PO-2025-0015</x:v>
      </x:c>
      <x:c r="D16" s="64" t="str">
        <x:v>PO-2025-0015</x:v>
      </x:c>
      <x:c r="E16" s="64" t="str">
        <x:v>B16</x:v>
      </x:c>
      <x:c r="F16" s="64" t="str">
        <x:v>PO_Date</x:v>
      </x:c>
      <x:c r="G16" s="64" t="str">
        <x:v>09/06/2025</x:v>
      </x:c>
      <x:c r="H16" s="64" t="str">
        <x:v>2025-06-09</x:v>
      </x:c>
      <x:c r="I16" s="64" t="str">
        <x:v>standardization</x:v>
      </x:c>
      <x:c r="J16" s="64" t="str">
        <x:v>Converted the source text date to a true spreadsheet date and standardized its display without changing the calendar date.</x:v>
      </x:c>
      <x:c r="K16" s="64" t="str">
        <x:v>PASS — parsed source date equals cleaned date</x:v>
      </x:c>
      <x:c r="L16" s="64" t="str">
        <x:v>High</x:v>
      </x:c>
      <x:c r="M16" s="64" t="str">
        <x:v>Instructor Approved</x:v>
      </x:c>
    </x:row>
    <x:row r="17">
      <x:c r="A17" s="64" t="str">
        <x:v>AUD-0016</x:v>
      </x:c>
      <x:c r="B17" s="64" t="n">
        <x:v>17</x:v>
      </x:c>
      <x:c r="C17" s="64" t="str">
        <x:v>PO-2025-0016</x:v>
      </x:c>
      <x:c r="D17" s="64" t="str">
        <x:v>PO-2025-0016</x:v>
      </x:c>
      <x:c r="E17" s="64" t="str">
        <x:v>B17</x:v>
      </x:c>
      <x:c r="F17" s="64" t="str">
        <x:v>PO_Date</x:v>
      </x:c>
      <x:c r="G17" s="64" t="str">
        <x:v>30/06/2025</x:v>
      </x:c>
      <x:c r="H17" s="64" t="str">
        <x:v>2025-06-30</x:v>
      </x:c>
      <x:c r="I17" s="64" t="str">
        <x:v>standardization</x:v>
      </x:c>
      <x:c r="J17" s="64" t="str">
        <x:v>Converted the source text date to a true spreadsheet date and standardized its display without changing the calendar date.</x:v>
      </x:c>
      <x:c r="K17" s="64" t="str">
        <x:v>PASS — parsed source date equals cleaned date</x:v>
      </x:c>
      <x:c r="L17" s="64" t="str">
        <x:v>High</x:v>
      </x:c>
      <x:c r="M17" s="64" t="str">
        <x:v>Instructor Approved</x:v>
      </x:c>
    </x:row>
    <x:row r="18">
      <x:c r="A18" s="64" t="str">
        <x:v>AUD-0017</x:v>
      </x:c>
      <x:c r="B18" s="64" t="n">
        <x:v>18</x:v>
      </x:c>
      <x:c r="C18" s="64" t="str">
        <x:v>PO-2025-0017</x:v>
      </x:c>
      <x:c r="D18" s="64" t="str">
        <x:v>PO-2025-0017</x:v>
      </x:c>
      <x:c r="E18" s="64" t="str">
        <x:v>B18</x:v>
      </x:c>
      <x:c r="F18" s="64" t="str">
        <x:v>PO_Date</x:v>
      </x:c>
      <x:c r="G18" s="64" t="str">
        <x:v>11/02/2025</x:v>
      </x:c>
      <x:c r="H18" s="64" t="str">
        <x:v>2025-02-11</x:v>
      </x:c>
      <x:c r="I18" s="64" t="str">
        <x:v>standardization</x:v>
      </x:c>
      <x:c r="J18" s="64" t="str">
        <x:v>Converted the source text date to a true spreadsheet date and standardized its display without changing the calendar date.</x:v>
      </x:c>
      <x:c r="K18" s="64" t="str">
        <x:v>PASS — parsed source date equals cleaned date</x:v>
      </x:c>
      <x:c r="L18" s="64" t="str">
        <x:v>High</x:v>
      </x:c>
      <x:c r="M18" s="64" t="str">
        <x:v>Instructor Approved</x:v>
      </x:c>
    </x:row>
    <x:row r="19">
      <x:c r="A19" s="64" t="str">
        <x:v>AUD-0018</x:v>
      </x:c>
      <x:c r="B19" s="64" t="n">
        <x:v>19</x:v>
      </x:c>
      <x:c r="C19" s="64" t="str">
        <x:v>PO-2025-0018</x:v>
      </x:c>
      <x:c r="D19" s="64" t="str">
        <x:v>PO-2025-0018</x:v>
      </x:c>
      <x:c r="E19" s="64" t="str">
        <x:v>B19</x:v>
      </x:c>
      <x:c r="F19" s="64" t="str">
        <x:v>PO_Date</x:v>
      </x:c>
      <x:c r="G19" s="64" t="str">
        <x:v>16/01/2025</x:v>
      </x:c>
      <x:c r="H19" s="64" t="str">
        <x:v>2025-01-16</x:v>
      </x:c>
      <x:c r="I19" s="64" t="str">
        <x:v>standardization</x:v>
      </x:c>
      <x:c r="J19" s="64" t="str">
        <x:v>Converted the source text date to a true spreadsheet date and standardized its display without changing the calendar date.</x:v>
      </x:c>
      <x:c r="K19" s="64" t="str">
        <x:v>PASS — parsed source date equals cleaned date</x:v>
      </x:c>
      <x:c r="L19" s="64" t="str">
        <x:v>High</x:v>
      </x:c>
      <x:c r="M19" s="64" t="str">
        <x:v>Instructor Approved</x:v>
      </x:c>
    </x:row>
    <x:row r="20">
      <x:c r="A20" s="64" t="str">
        <x:v>AUD-0019</x:v>
      </x:c>
      <x:c r="B20" s="64" t="n">
        <x:v>20</x:v>
      </x:c>
      <x:c r="C20" s="64" t="str">
        <x:v>PO-2025-0019</x:v>
      </x:c>
      <x:c r="D20" s="64" t="str">
        <x:v>PO-2025-0019</x:v>
      </x:c>
      <x:c r="E20" s="64" t="str">
        <x:v>B20</x:v>
      </x:c>
      <x:c r="F20" s="64" t="str">
        <x:v>PO_Date</x:v>
      </x:c>
      <x:c r="G20" s="64" t="str">
        <x:v>04/06/2025</x:v>
      </x:c>
      <x:c r="H20" s="64" t="str">
        <x:v>2025-06-04</x:v>
      </x:c>
      <x:c r="I20" s="64" t="str">
        <x:v>standardization</x:v>
      </x:c>
      <x:c r="J20" s="64" t="str">
        <x:v>Converted the source text date to a true spreadsheet date and standardized its display without changing the calendar date.</x:v>
      </x:c>
      <x:c r="K20" s="64" t="str">
        <x:v>PASS — parsed source date equals cleaned date</x:v>
      </x:c>
      <x:c r="L20" s="64" t="str">
        <x:v>High</x:v>
      </x:c>
      <x:c r="M20" s="64" t="str">
        <x:v>Instructor Approved</x:v>
      </x:c>
    </x:row>
    <x:row r="21">
      <x:c r="A21" s="64" t="str">
        <x:v>AUD-0020</x:v>
      </x:c>
      <x:c r="B21" s="64" t="n">
        <x:v>21</x:v>
      </x:c>
      <x:c r="C21" s="64" t="str">
        <x:v>PO-2025-0020</x:v>
      </x:c>
      <x:c r="D21" s="64" t="str">
        <x:v>PO-2025-0020</x:v>
      </x:c>
      <x:c r="E21" s="64" t="str">
        <x:v>B21</x:v>
      </x:c>
      <x:c r="F21" s="64" t="str">
        <x:v>PO_Date</x:v>
      </x:c>
      <x:c r="G21" s="64" t="str">
        <x:v>13/04/2025</x:v>
      </x:c>
      <x:c r="H21" s="64" t="str">
        <x:v>2025-04-13</x:v>
      </x:c>
      <x:c r="I21" s="64" t="str">
        <x:v>standardization</x:v>
      </x:c>
      <x:c r="J21" s="64" t="str">
        <x:v>Converted the source text date to a true spreadsheet date and standardized its display without changing the calendar date.</x:v>
      </x:c>
      <x:c r="K21" s="64" t="str">
        <x:v>PASS — parsed source date equals cleaned date</x:v>
      </x:c>
      <x:c r="L21" s="64" t="str">
        <x:v>High</x:v>
      </x:c>
      <x:c r="M21" s="64" t="str">
        <x:v>Instructor Approved</x:v>
      </x:c>
    </x:row>
    <x:row r="22">
      <x:c r="A22" s="64" t="str">
        <x:v>AUD-0021</x:v>
      </x:c>
      <x:c r="B22" s="64" t="n">
        <x:v>22</x:v>
      </x:c>
      <x:c r="C22" s="64" t="str">
        <x:v>PO-2025-0021</x:v>
      </x:c>
      <x:c r="D22" s="64" t="str">
        <x:v>PO-2025-0021</x:v>
      </x:c>
      <x:c r="E22" s="64" t="str">
        <x:v>B22</x:v>
      </x:c>
      <x:c r="F22" s="64" t="str">
        <x:v>PO_Date</x:v>
      </x:c>
      <x:c r="G22" s="64" t="str">
        <x:v>28/03/2025</x:v>
      </x:c>
      <x:c r="H22" s="64" t="str">
        <x:v>2025-03-28</x:v>
      </x:c>
      <x:c r="I22" s="64" t="str">
        <x:v>standardization</x:v>
      </x:c>
      <x:c r="J22" s="64" t="str">
        <x:v>Converted the source text date to a true spreadsheet date and standardized its display without changing the calendar date.</x:v>
      </x:c>
      <x:c r="K22" s="64" t="str">
        <x:v>PASS — parsed source date equals cleaned date</x:v>
      </x:c>
      <x:c r="L22" s="64" t="str">
        <x:v>High</x:v>
      </x:c>
      <x:c r="M22" s="64" t="str">
        <x:v>Instructor Approved</x:v>
      </x:c>
    </x:row>
    <x:row r="23">
      <x:c r="A23" s="64" t="str">
        <x:v>AUD-0022</x:v>
      </x:c>
      <x:c r="B23" s="64" t="n">
        <x:v>23</x:v>
      </x:c>
      <x:c r="C23" s="64" t="str">
        <x:v>PO-2025-0022</x:v>
      </x:c>
      <x:c r="D23" s="64" t="str">
        <x:v>PO-2025-0022</x:v>
      </x:c>
      <x:c r="E23" s="64" t="str">
        <x:v>B23</x:v>
      </x:c>
      <x:c r="F23" s="64" t="str">
        <x:v>PO_Date</x:v>
      </x:c>
      <x:c r="G23" s="64" t="str">
        <x:v>17/01/2025</x:v>
      </x:c>
      <x:c r="H23" s="64" t="str">
        <x:v>2025-01-17</x:v>
      </x:c>
      <x:c r="I23" s="64" t="str">
        <x:v>standardization</x:v>
      </x:c>
      <x:c r="J23" s="64" t="str">
        <x:v>Converted the source text date to a true spreadsheet date and standardized its display without changing the calendar date.</x:v>
      </x:c>
      <x:c r="K23" s="64" t="str">
        <x:v>PASS — parsed source date equals cleaned date</x:v>
      </x:c>
      <x:c r="L23" s="64" t="str">
        <x:v>High</x:v>
      </x:c>
      <x:c r="M23" s="64" t="str">
        <x:v>Instructor Approved</x:v>
      </x:c>
    </x:row>
    <x:row r="24">
      <x:c r="A24" s="64" t="str">
        <x:v>AUD-0023</x:v>
      </x:c>
      <x:c r="B24" s="64" t="n">
        <x:v>24</x:v>
      </x:c>
      <x:c r="C24" s="64" t="str">
        <x:v>PO-2025-0023</x:v>
      </x:c>
      <x:c r="D24" s="64" t="str">
        <x:v>PO-2025-0023</x:v>
      </x:c>
      <x:c r="E24" s="64" t="str">
        <x:v>B24</x:v>
      </x:c>
      <x:c r="F24" s="64" t="str">
        <x:v>PO_Date</x:v>
      </x:c>
      <x:c r="G24" s="64" t="str">
        <x:v>02/05/2025</x:v>
      </x:c>
      <x:c r="H24" s="64" t="str">
        <x:v>2025-05-02</x:v>
      </x:c>
      <x:c r="I24" s="64" t="str">
        <x:v>standardization</x:v>
      </x:c>
      <x:c r="J24" s="64" t="str">
        <x:v>Converted the source text date to a true spreadsheet date and standardized its display without changing the calendar date.</x:v>
      </x:c>
      <x:c r="K24" s="64" t="str">
        <x:v>PASS — parsed source date equals cleaned date</x:v>
      </x:c>
      <x:c r="L24" s="64" t="str">
        <x:v>High</x:v>
      </x:c>
      <x:c r="M24" s="64" t="str">
        <x:v>Instructor Approved</x:v>
      </x:c>
    </x:row>
    <x:row r="25">
      <x:c r="A25" s="64" t="str">
        <x:v>AUD-0024</x:v>
      </x:c>
      <x:c r="B25" s="64" t="n">
        <x:v>25</x:v>
      </x:c>
      <x:c r="C25" s="64" t="str">
        <x:v>PO-2025-0024</x:v>
      </x:c>
      <x:c r="D25" s="64" t="str">
        <x:v>PO-2025-0024</x:v>
      </x:c>
      <x:c r="E25" s="64" t="str">
        <x:v>B25</x:v>
      </x:c>
      <x:c r="F25" s="64" t="str">
        <x:v>PO_Date</x:v>
      </x:c>
      <x:c r="G25" s="64" t="str">
        <x:v>01/09/2025</x:v>
      </x:c>
      <x:c r="H25" s="64" t="str">
        <x:v>2025-09-01</x:v>
      </x:c>
      <x:c r="I25" s="64" t="str">
        <x:v>standardization</x:v>
      </x:c>
      <x:c r="J25" s="64" t="str">
        <x:v>Converted the source text date to a true spreadsheet date and standardized its display without changing the calendar date.</x:v>
      </x:c>
      <x:c r="K25" s="64" t="str">
        <x:v>PASS — parsed source date equals cleaned date</x:v>
      </x:c>
      <x:c r="L25" s="64" t="str">
        <x:v>High</x:v>
      </x:c>
      <x:c r="M25" s="64" t="str">
        <x:v>Instructor Approved</x:v>
      </x:c>
    </x:row>
    <x:row r="26">
      <x:c r="A26" s="64" t="str">
        <x:v>AUD-0025</x:v>
      </x:c>
      <x:c r="B26" s="64" t="n">
        <x:v>26</x:v>
      </x:c>
      <x:c r="C26" s="64" t="str">
        <x:v>PO-2025-0025</x:v>
      </x:c>
      <x:c r="D26" s="64" t="str">
        <x:v>PO-2025-0025</x:v>
      </x:c>
      <x:c r="E26" s="64" t="str">
        <x:v>B26</x:v>
      </x:c>
      <x:c r="F26" s="64" t="str">
        <x:v>PO_Date</x:v>
      </x:c>
      <x:c r="G26" s="64" t="str">
        <x:v>21/07/2025</x:v>
      </x:c>
      <x:c r="H26" s="64" t="str">
        <x:v>2025-07-21</x:v>
      </x:c>
      <x:c r="I26" s="64" t="str">
        <x:v>standardization</x:v>
      </x:c>
      <x:c r="J26" s="64" t="str">
        <x:v>Converted the source text date to a true spreadsheet date and standardized its display without changing the calendar date.</x:v>
      </x:c>
      <x:c r="K26" s="64" t="str">
        <x:v>PASS — parsed source date equals cleaned date</x:v>
      </x:c>
      <x:c r="L26" s="64" t="str">
        <x:v>High</x:v>
      </x:c>
      <x:c r="M26" s="64" t="str">
        <x:v>Instructor Approved</x:v>
      </x:c>
    </x:row>
    <x:row r="27">
      <x:c r="A27" s="64" t="str">
        <x:v>AUD-0026</x:v>
      </x:c>
      <x:c r="B27" s="64" t="n">
        <x:v>27</x:v>
      </x:c>
      <x:c r="C27" s="64" t="str">
        <x:v>PO-2025-0026</x:v>
      </x:c>
      <x:c r="D27" s="64" t="str">
        <x:v>PO-2025-0026</x:v>
      </x:c>
      <x:c r="E27" s="64" t="str">
        <x:v>B27</x:v>
      </x:c>
      <x:c r="F27" s="64" t="str">
        <x:v>PO_Date</x:v>
      </x:c>
      <x:c r="G27" s="64" t="str">
        <x:v>15/09/2025</x:v>
      </x:c>
      <x:c r="H27" s="64" t="str">
        <x:v>2025-09-15</x:v>
      </x:c>
      <x:c r="I27" s="64" t="str">
        <x:v>standardization</x:v>
      </x:c>
      <x:c r="J27" s="64" t="str">
        <x:v>Converted the source text date to a true spreadsheet date and standardized its display without changing the calendar date.</x:v>
      </x:c>
      <x:c r="K27" s="64" t="str">
        <x:v>PASS — parsed source date equals cleaned date</x:v>
      </x:c>
      <x:c r="L27" s="64" t="str">
        <x:v>High</x:v>
      </x:c>
      <x:c r="M27" s="64" t="str">
        <x:v>Instructor Approved</x:v>
      </x:c>
    </x:row>
    <x:row r="28">
      <x:c r="A28" s="64" t="str">
        <x:v>AUD-0027</x:v>
      </x:c>
      <x:c r="B28" s="64" t="n">
        <x:v>28</x:v>
      </x:c>
      <x:c r="C28" s="64" t="str">
        <x:v>PO-2025-0027</x:v>
      </x:c>
      <x:c r="D28" s="64" t="str">
        <x:v>PO-2025-0027</x:v>
      </x:c>
      <x:c r="E28" s="64" t="str">
        <x:v>B28</x:v>
      </x:c>
      <x:c r="F28" s="64" t="str">
        <x:v>PO_Date</x:v>
      </x:c>
      <x:c r="G28" s="64" t="str">
        <x:v>15/05/2025</x:v>
      </x:c>
      <x:c r="H28" s="64" t="str">
        <x:v>2025-05-15</x:v>
      </x:c>
      <x:c r="I28" s="64" t="str">
        <x:v>standardization</x:v>
      </x:c>
      <x:c r="J28" s="64" t="str">
        <x:v>Converted the source text date to a true spreadsheet date and standardized its display without changing the calendar date.</x:v>
      </x:c>
      <x:c r="K28" s="64" t="str">
        <x:v>PASS — parsed source date equals cleaned date</x:v>
      </x:c>
      <x:c r="L28" s="64" t="str">
        <x:v>High</x:v>
      </x:c>
      <x:c r="M28" s="64" t="str">
        <x:v>Instructor Approved</x:v>
      </x:c>
    </x:row>
    <x:row r="29">
      <x:c r="A29" s="64" t="str">
        <x:v>AUD-0028</x:v>
      </x:c>
      <x:c r="B29" s="64" t="n">
        <x:v>29</x:v>
      </x:c>
      <x:c r="C29" s="64" t="str">
        <x:v>PO-2025-0028</x:v>
      </x:c>
      <x:c r="D29" s="64" t="str">
        <x:v>PO-2025-0028</x:v>
      </x:c>
      <x:c r="E29" s="64" t="str">
        <x:v>B29</x:v>
      </x:c>
      <x:c r="F29" s="64" t="str">
        <x:v>PO_Date</x:v>
      </x:c>
      <x:c r="G29" s="64" t="str">
        <x:v>08/08/2025</x:v>
      </x:c>
      <x:c r="H29" s="64" t="str">
        <x:v>2025-08-08</x:v>
      </x:c>
      <x:c r="I29" s="64" t="str">
        <x:v>standardization</x:v>
      </x:c>
      <x:c r="J29" s="64" t="str">
        <x:v>Converted the source text date to a true spreadsheet date and standardized its display without changing the calendar date.</x:v>
      </x:c>
      <x:c r="K29" s="64" t="str">
        <x:v>PASS — parsed source date equals cleaned date</x:v>
      </x:c>
      <x:c r="L29" s="64" t="str">
        <x:v>High</x:v>
      </x:c>
      <x:c r="M29" s="64" t="str">
        <x:v>Instructor Approved</x:v>
      </x:c>
    </x:row>
    <x:row r="30">
      <x:c r="A30" s="64" t="str">
        <x:v>AUD-0029</x:v>
      </x:c>
      <x:c r="B30" s="64" t="n">
        <x:v>30</x:v>
      </x:c>
      <x:c r="C30" s="64" t="str">
        <x:v>PO-2025-0029</x:v>
      </x:c>
      <x:c r="D30" s="64" t="str">
        <x:v>PO-2025-0029</x:v>
      </x:c>
      <x:c r="E30" s="64" t="str">
        <x:v>B30</x:v>
      </x:c>
      <x:c r="F30" s="64" t="str">
        <x:v>PO_Date</x:v>
      </x:c>
      <x:c r="G30" s="64" t="str">
        <x:v>24/10/2025</x:v>
      </x:c>
      <x:c r="H30" s="64" t="str">
        <x:v>2025-10-24</x:v>
      </x:c>
      <x:c r="I30" s="64" t="str">
        <x:v>standardization</x:v>
      </x:c>
      <x:c r="J30" s="64" t="str">
        <x:v>Converted the source text date to a true spreadsheet date and standardized its display without changing the calendar date.</x:v>
      </x:c>
      <x:c r="K30" s="64" t="str">
        <x:v>PASS — parsed source date equals cleaned date</x:v>
      </x:c>
      <x:c r="L30" s="64" t="str">
        <x:v>High</x:v>
      </x:c>
      <x:c r="M30" s="64" t="str">
        <x:v>Instructor Approved</x:v>
      </x:c>
    </x:row>
    <x:row r="31">
      <x:c r="A31" s="64" t="str">
        <x:v>AUD-0030</x:v>
      </x:c>
      <x:c r="B31" s="64" t="n">
        <x:v>31</x:v>
      </x:c>
      <x:c r="C31" s="64" t="str">
        <x:v>PO-2025-0005</x:v>
      </x:c>
      <x:c r="D31" s="64" t="str">
        <x:v>PO-2025-0030</x:v>
      </x:c>
      <x:c r="E31" s="64" t="str">
        <x:v>B31</x:v>
      </x:c>
      <x:c r="F31" s="64" t="str">
        <x:v>PO_Date</x:v>
      </x:c>
      <x:c r="G31" s="64" t="str">
        <x:v>17/04/2025</x:v>
      </x:c>
      <x:c r="H31" s="64" t="str">
        <x:v>2025-04-17</x:v>
      </x:c>
      <x:c r="I31" s="64" t="str">
        <x:v>standardization</x:v>
      </x:c>
      <x:c r="J31" s="64" t="str">
        <x:v>Converted the source text date to a true spreadsheet date and standardized its display without changing the calendar date.</x:v>
      </x:c>
      <x:c r="K31" s="64" t="str">
        <x:v>PASS — parsed source date equals cleaned date</x:v>
      </x:c>
      <x:c r="L31" s="64" t="str">
        <x:v>High</x:v>
      </x:c>
      <x:c r="M31" s="64" t="str">
        <x:v>Instructor Approved</x:v>
      </x:c>
    </x:row>
    <x:row r="32">
      <x:c r="A32" s="64" t="str">
        <x:v>AUD-0031</x:v>
      </x:c>
      <x:c r="B32" s="64" t="n">
        <x:v>32</x:v>
      </x:c>
      <x:c r="C32" s="64" t="str">
        <x:v>PO-2025-0031</x:v>
      </x:c>
      <x:c r="D32" s="64" t="str">
        <x:v>PO-2025-0031</x:v>
      </x:c>
      <x:c r="E32" s="64" t="str">
        <x:v>B32</x:v>
      </x:c>
      <x:c r="F32" s="64" t="str">
        <x:v>PO_Date</x:v>
      </x:c>
      <x:c r="G32" s="64" t="str">
        <x:v>23/01/2025</x:v>
      </x:c>
      <x:c r="H32" s="64" t="str">
        <x:v>2025-01-23</x:v>
      </x:c>
      <x:c r="I32" s="64" t="str">
        <x:v>standardization</x:v>
      </x:c>
      <x:c r="J32" s="64" t="str">
        <x:v>Converted the source text date to a true spreadsheet date and standardized its display without changing the calendar date.</x:v>
      </x:c>
      <x:c r="K32" s="64" t="str">
        <x:v>PASS — parsed source date equals cleaned date</x:v>
      </x:c>
      <x:c r="L32" s="64" t="str">
        <x:v>High</x:v>
      </x:c>
      <x:c r="M32" s="64" t="str">
        <x:v>Instructor Approved</x:v>
      </x:c>
    </x:row>
    <x:row r="33">
      <x:c r="A33" s="64" t="str">
        <x:v>AUD-0032</x:v>
      </x:c>
      <x:c r="B33" s="64" t="n">
        <x:v>33</x:v>
      </x:c>
      <x:c r="C33" s="64" t="str">
        <x:v>PO-2025-0032</x:v>
      </x:c>
      <x:c r="D33" s="64" t="str">
        <x:v>PO-2025-0032</x:v>
      </x:c>
      <x:c r="E33" s="64" t="str">
        <x:v>B33</x:v>
      </x:c>
      <x:c r="F33" s="64" t="str">
        <x:v>PO_Date</x:v>
      </x:c>
      <x:c r="G33" s="64" t="str">
        <x:v>18/05/2025</x:v>
      </x:c>
      <x:c r="H33" s="64" t="str">
        <x:v>2025-05-18</x:v>
      </x:c>
      <x:c r="I33" s="64" t="str">
        <x:v>standardization</x:v>
      </x:c>
      <x:c r="J33" s="64" t="str">
        <x:v>Converted the source text date to a true spreadsheet date and standardized its display without changing the calendar date.</x:v>
      </x:c>
      <x:c r="K33" s="64" t="str">
        <x:v>PASS — parsed source date equals cleaned date</x:v>
      </x:c>
      <x:c r="L33" s="64" t="str">
        <x:v>High</x:v>
      </x:c>
      <x:c r="M33" s="64" t="str">
        <x:v>Instructor Approved</x:v>
      </x:c>
    </x:row>
    <x:row r="34">
      <x:c r="A34" s="64" t="str">
        <x:v>AUD-0033</x:v>
      </x:c>
      <x:c r="B34" s="64" t="n">
        <x:v>34</x:v>
      </x:c>
      <x:c r="C34" s="64" t="str">
        <x:v>PO-2025-0033</x:v>
      </x:c>
      <x:c r="D34" s="64" t="str">
        <x:v>PO-2025-0033</x:v>
      </x:c>
      <x:c r="E34" s="64" t="str">
        <x:v>B34</x:v>
      </x:c>
      <x:c r="F34" s="64" t="str">
        <x:v>PO_Date</x:v>
      </x:c>
      <x:c r="G34" s="64" t="str">
        <x:v>08/03/2025</x:v>
      </x:c>
      <x:c r="H34" s="64" t="str">
        <x:v>2025-03-08</x:v>
      </x:c>
      <x:c r="I34" s="64" t="str">
        <x:v>standardization</x:v>
      </x:c>
      <x:c r="J34" s="64" t="str">
        <x:v>Converted the source text date to a true spreadsheet date and standardized its display without changing the calendar date.</x:v>
      </x:c>
      <x:c r="K34" s="64" t="str">
        <x:v>PASS — parsed source date equals cleaned date</x:v>
      </x:c>
      <x:c r="L34" s="64" t="str">
        <x:v>High</x:v>
      </x:c>
      <x:c r="M34" s="64" t="str">
        <x:v>Instructor Approved</x:v>
      </x:c>
    </x:row>
    <x:row r="35">
      <x:c r="A35" s="64" t="str">
        <x:v>AUD-0034</x:v>
      </x:c>
      <x:c r="B35" s="64" t="n">
        <x:v>35</x:v>
      </x:c>
      <x:c r="C35" s="64" t="str">
        <x:v>PO-2025-0034</x:v>
      </x:c>
      <x:c r="D35" s="64" t="str">
        <x:v>PO-2025-0034</x:v>
      </x:c>
      <x:c r="E35" s="64" t="str">
        <x:v>B35</x:v>
      </x:c>
      <x:c r="F35" s="64" t="str">
        <x:v>PO_Date</x:v>
      </x:c>
      <x:c r="G35" s="64" t="str">
        <x:v>26/10/2025</x:v>
      </x:c>
      <x:c r="H35" s="64" t="str">
        <x:v>2025-10-26</x:v>
      </x:c>
      <x:c r="I35" s="64" t="str">
        <x:v>standardization</x:v>
      </x:c>
      <x:c r="J35" s="64" t="str">
        <x:v>Converted the source text date to a true spreadsheet date and standardized its display without changing the calendar date.</x:v>
      </x:c>
      <x:c r="K35" s="64" t="str">
        <x:v>PASS — parsed source date equals cleaned date</x:v>
      </x:c>
      <x:c r="L35" s="64" t="str">
        <x:v>High</x:v>
      </x:c>
      <x:c r="M35" s="64" t="str">
        <x:v>Instructor Approved</x:v>
      </x:c>
    </x:row>
    <x:row r="36">
      <x:c r="A36" s="64" t="str">
        <x:v>AUD-0035</x:v>
      </x:c>
      <x:c r="B36" s="64" t="n">
        <x:v>36</x:v>
      </x:c>
      <x:c r="C36" s="64" t="str">
        <x:v>PO-2025-0035</x:v>
      </x:c>
      <x:c r="D36" s="64" t="str">
        <x:v>PO-2025-0035</x:v>
      </x:c>
      <x:c r="E36" s="64" t="str">
        <x:v>B36</x:v>
      </x:c>
      <x:c r="F36" s="64" t="str">
        <x:v>PO_Date</x:v>
      </x:c>
      <x:c r="G36" s="64" t="str">
        <x:v>01/10/2025</x:v>
      </x:c>
      <x:c r="H36" s="64" t="str">
        <x:v>2025-10-01</x:v>
      </x:c>
      <x:c r="I36" s="64" t="str">
        <x:v>standardization</x:v>
      </x:c>
      <x:c r="J36" s="64" t="str">
        <x:v>Converted the source text date to a true spreadsheet date and standardized its display without changing the calendar date.</x:v>
      </x:c>
      <x:c r="K36" s="64" t="str">
        <x:v>PASS — parsed source date equals cleaned date</x:v>
      </x:c>
      <x:c r="L36" s="64" t="str">
        <x:v>High</x:v>
      </x:c>
      <x:c r="M36" s="64" t="str">
        <x:v>Instructor Approved</x:v>
      </x:c>
    </x:row>
    <x:row r="37">
      <x:c r="A37" s="64" t="str">
        <x:v>AUD-0036</x:v>
      </x:c>
      <x:c r="B37" s="64" t="n">
        <x:v>37</x:v>
      </x:c>
      <x:c r="C37" s="64" t="str">
        <x:v>PO-2025-0036</x:v>
      </x:c>
      <x:c r="D37" s="64" t="str">
        <x:v>PO-2025-0036</x:v>
      </x:c>
      <x:c r="E37" s="64" t="str">
        <x:v>B37</x:v>
      </x:c>
      <x:c r="F37" s="64" t="str">
        <x:v>PO_Date</x:v>
      </x:c>
      <x:c r="G37" s="64" t="str">
        <x:v>19/02/2025</x:v>
      </x:c>
      <x:c r="H37" s="64" t="str">
        <x:v>2025-02-19</x:v>
      </x:c>
      <x:c r="I37" s="64" t="str">
        <x:v>standardization</x:v>
      </x:c>
      <x:c r="J37" s="64" t="str">
        <x:v>Converted the source text date to a true spreadsheet date and standardized its display without changing the calendar date.</x:v>
      </x:c>
      <x:c r="K37" s="64" t="str">
        <x:v>PASS — parsed source date equals cleaned date</x:v>
      </x:c>
      <x:c r="L37" s="64" t="str">
        <x:v>High</x:v>
      </x:c>
      <x:c r="M37" s="64" t="str">
        <x:v>Instructor Approved</x:v>
      </x:c>
    </x:row>
    <x:row r="38">
      <x:c r="A38" s="64" t="str">
        <x:v>AUD-0037</x:v>
      </x:c>
      <x:c r="B38" s="64" t="n">
        <x:v>38</x:v>
      </x:c>
      <x:c r="C38" s="64" t="str">
        <x:v>PO-2025-0037</x:v>
      </x:c>
      <x:c r="D38" s="64" t="str">
        <x:v>PO-2025-0037</x:v>
      </x:c>
      <x:c r="E38" s="64" t="str">
        <x:v>B38</x:v>
      </x:c>
      <x:c r="F38" s="64" t="str">
        <x:v>PO_Date</x:v>
      </x:c>
      <x:c r="G38" s="64" t="str">
        <x:v>10/01/2025</x:v>
      </x:c>
      <x:c r="H38" s="64" t="str">
        <x:v>2025-01-10</x:v>
      </x:c>
      <x:c r="I38" s="64" t="str">
        <x:v>standardization</x:v>
      </x:c>
      <x:c r="J38" s="64" t="str">
        <x:v>Converted the source text date to a true spreadsheet date and standardized its display without changing the calendar date.</x:v>
      </x:c>
      <x:c r="K38" s="64" t="str">
        <x:v>PASS — parsed source date equals cleaned date</x:v>
      </x:c>
      <x:c r="L38" s="64" t="str">
        <x:v>High</x:v>
      </x:c>
      <x:c r="M38" s="64" t="str">
        <x:v>Instructor Approved</x:v>
      </x:c>
    </x:row>
    <x:row r="39">
      <x:c r="A39" s="64" t="str">
        <x:v>AUD-0038</x:v>
      </x:c>
      <x:c r="B39" s="64" t="n">
        <x:v>39</x:v>
      </x:c>
      <x:c r="C39" s="64" t="str">
        <x:v>PO-2025-0038</x:v>
      </x:c>
      <x:c r="D39" s="64" t="str">
        <x:v>PO-2025-0038</x:v>
      </x:c>
      <x:c r="E39" s="64" t="str">
        <x:v>B39</x:v>
      </x:c>
      <x:c r="F39" s="64" t="str">
        <x:v>PO_Date</x:v>
      </x:c>
      <x:c r="G39" s="64" t="str">
        <x:v>24/02/2025</x:v>
      </x:c>
      <x:c r="H39" s="64" t="str">
        <x:v>2025-02-24</x:v>
      </x:c>
      <x:c r="I39" s="64" t="str">
        <x:v>standardization</x:v>
      </x:c>
      <x:c r="J39" s="64" t="str">
        <x:v>Converted the source text date to a true spreadsheet date and standardized its display without changing the calendar date.</x:v>
      </x:c>
      <x:c r="K39" s="64" t="str">
        <x:v>PASS — parsed source date equals cleaned date</x:v>
      </x:c>
      <x:c r="L39" s="64" t="str">
        <x:v>High</x:v>
      </x:c>
      <x:c r="M39" s="64" t="str">
        <x:v>Instructor Approved</x:v>
      </x:c>
    </x:row>
    <x:row r="40">
      <x:c r="A40" s="64" t="str">
        <x:v>AUD-0039</x:v>
      </x:c>
      <x:c r="B40" s="64" t="n">
        <x:v>40</x:v>
      </x:c>
      <x:c r="C40" s="64" t="str">
        <x:v>PO-2025-0039</x:v>
      </x:c>
      <x:c r="D40" s="64" t="str">
        <x:v>PO-2025-0039</x:v>
      </x:c>
      <x:c r="E40" s="64" t="str">
        <x:v>B40</x:v>
      </x:c>
      <x:c r="F40" s="64" t="str">
        <x:v>PO_Date</x:v>
      </x:c>
      <x:c r="G40" s="64" t="str">
        <x:v>18/02/2025</x:v>
      </x:c>
      <x:c r="H40" s="64" t="str">
        <x:v>2025-02-18</x:v>
      </x:c>
      <x:c r="I40" s="64" t="str">
        <x:v>standardization</x:v>
      </x:c>
      <x:c r="J40" s="64" t="str">
        <x:v>Converted the source text date to a true spreadsheet date and standardized its display without changing the calendar date.</x:v>
      </x:c>
      <x:c r="K40" s="64" t="str">
        <x:v>PASS — parsed source date equals cleaned date</x:v>
      </x:c>
      <x:c r="L40" s="64" t="str">
        <x:v>High</x:v>
      </x:c>
      <x:c r="M40" s="64" t="str">
        <x:v>Instructor Approved</x:v>
      </x:c>
    </x:row>
    <x:row r="41">
      <x:c r="A41" s="64" t="str">
        <x:v>AUD-0040</x:v>
      </x:c>
      <x:c r="B41" s="64" t="n">
        <x:v>41</x:v>
      </x:c>
      <x:c r="C41" s="64" t="str">
        <x:v>PO-2025-0040</x:v>
      </x:c>
      <x:c r="D41" s="64" t="str">
        <x:v>PO-2025-0040</x:v>
      </x:c>
      <x:c r="E41" s="64" t="str">
        <x:v>B41</x:v>
      </x:c>
      <x:c r="F41" s="64" t="str">
        <x:v>PO_Date</x:v>
      </x:c>
      <x:c r="G41" s="64" t="str">
        <x:v>07/01/2025</x:v>
      </x:c>
      <x:c r="H41" s="64" t="str">
        <x:v>2025-01-07</x:v>
      </x:c>
      <x:c r="I41" s="64" t="str">
        <x:v>standardization</x:v>
      </x:c>
      <x:c r="J41" s="64" t="str">
        <x:v>Converted the source text date to a true spreadsheet date and standardized its display without changing the calendar date.</x:v>
      </x:c>
      <x:c r="K41" s="64" t="str">
        <x:v>PASS — parsed source date equals cleaned date</x:v>
      </x:c>
      <x:c r="L41" s="64" t="str">
        <x:v>High</x:v>
      </x:c>
      <x:c r="M41" s="64" t="str">
        <x:v>Instructor Approved</x:v>
      </x:c>
    </x:row>
    <x:row r="42">
      <x:c r="A42" s="64" t="str">
        <x:v>AUD-0041</x:v>
      </x:c>
      <x:c r="B42" s="64" t="n">
        <x:v>42</x:v>
      </x:c>
      <x:c r="C42" s="64" t="str">
        <x:v>PO-2025-0041</x:v>
      </x:c>
      <x:c r="D42" s="64" t="str">
        <x:v>PO-2025-0041</x:v>
      </x:c>
      <x:c r="E42" s="64" t="str">
        <x:v>B42</x:v>
      </x:c>
      <x:c r="F42" s="64" t="str">
        <x:v>PO_Date</x:v>
      </x:c>
      <x:c r="G42" s="64" t="str">
        <x:v>15/06/2025</x:v>
      </x:c>
      <x:c r="H42" s="64" t="str">
        <x:v>2025-06-15</x:v>
      </x:c>
      <x:c r="I42" s="64" t="str">
        <x:v>standardization</x:v>
      </x:c>
      <x:c r="J42" s="64" t="str">
        <x:v>Converted the source text date to a true spreadsheet date and standardized its display without changing the calendar date.</x:v>
      </x:c>
      <x:c r="K42" s="64" t="str">
        <x:v>PASS — parsed source date equals cleaned date</x:v>
      </x:c>
      <x:c r="L42" s="64" t="str">
        <x:v>High</x:v>
      </x:c>
      <x:c r="M42" s="64" t="str">
        <x:v>Instructor Approved</x:v>
      </x:c>
    </x:row>
    <x:row r="43">
      <x:c r="A43" s="64" t="str">
        <x:v>AUD-0042</x:v>
      </x:c>
      <x:c r="B43" s="64" t="n">
        <x:v>43</x:v>
      </x:c>
      <x:c r="C43" s="64" t="str">
        <x:v>PO-2025-0042</x:v>
      </x:c>
      <x:c r="D43" s="64" t="str">
        <x:v>PO-2025-0042</x:v>
      </x:c>
      <x:c r="E43" s="64" t="str">
        <x:v>B43</x:v>
      </x:c>
      <x:c r="F43" s="64" t="str">
        <x:v>PO_Date</x:v>
      </x:c>
      <x:c r="G43" s="64" t="str">
        <x:v>10/03/2025</x:v>
      </x:c>
      <x:c r="H43" s="64" t="str">
        <x:v>2025-03-10</x:v>
      </x:c>
      <x:c r="I43" s="64" t="str">
        <x:v>standardization</x:v>
      </x:c>
      <x:c r="J43" s="64" t="str">
        <x:v>Converted the source text date to a true spreadsheet date and standardized its display without changing the calendar date.</x:v>
      </x:c>
      <x:c r="K43" s="64" t="str">
        <x:v>PASS — parsed source date equals cleaned date</x:v>
      </x:c>
      <x:c r="L43" s="64" t="str">
        <x:v>High</x:v>
      </x:c>
      <x:c r="M43" s="64" t="str">
        <x:v>Instructor Approved</x:v>
      </x:c>
    </x:row>
    <x:row r="44">
      <x:c r="A44" s="64" t="str">
        <x:v>AUD-0043</x:v>
      </x:c>
      <x:c r="B44" s="64" t="n">
        <x:v>44</x:v>
      </x:c>
      <x:c r="C44" s="64" t="str">
        <x:v>PO-2025-0043</x:v>
      </x:c>
      <x:c r="D44" s="64" t="str">
        <x:v>PO-2025-0043</x:v>
      </x:c>
      <x:c r="E44" s="64" t="str">
        <x:v>B44</x:v>
      </x:c>
      <x:c r="F44" s="64" t="str">
        <x:v>PO_Date</x:v>
      </x:c>
      <x:c r="G44" s="64" t="str">
        <x:v>24/11/2025</x:v>
      </x:c>
      <x:c r="H44" s="64" t="str">
        <x:v>2025-11-24</x:v>
      </x:c>
      <x:c r="I44" s="64" t="str">
        <x:v>standardization</x:v>
      </x:c>
      <x:c r="J44" s="64" t="str">
        <x:v>Converted the source text date to a true spreadsheet date and standardized its display without changing the calendar date.</x:v>
      </x:c>
      <x:c r="K44" s="64" t="str">
        <x:v>PASS — parsed source date equals cleaned date</x:v>
      </x:c>
      <x:c r="L44" s="64" t="str">
        <x:v>High</x:v>
      </x:c>
      <x:c r="M44" s="64" t="str">
        <x:v>Instructor Approved</x:v>
      </x:c>
    </x:row>
    <x:row r="45">
      <x:c r="A45" s="64" t="str">
        <x:v>AUD-0044</x:v>
      </x:c>
      <x:c r="B45" s="64" t="n">
        <x:v>45</x:v>
      </x:c>
      <x:c r="C45" s="64" t="str">
        <x:v>PO-2025-0044</x:v>
      </x:c>
      <x:c r="D45" s="64" t="str">
        <x:v>PO-2025-0044</x:v>
      </x:c>
      <x:c r="E45" s="64" t="str">
        <x:v>B45</x:v>
      </x:c>
      <x:c r="F45" s="64" t="str">
        <x:v>PO_Date</x:v>
      </x:c>
      <x:c r="G45" s="64" t="str">
        <x:v>25/11/2025</x:v>
      </x:c>
      <x:c r="H45" s="64" t="str">
        <x:v>2025-11-25</x:v>
      </x:c>
      <x:c r="I45" s="64" t="str">
        <x:v>standardization</x:v>
      </x:c>
      <x:c r="J45" s="64" t="str">
        <x:v>Converted the source text date to a true spreadsheet date and standardized its display without changing the calendar date.</x:v>
      </x:c>
      <x:c r="K45" s="64" t="str">
        <x:v>PASS — parsed source date equals cleaned date</x:v>
      </x:c>
      <x:c r="L45" s="64" t="str">
        <x:v>High</x:v>
      </x:c>
      <x:c r="M45" s="64" t="str">
        <x:v>Instructor Approved</x:v>
      </x:c>
    </x:row>
    <x:row r="46">
      <x:c r="A46" s="64" t="str">
        <x:v>AUD-0045</x:v>
      </x:c>
      <x:c r="B46" s="64" t="n">
        <x:v>46</x:v>
      </x:c>
      <x:c r="C46" s="64" t="str">
        <x:v>PO-2025-0045</x:v>
      </x:c>
      <x:c r="D46" s="64" t="str">
        <x:v>PO-2025-0045</x:v>
      </x:c>
      <x:c r="E46" s="64" t="str">
        <x:v>B46</x:v>
      </x:c>
      <x:c r="F46" s="64" t="str">
        <x:v>PO_Date</x:v>
      </x:c>
      <x:c r="G46" s="64" t="str">
        <x:v>28/11/2025</x:v>
      </x:c>
      <x:c r="H46" s="64" t="str">
        <x:v>2025-11-28</x:v>
      </x:c>
      <x:c r="I46" s="64" t="str">
        <x:v>standardization</x:v>
      </x:c>
      <x:c r="J46" s="64" t="str">
        <x:v>Converted the source text date to a true spreadsheet date and standardized its display without changing the calendar date.</x:v>
      </x:c>
      <x:c r="K46" s="64" t="str">
        <x:v>PASS — parsed source date equals cleaned date</x:v>
      </x:c>
      <x:c r="L46" s="64" t="str">
        <x:v>High</x:v>
      </x:c>
      <x:c r="M46" s="64" t="str">
        <x:v>Instructor Approved</x:v>
      </x:c>
    </x:row>
    <x:row r="47">
      <x:c r="A47" s="64" t="str">
        <x:v>AUD-0046</x:v>
      </x:c>
      <x:c r="B47" s="64" t="n">
        <x:v>47</x:v>
      </x:c>
      <x:c r="C47" s="64" t="str">
        <x:v>PO-2025-0046</x:v>
      </x:c>
      <x:c r="D47" s="64" t="str">
        <x:v>PO-2025-0046</x:v>
      </x:c>
      <x:c r="E47" s="64" t="str">
        <x:v>B47</x:v>
      </x:c>
      <x:c r="F47" s="64" t="str">
        <x:v>PO_Date</x:v>
      </x:c>
      <x:c r="G47" s="64" t="str">
        <x:v>23/11/2025</x:v>
      </x:c>
      <x:c r="H47" s="64" t="str">
        <x:v>2025-11-23</x:v>
      </x:c>
      <x:c r="I47" s="64" t="str">
        <x:v>standardization</x:v>
      </x:c>
      <x:c r="J47" s="64" t="str">
        <x:v>Converted the source text date to a true spreadsheet date and standardized its display without changing the calendar date.</x:v>
      </x:c>
      <x:c r="K47" s="64" t="str">
        <x:v>PASS — parsed source date equals cleaned date</x:v>
      </x:c>
      <x:c r="L47" s="64" t="str">
        <x:v>High</x:v>
      </x:c>
      <x:c r="M47" s="64" t="str">
        <x:v>Instructor Approved</x:v>
      </x:c>
    </x:row>
    <x:row r="48">
      <x:c r="A48" s="64" t="str">
        <x:v>AUD-0047</x:v>
      </x:c>
      <x:c r="B48" s="64" t="n">
        <x:v>48</x:v>
      </x:c>
      <x:c r="C48" s="64" t="str">
        <x:v>PO-2025-0047</x:v>
      </x:c>
      <x:c r="D48" s="64" t="str">
        <x:v>PO-2025-0047</x:v>
      </x:c>
      <x:c r="E48" s="64" t="str">
        <x:v>B48</x:v>
      </x:c>
      <x:c r="F48" s="64" t="str">
        <x:v>PO_Date</x:v>
      </x:c>
      <x:c r="G48" s="64" t="str">
        <x:v>08/08/2025</x:v>
      </x:c>
      <x:c r="H48" s="64" t="str">
        <x:v>2025-08-08</x:v>
      </x:c>
      <x:c r="I48" s="64" t="str">
        <x:v>standardization</x:v>
      </x:c>
      <x:c r="J48" s="64" t="str">
        <x:v>Converted the source text date to a true spreadsheet date and standardized its display without changing the calendar date.</x:v>
      </x:c>
      <x:c r="K48" s="64" t="str">
        <x:v>PASS — parsed source date equals cleaned date</x:v>
      </x:c>
      <x:c r="L48" s="64" t="str">
        <x:v>High</x:v>
      </x:c>
      <x:c r="M48" s="64" t="str">
        <x:v>Instructor Approved</x:v>
      </x:c>
    </x:row>
    <x:row r="49">
      <x:c r="A49" s="64" t="str">
        <x:v>AUD-0048</x:v>
      </x:c>
      <x:c r="B49" s="64" t="n">
        <x:v>49</x:v>
      </x:c>
      <x:c r="C49" s="64" t="str">
        <x:v>PO-2025-0048</x:v>
      </x:c>
      <x:c r="D49" s="64" t="str">
        <x:v>PO-2025-0048</x:v>
      </x:c>
      <x:c r="E49" s="64" t="str">
        <x:v>B49</x:v>
      </x:c>
      <x:c r="F49" s="64" t="str">
        <x:v>PO_Date</x:v>
      </x:c>
      <x:c r="G49" s="64" t="str">
        <x:v>01/06/2025</x:v>
      </x:c>
      <x:c r="H49" s="64" t="str">
        <x:v>2025-06-01</x:v>
      </x:c>
      <x:c r="I49" s="64" t="str">
        <x:v>standardization</x:v>
      </x:c>
      <x:c r="J49" s="64" t="str">
        <x:v>Converted the source text date to a true spreadsheet date and standardized its display without changing the calendar date.</x:v>
      </x:c>
      <x:c r="K49" s="64" t="str">
        <x:v>PASS — parsed source date equals cleaned date</x:v>
      </x:c>
      <x:c r="L49" s="64" t="str">
        <x:v>High</x:v>
      </x:c>
      <x:c r="M49" s="64" t="str">
        <x:v>Instructor Approved</x:v>
      </x:c>
    </x:row>
    <x:row r="50">
      <x:c r="A50" s="64" t="str">
        <x:v>AUD-0049</x:v>
      </x:c>
      <x:c r="B50" s="64" t="n">
        <x:v>50</x:v>
      </x:c>
      <x:c r="C50" s="64" t="str">
        <x:v>PO-2025-0049</x:v>
      </x:c>
      <x:c r="D50" s="64" t="str">
        <x:v>PO-2025-0049</x:v>
      </x:c>
      <x:c r="E50" s="64" t="str">
        <x:v>B50</x:v>
      </x:c>
      <x:c r="F50" s="64" t="str">
        <x:v>PO_Date</x:v>
      </x:c>
      <x:c r="G50" s="64" t="str">
        <x:v>25/10/2025</x:v>
      </x:c>
      <x:c r="H50" s="64" t="str">
        <x:v>2025-10-25</x:v>
      </x:c>
      <x:c r="I50" s="64" t="str">
        <x:v>standardization</x:v>
      </x:c>
      <x:c r="J50" s="64" t="str">
        <x:v>Converted the source text date to a true spreadsheet date and standardized its display without changing the calendar date.</x:v>
      </x:c>
      <x:c r="K50" s="64" t="str">
        <x:v>PASS — parsed source date equals cleaned date</x:v>
      </x:c>
      <x:c r="L50" s="64" t="str">
        <x:v>High</x:v>
      </x:c>
      <x:c r="M50" s="64" t="str">
        <x:v>Instructor Approved</x:v>
      </x:c>
    </x:row>
    <x:row r="51">
      <x:c r="A51" s="64" t="str">
        <x:v>AUD-0050</x:v>
      </x:c>
      <x:c r="B51" s="64" t="n">
        <x:v>51</x:v>
      </x:c>
      <x:c r="C51" s="64" t="str">
        <x:v>PO-2025-0050</x:v>
      </x:c>
      <x:c r="D51" s="64" t="str">
        <x:v>PO-2025-0050</x:v>
      </x:c>
      <x:c r="E51" s="64" t="str">
        <x:v>B51</x:v>
      </x:c>
      <x:c r="F51" s="64" t="str">
        <x:v>PO_Date</x:v>
      </x:c>
      <x:c r="G51" s="64" t="str">
        <x:v>06/11/2025</x:v>
      </x:c>
      <x:c r="H51" s="64" t="str">
        <x:v>2025-11-06</x:v>
      </x:c>
      <x:c r="I51" s="64" t="str">
        <x:v>standardization</x:v>
      </x:c>
      <x:c r="J51" s="64" t="str">
        <x:v>Converted the source text date to a true spreadsheet date and standardized its display without changing the calendar date.</x:v>
      </x:c>
      <x:c r="K51" s="64" t="str">
        <x:v>PASS — parsed source date equals cleaned date</x:v>
      </x:c>
      <x:c r="L51" s="64" t="str">
        <x:v>High</x:v>
      </x:c>
      <x:c r="M51" s="64" t="str">
        <x:v>Instructor Approved</x:v>
      </x:c>
    </x:row>
    <x:row r="52">
      <x:c r="A52" s="64" t="str">
        <x:v>AUD-0051</x:v>
      </x:c>
      <x:c r="B52" s="64" t="n">
        <x:v>52</x:v>
      </x:c>
      <x:c r="C52" s="64" t="str">
        <x:v>PO-2025-0051</x:v>
      </x:c>
      <x:c r="D52" s="64" t="str">
        <x:v>PO-2025-0051</x:v>
      </x:c>
      <x:c r="E52" s="64" t="str">
        <x:v>B52</x:v>
      </x:c>
      <x:c r="F52" s="64" t="str">
        <x:v>PO_Date</x:v>
      </x:c>
      <x:c r="G52" s="64" t="str">
        <x:v>02/08/2025</x:v>
      </x:c>
      <x:c r="H52" s="64" t="str">
        <x:v>2025-08-02</x:v>
      </x:c>
      <x:c r="I52" s="64" t="str">
        <x:v>standardization</x:v>
      </x:c>
      <x:c r="J52" s="64" t="str">
        <x:v>Converted the source text date to a true spreadsheet date and standardized its display without changing the calendar date.</x:v>
      </x:c>
      <x:c r="K52" s="64" t="str">
        <x:v>PASS — parsed source date equals cleaned date</x:v>
      </x:c>
      <x:c r="L52" s="64" t="str">
        <x:v>High</x:v>
      </x:c>
      <x:c r="M52" s="64" t="str">
        <x:v>Instructor Approved</x:v>
      </x:c>
    </x:row>
    <x:row r="53">
      <x:c r="A53" s="64" t="str">
        <x:v>AUD-0052</x:v>
      </x:c>
      <x:c r="B53" s="64" t="n">
        <x:v>53</x:v>
      </x:c>
      <x:c r="C53" s="64" t="str">
        <x:v>PO-2025-0052</x:v>
      </x:c>
      <x:c r="D53" s="64" t="str">
        <x:v>PO-2025-0052</x:v>
      </x:c>
      <x:c r="E53" s="64" t="str">
        <x:v>B53</x:v>
      </x:c>
      <x:c r="F53" s="64" t="str">
        <x:v>PO_Date</x:v>
      </x:c>
      <x:c r="G53" s="64" t="str">
        <x:v>15/09/2025</x:v>
      </x:c>
      <x:c r="H53" s="64" t="str">
        <x:v>2025-09-15</x:v>
      </x:c>
      <x:c r="I53" s="64" t="str">
        <x:v>standardization</x:v>
      </x:c>
      <x:c r="J53" s="64" t="str">
        <x:v>Converted the source text date to a true spreadsheet date and standardized its display without changing the calendar date.</x:v>
      </x:c>
      <x:c r="K53" s="64" t="str">
        <x:v>PASS — parsed source date equals cleaned date</x:v>
      </x:c>
      <x:c r="L53" s="64" t="str">
        <x:v>High</x:v>
      </x:c>
      <x:c r="M53" s="64" t="str">
        <x:v>Instructor Approved</x:v>
      </x:c>
    </x:row>
    <x:row r="54">
      <x:c r="A54" s="64" t="str">
        <x:v>AUD-0053</x:v>
      </x:c>
      <x:c r="B54" s="64" t="n">
        <x:v>54</x:v>
      </x:c>
      <x:c r="C54" s="64" t="str">
        <x:v>PO-2025-0053</x:v>
      </x:c>
      <x:c r="D54" s="64" t="str">
        <x:v>PO-2025-0053</x:v>
      </x:c>
      <x:c r="E54" s="64" t="str">
        <x:v>B54</x:v>
      </x:c>
      <x:c r="F54" s="64" t="str">
        <x:v>PO_Date</x:v>
      </x:c>
      <x:c r="G54" s="64" t="str">
        <x:v>18/11/2025</x:v>
      </x:c>
      <x:c r="H54" s="64" t="str">
        <x:v>2025-11-18</x:v>
      </x:c>
      <x:c r="I54" s="64" t="str">
        <x:v>standardization</x:v>
      </x:c>
      <x:c r="J54" s="64" t="str">
        <x:v>Converted the source text date to a true spreadsheet date and standardized its display without changing the calendar date.</x:v>
      </x:c>
      <x:c r="K54" s="64" t="str">
        <x:v>PASS — parsed source date equals cleaned date</x:v>
      </x:c>
      <x:c r="L54" s="64" t="str">
        <x:v>High</x:v>
      </x:c>
      <x:c r="M54" s="64" t="str">
        <x:v>Instructor Approved</x:v>
      </x:c>
    </x:row>
    <x:row r="55">
      <x:c r="A55" s="64" t="str">
        <x:v>AUD-0054</x:v>
      </x:c>
      <x:c r="B55" s="64" t="n">
        <x:v>55</x:v>
      </x:c>
      <x:c r="C55" s="64" t="str">
        <x:v>PO-2025-0054</x:v>
      </x:c>
      <x:c r="D55" s="64" t="str">
        <x:v>PO-2025-0054</x:v>
      </x:c>
      <x:c r="E55" s="64" t="str">
        <x:v>B55</x:v>
      </x:c>
      <x:c r="F55" s="64" t="str">
        <x:v>PO_Date</x:v>
      </x:c>
      <x:c r="G55" s="64" t="str">
        <x:v>24/03/2025</x:v>
      </x:c>
      <x:c r="H55" s="64" t="str">
        <x:v>2025-03-24</x:v>
      </x:c>
      <x:c r="I55" s="64" t="str">
        <x:v>standardization</x:v>
      </x:c>
      <x:c r="J55" s="64" t="str">
        <x:v>Converted the source text date to a true spreadsheet date and standardized its display without changing the calendar date.</x:v>
      </x:c>
      <x:c r="K55" s="64" t="str">
        <x:v>PASS — parsed source date equals cleaned date</x:v>
      </x:c>
      <x:c r="L55" s="64" t="str">
        <x:v>High</x:v>
      </x:c>
      <x:c r="M55" s="64" t="str">
        <x:v>Instructor Approved</x:v>
      </x:c>
    </x:row>
    <x:row r="56">
      <x:c r="A56" s="64" t="str">
        <x:v>AUD-0055</x:v>
      </x:c>
      <x:c r="B56" s="64" t="n">
        <x:v>56</x:v>
      </x:c>
      <x:c r="C56" s="64" t="str">
        <x:v>PO-2025-0055</x:v>
      </x:c>
      <x:c r="D56" s="64" t="str">
        <x:v>PO-2025-0055</x:v>
      </x:c>
      <x:c r="E56" s="64" t="str">
        <x:v>B56</x:v>
      </x:c>
      <x:c r="F56" s="64" t="str">
        <x:v>PO_Date</x:v>
      </x:c>
      <x:c r="G56" s="64" t="str">
        <x:v>03/03/2025</x:v>
      </x:c>
      <x:c r="H56" s="64" t="str">
        <x:v>2025-03-03</x:v>
      </x:c>
      <x:c r="I56" s="64" t="str">
        <x:v>standardization</x:v>
      </x:c>
      <x:c r="J56" s="64" t="str">
        <x:v>Converted the source text date to a true spreadsheet date and standardized its display without changing the calendar date.</x:v>
      </x:c>
      <x:c r="K56" s="64" t="str">
        <x:v>PASS — parsed source date equals cleaned date</x:v>
      </x:c>
      <x:c r="L56" s="64" t="str">
        <x:v>High</x:v>
      </x:c>
      <x:c r="M56" s="64" t="str">
        <x:v>Instructor Approved</x:v>
      </x:c>
    </x:row>
    <x:row r="57">
      <x:c r="A57" s="64" t="str">
        <x:v>AUD-0056</x:v>
      </x:c>
      <x:c r="B57" s="64" t="n">
        <x:v>57</x:v>
      </x:c>
      <x:c r="C57" s="64" t="str">
        <x:v>PO-2025-0056</x:v>
      </x:c>
      <x:c r="D57" s="64" t="str">
        <x:v>PO-2025-0056</x:v>
      </x:c>
      <x:c r="E57" s="64" t="str">
        <x:v>B57</x:v>
      </x:c>
      <x:c r="F57" s="64" t="str">
        <x:v>PO_Date</x:v>
      </x:c>
      <x:c r="G57" s="64" t="str">
        <x:v>05/04/2025</x:v>
      </x:c>
      <x:c r="H57" s="64" t="str">
        <x:v>2025-04-05</x:v>
      </x:c>
      <x:c r="I57" s="64" t="str">
        <x:v>standardization</x:v>
      </x:c>
      <x:c r="J57" s="64" t="str">
        <x:v>Converted the source text date to a true spreadsheet date and standardized its display without changing the calendar date.</x:v>
      </x:c>
      <x:c r="K57" s="64" t="str">
        <x:v>PASS — parsed source date equals cleaned date</x:v>
      </x:c>
      <x:c r="L57" s="64" t="str">
        <x:v>High</x:v>
      </x:c>
      <x:c r="M57" s="64" t="str">
        <x:v>Instructor Approved</x:v>
      </x:c>
    </x:row>
    <x:row r="58">
      <x:c r="A58" s="64" t="str">
        <x:v>AUD-0057</x:v>
      </x:c>
      <x:c r="B58" s="64" t="n">
        <x:v>58</x:v>
      </x:c>
      <x:c r="C58" s="64" t="str">
        <x:v>PO-2025-0057</x:v>
      </x:c>
      <x:c r="D58" s="64" t="str">
        <x:v>PO-2025-0057</x:v>
      </x:c>
      <x:c r="E58" s="64" t="str">
        <x:v>B58</x:v>
      </x:c>
      <x:c r="F58" s="64" t="str">
        <x:v>PO_Date</x:v>
      </x:c>
      <x:c r="G58" s="64" t="str">
        <x:v>03/06/2025</x:v>
      </x:c>
      <x:c r="H58" s="64" t="str">
        <x:v>2025-06-03</x:v>
      </x:c>
      <x:c r="I58" s="64" t="str">
        <x:v>standardization</x:v>
      </x:c>
      <x:c r="J58" s="64" t="str">
        <x:v>Converted the source text date to a true spreadsheet date and standardized its display without changing the calendar date.</x:v>
      </x:c>
      <x:c r="K58" s="64" t="str">
        <x:v>PASS — parsed source date equals cleaned date</x:v>
      </x:c>
      <x:c r="L58" s="64" t="str">
        <x:v>High</x:v>
      </x:c>
      <x:c r="M58" s="64" t="str">
        <x:v>Instructor Approved</x:v>
      </x:c>
    </x:row>
    <x:row r="59">
      <x:c r="A59" s="64" t="str">
        <x:v>AUD-0058</x:v>
      </x:c>
      <x:c r="B59" s="64" t="n">
        <x:v>59</x:v>
      </x:c>
      <x:c r="C59" s="64" t="str">
        <x:v>PO-2025-0058</x:v>
      </x:c>
      <x:c r="D59" s="64" t="str">
        <x:v>PO-2025-0058</x:v>
      </x:c>
      <x:c r="E59" s="64" t="str">
        <x:v>B59</x:v>
      </x:c>
      <x:c r="F59" s="64" t="str">
        <x:v>PO_Date</x:v>
      </x:c>
      <x:c r="G59" s="64" t="str">
        <x:v>17/06/2025</x:v>
      </x:c>
      <x:c r="H59" s="64" t="str">
        <x:v>2025-06-17</x:v>
      </x:c>
      <x:c r="I59" s="64" t="str">
        <x:v>standardization</x:v>
      </x:c>
      <x:c r="J59" s="64" t="str">
        <x:v>Converted the source text date to a true spreadsheet date and standardized its display without changing the calendar date.</x:v>
      </x:c>
      <x:c r="K59" s="64" t="str">
        <x:v>PASS — parsed source date equals cleaned date</x:v>
      </x:c>
      <x:c r="L59" s="64" t="str">
        <x:v>High</x:v>
      </x:c>
      <x:c r="M59" s="64" t="str">
        <x:v>Instructor Approved</x:v>
      </x:c>
    </x:row>
    <x:row r="60">
      <x:c r="A60" s="64" t="str">
        <x:v>AUD-0059</x:v>
      </x:c>
      <x:c r="B60" s="64" t="n">
        <x:v>60</x:v>
      </x:c>
      <x:c r="C60" s="64" t="str">
        <x:v>PO-2025-0059</x:v>
      </x:c>
      <x:c r="D60" s="64" t="str">
        <x:v>PO-2025-0059</x:v>
      </x:c>
      <x:c r="E60" s="64" t="str">
        <x:v>B60</x:v>
      </x:c>
      <x:c r="F60" s="64" t="str">
        <x:v>PO_Date</x:v>
      </x:c>
      <x:c r="G60" s="64" t="str">
        <x:v>22/09/2025</x:v>
      </x:c>
      <x:c r="H60" s="64" t="str">
        <x:v>2025-09-22</x:v>
      </x:c>
      <x:c r="I60" s="64" t="str">
        <x:v>standardization</x:v>
      </x:c>
      <x:c r="J60" s="64" t="str">
        <x:v>Converted the source text date to a true spreadsheet date and standardized its display without changing the calendar date.</x:v>
      </x:c>
      <x:c r="K60" s="64" t="str">
        <x:v>PASS — parsed source date equals cleaned date</x:v>
      </x:c>
      <x:c r="L60" s="64" t="str">
        <x:v>High</x:v>
      </x:c>
      <x:c r="M60" s="64" t="str">
        <x:v>Instructor Approved</x:v>
      </x:c>
    </x:row>
    <x:row r="61">
      <x:c r="A61" s="64" t="str">
        <x:v>AUD-0060</x:v>
      </x:c>
      <x:c r="B61" s="64" t="n">
        <x:v>61</x:v>
      </x:c>
      <x:c r="C61" s="64" t="str">
        <x:v>PO-2025-0060</x:v>
      </x:c>
      <x:c r="D61" s="64" t="str">
        <x:v>PO-2025-0060</x:v>
      </x:c>
      <x:c r="E61" s="64" t="str">
        <x:v>B61</x:v>
      </x:c>
      <x:c r="F61" s="64" t="str">
        <x:v>PO_Date</x:v>
      </x:c>
      <x:c r="G61" s="64" t="str">
        <x:v>04/10/2025</x:v>
      </x:c>
      <x:c r="H61" s="64" t="str">
        <x:v>2025-10-04</x:v>
      </x:c>
      <x:c r="I61" s="64" t="str">
        <x:v>standardization</x:v>
      </x:c>
      <x:c r="J61" s="64" t="str">
        <x:v>Converted the source text date to a true spreadsheet date and standardized its display without changing the calendar date.</x:v>
      </x:c>
      <x:c r="K61" s="64" t="str">
        <x:v>PASS — parsed source date equals cleaned date</x:v>
      </x:c>
      <x:c r="L61" s="64" t="str">
        <x:v>High</x:v>
      </x:c>
      <x:c r="M61" s="64" t="str">
        <x:v>Instructor Approved</x:v>
      </x:c>
    </x:row>
    <x:row r="62">
      <x:c r="A62" s="64" t="str">
        <x:v>AUD-0061</x:v>
      </x:c>
      <x:c r="B62" s="64" t="n">
        <x:v>62</x:v>
      </x:c>
      <x:c r="C62" s="64" t="str">
        <x:v>PO-2025-0061</x:v>
      </x:c>
      <x:c r="D62" s="64" t="str">
        <x:v>PO-2025-0061</x:v>
      </x:c>
      <x:c r="E62" s="64" t="str">
        <x:v>B62</x:v>
      </x:c>
      <x:c r="F62" s="64" t="str">
        <x:v>PO_Date</x:v>
      </x:c>
      <x:c r="G62" s="64" t="str">
        <x:v>30/11/2025</x:v>
      </x:c>
      <x:c r="H62" s="64" t="str">
        <x:v>2025-11-30</x:v>
      </x:c>
      <x:c r="I62" s="64" t="str">
        <x:v>standardization</x:v>
      </x:c>
      <x:c r="J62" s="64" t="str">
        <x:v>Converted the source text date to a true spreadsheet date and standardized its display without changing the calendar date.</x:v>
      </x:c>
      <x:c r="K62" s="64" t="str">
        <x:v>PASS — parsed source date equals cleaned date</x:v>
      </x:c>
      <x:c r="L62" s="64" t="str">
        <x:v>High</x:v>
      </x:c>
      <x:c r="M62" s="64" t="str">
        <x:v>Instructor Approved</x:v>
      </x:c>
    </x:row>
    <x:row r="63">
      <x:c r="A63" s="64" t="str">
        <x:v>AUD-0062</x:v>
      </x:c>
      <x:c r="B63" s="64" t="n">
        <x:v>63</x:v>
      </x:c>
      <x:c r="C63" s="64" t="str">
        <x:v>PO-2025-0062</x:v>
      </x:c>
      <x:c r="D63" s="64" t="str">
        <x:v>PO-2025-0062</x:v>
      </x:c>
      <x:c r="E63" s="64" t="str">
        <x:v>B63</x:v>
      </x:c>
      <x:c r="F63" s="64" t="str">
        <x:v>PO_Date</x:v>
      </x:c>
      <x:c r="G63" s="64" t="str">
        <x:v>01/12/2025</x:v>
      </x:c>
      <x:c r="H63" s="64" t="str">
        <x:v>2025-12-01</x:v>
      </x:c>
      <x:c r="I63" s="64" t="str">
        <x:v>standardization</x:v>
      </x:c>
      <x:c r="J63" s="64" t="str">
        <x:v>Converted the source text date to a true spreadsheet date and standardized its display without changing the calendar date.</x:v>
      </x:c>
      <x:c r="K63" s="64" t="str">
        <x:v>PASS — parsed source date equals cleaned date</x:v>
      </x:c>
      <x:c r="L63" s="64" t="str">
        <x:v>High</x:v>
      </x:c>
      <x:c r="M63" s="64" t="str">
        <x:v>Instructor Approved</x:v>
      </x:c>
    </x:row>
    <x:row r="64">
      <x:c r="A64" s="64" t="str">
        <x:v>AUD-0063</x:v>
      </x:c>
      <x:c r="B64" s="64" t="n">
        <x:v>64</x:v>
      </x:c>
      <x:c r="C64" s="64" t="str">
        <x:v>PO-2025-0063</x:v>
      </x:c>
      <x:c r="D64" s="64" t="str">
        <x:v>PO-2025-0063</x:v>
      </x:c>
      <x:c r="E64" s="64" t="str">
        <x:v>B64</x:v>
      </x:c>
      <x:c r="F64" s="64" t="str">
        <x:v>PO_Date</x:v>
      </x:c>
      <x:c r="G64" s="64" t="str">
        <x:v>20/06/2025</x:v>
      </x:c>
      <x:c r="H64" s="64" t="str">
        <x:v>2025-06-20</x:v>
      </x:c>
      <x:c r="I64" s="64" t="str">
        <x:v>standardization</x:v>
      </x:c>
      <x:c r="J64" s="64" t="str">
        <x:v>Converted the source text date to a true spreadsheet date and standardized its display without changing the calendar date.</x:v>
      </x:c>
      <x:c r="K64" s="64" t="str">
        <x:v>PASS — parsed source date equals cleaned date</x:v>
      </x:c>
      <x:c r="L64" s="64" t="str">
        <x:v>High</x:v>
      </x:c>
      <x:c r="M64" s="64" t="str">
        <x:v>Instructor Approved</x:v>
      </x:c>
    </x:row>
    <x:row r="65">
      <x:c r="A65" s="64" t="str">
        <x:v>AUD-0064</x:v>
      </x:c>
      <x:c r="B65" s="64" t="n">
        <x:v>65</x:v>
      </x:c>
      <x:c r="C65" s="64" t="str">
        <x:v>PO-2025-0064</x:v>
      </x:c>
      <x:c r="D65" s="64" t="str">
        <x:v>PO-2025-0064</x:v>
      </x:c>
      <x:c r="E65" s="64" t="str">
        <x:v>B65</x:v>
      </x:c>
      <x:c r="F65" s="64" t="str">
        <x:v>PO_Date</x:v>
      </x:c>
      <x:c r="G65" s="64" t="str">
        <x:v>26/08/2025</x:v>
      </x:c>
      <x:c r="H65" s="64" t="str">
        <x:v>2025-08-26</x:v>
      </x:c>
      <x:c r="I65" s="64" t="str">
        <x:v>standardization</x:v>
      </x:c>
      <x:c r="J65" s="64" t="str">
        <x:v>Converted the source text date to a true spreadsheet date and standardized its display without changing the calendar date.</x:v>
      </x:c>
      <x:c r="K65" s="64" t="str">
        <x:v>PASS — parsed source date equals cleaned date</x:v>
      </x:c>
      <x:c r="L65" s="64" t="str">
        <x:v>High</x:v>
      </x:c>
      <x:c r="M65" s="64" t="str">
        <x:v>Instructor Approved</x:v>
      </x:c>
    </x:row>
    <x:row r="66">
      <x:c r="A66" s="64" t="str">
        <x:v>AUD-0065</x:v>
      </x:c>
      <x:c r="B66" s="64" t="n">
        <x:v>66</x:v>
      </x:c>
      <x:c r="C66" s="64" t="str">
        <x:v>PO-2025-0065</x:v>
      </x:c>
      <x:c r="D66" s="64" t="str">
        <x:v>PO-2025-0065</x:v>
      </x:c>
      <x:c r="E66" s="64" t="str">
        <x:v>B66</x:v>
      </x:c>
      <x:c r="F66" s="64" t="str">
        <x:v>PO_Date</x:v>
      </x:c>
      <x:c r="G66" s="64" t="str">
        <x:v>27/03/2025</x:v>
      </x:c>
      <x:c r="H66" s="64" t="str">
        <x:v>2025-03-27</x:v>
      </x:c>
      <x:c r="I66" s="64" t="str">
        <x:v>standardization</x:v>
      </x:c>
      <x:c r="J66" s="64" t="str">
        <x:v>Converted the source text date to a true spreadsheet date and standardized its display without changing the calendar date.</x:v>
      </x:c>
      <x:c r="K66" s="64" t="str">
        <x:v>PASS — parsed source date equals cleaned date</x:v>
      </x:c>
      <x:c r="L66" s="64" t="str">
        <x:v>High</x:v>
      </x:c>
      <x:c r="M66" s="64" t="str">
        <x:v>Instructor Approved</x:v>
      </x:c>
    </x:row>
    <x:row r="67">
      <x:c r="A67" s="64" t="str">
        <x:v>AUD-0066</x:v>
      </x:c>
      <x:c r="B67" s="64" t="n">
        <x:v>67</x:v>
      </x:c>
      <x:c r="C67" s="64" t="str">
        <x:v>PO-2025-0066</x:v>
      </x:c>
      <x:c r="D67" s="64" t="str">
        <x:v>PO-2025-0066</x:v>
      </x:c>
      <x:c r="E67" s="64" t="str">
        <x:v>B67</x:v>
      </x:c>
      <x:c r="F67" s="64" t="str">
        <x:v>PO_Date</x:v>
      </x:c>
      <x:c r="G67" s="64" t="str">
        <x:v>01/02/2025</x:v>
      </x:c>
      <x:c r="H67" s="64" t="str">
        <x:v>2025-02-01</x:v>
      </x:c>
      <x:c r="I67" s="64" t="str">
        <x:v>standardization</x:v>
      </x:c>
      <x:c r="J67" s="64" t="str">
        <x:v>Converted the source text date to a true spreadsheet date and standardized its display without changing the calendar date.</x:v>
      </x:c>
      <x:c r="K67" s="64" t="str">
        <x:v>PASS — parsed source date equals cleaned date</x:v>
      </x:c>
      <x:c r="L67" s="64" t="str">
        <x:v>High</x:v>
      </x:c>
      <x:c r="M67" s="64" t="str">
        <x:v>Instructor Approved</x:v>
      </x:c>
    </x:row>
    <x:row r="68">
      <x:c r="A68" s="64" t="str">
        <x:v>AUD-0067</x:v>
      </x:c>
      <x:c r="B68" s="64" t="n">
        <x:v>68</x:v>
      </x:c>
      <x:c r="C68" s="64" t="str">
        <x:v>PO-2025-0067</x:v>
      </x:c>
      <x:c r="D68" s="64" t="str">
        <x:v>PO-2025-0067</x:v>
      </x:c>
      <x:c r="E68" s="64" t="str">
        <x:v>B68</x:v>
      </x:c>
      <x:c r="F68" s="64" t="str">
        <x:v>PO_Date</x:v>
      </x:c>
      <x:c r="G68" s="64" t="str">
        <x:v>01/11/2025</x:v>
      </x:c>
      <x:c r="H68" s="64" t="str">
        <x:v>2025-11-01</x:v>
      </x:c>
      <x:c r="I68" s="64" t="str">
        <x:v>standardization</x:v>
      </x:c>
      <x:c r="J68" s="64" t="str">
        <x:v>Converted the source text date to a true spreadsheet date and standardized its display without changing the calendar date.</x:v>
      </x:c>
      <x:c r="K68" s="64" t="str">
        <x:v>PASS — parsed source date equals cleaned date</x:v>
      </x:c>
      <x:c r="L68" s="64" t="str">
        <x:v>High</x:v>
      </x:c>
      <x:c r="M68" s="64" t="str">
        <x:v>Instructor Approved</x:v>
      </x:c>
    </x:row>
    <x:row r="69">
      <x:c r="A69" s="64" t="str">
        <x:v>AUD-0068</x:v>
      </x:c>
      <x:c r="B69" s="64" t="n">
        <x:v>69</x:v>
      </x:c>
      <x:c r="C69" s="64" t="str">
        <x:v>PO-2025-0068</x:v>
      </x:c>
      <x:c r="D69" s="64" t="str">
        <x:v>PO-2025-0068</x:v>
      </x:c>
      <x:c r="E69" s="64" t="str">
        <x:v>B69</x:v>
      </x:c>
      <x:c r="F69" s="64" t="str">
        <x:v>PO_Date</x:v>
      </x:c>
      <x:c r="G69" s="64" t="str">
        <x:v>03/09/2025</x:v>
      </x:c>
      <x:c r="H69" s="64" t="str">
        <x:v>2025-09-03</x:v>
      </x:c>
      <x:c r="I69" s="64" t="str">
        <x:v>standardization</x:v>
      </x:c>
      <x:c r="J69" s="64" t="str">
        <x:v>Converted the source text date to a true spreadsheet date and standardized its display without changing the calendar date.</x:v>
      </x:c>
      <x:c r="K69" s="64" t="str">
        <x:v>PASS — parsed source date equals cleaned date</x:v>
      </x:c>
      <x:c r="L69" s="64" t="str">
        <x:v>High</x:v>
      </x:c>
      <x:c r="M69" s="64" t="str">
        <x:v>Instructor Approved</x:v>
      </x:c>
    </x:row>
    <x:row r="70">
      <x:c r="A70" s="64" t="str">
        <x:v>AUD-0069</x:v>
      </x:c>
      <x:c r="B70" s="64" t="n">
        <x:v>70</x:v>
      </x:c>
      <x:c r="C70" s="64" t="str">
        <x:v>PO-2025-0069</x:v>
      </x:c>
      <x:c r="D70" s="64" t="str">
        <x:v>PO-2025-0069</x:v>
      </x:c>
      <x:c r="E70" s="64" t="str">
        <x:v>B70</x:v>
      </x:c>
      <x:c r="F70" s="64" t="str">
        <x:v>PO_Date</x:v>
      </x:c>
      <x:c r="G70" s="64" t="str">
        <x:v>21/05/2025</x:v>
      </x:c>
      <x:c r="H70" s="64" t="str">
        <x:v>2025-05-21</x:v>
      </x:c>
      <x:c r="I70" s="64" t="str">
        <x:v>standardization</x:v>
      </x:c>
      <x:c r="J70" s="64" t="str">
        <x:v>Converted the source text date to a true spreadsheet date and standardized its display without changing the calendar date.</x:v>
      </x:c>
      <x:c r="K70" s="64" t="str">
        <x:v>PASS — parsed source date equals cleaned date</x:v>
      </x:c>
      <x:c r="L70" s="64" t="str">
        <x:v>High</x:v>
      </x:c>
      <x:c r="M70" s="64" t="str">
        <x:v>Instructor Approved</x:v>
      </x:c>
    </x:row>
    <x:row r="71">
      <x:c r="A71" s="64" t="str">
        <x:v>AUD-0070</x:v>
      </x:c>
      <x:c r="B71" s="64" t="n">
        <x:v>71</x:v>
      </x:c>
      <x:c r="C71" s="64" t="str">
        <x:v>PO-2025-0070</x:v>
      </x:c>
      <x:c r="D71" s="64" t="str">
        <x:v>PO-2025-0070</x:v>
      </x:c>
      <x:c r="E71" s="64" t="str">
        <x:v>B71</x:v>
      </x:c>
      <x:c r="F71" s="64" t="str">
        <x:v>PO_Date</x:v>
      </x:c>
      <x:c r="G71" s="64" t="str">
        <x:v>16/03/2025</x:v>
      </x:c>
      <x:c r="H71" s="64" t="str">
        <x:v>2025-03-16</x:v>
      </x:c>
      <x:c r="I71" s="64" t="str">
        <x:v>standardization</x:v>
      </x:c>
      <x:c r="J71" s="64" t="str">
        <x:v>Converted the source text date to a true spreadsheet date and standardized its display without changing the calendar date.</x:v>
      </x:c>
      <x:c r="K71" s="64" t="str">
        <x:v>PASS — parsed source date equals cleaned date</x:v>
      </x:c>
      <x:c r="L71" s="64" t="str">
        <x:v>High</x:v>
      </x:c>
      <x:c r="M71" s="64" t="str">
        <x:v>Instructor Approved</x:v>
      </x:c>
    </x:row>
    <x:row r="72">
      <x:c r="A72" s="64" t="str">
        <x:v>AUD-0071</x:v>
      </x:c>
      <x:c r="B72" s="64" t="n">
        <x:v>72</x:v>
      </x:c>
      <x:c r="C72" s="64" t="str">
        <x:v>PO-2025-0071</x:v>
      </x:c>
      <x:c r="D72" s="64" t="str">
        <x:v>PO-2025-0071</x:v>
      </x:c>
      <x:c r="E72" s="64" t="str">
        <x:v>B72</x:v>
      </x:c>
      <x:c r="F72" s="64" t="str">
        <x:v>PO_Date</x:v>
      </x:c>
      <x:c r="G72" s="64" t="str">
        <x:v>30/06/2025</x:v>
      </x:c>
      <x:c r="H72" s="64" t="str">
        <x:v>2025-06-30</x:v>
      </x:c>
      <x:c r="I72" s="64" t="str">
        <x:v>standardization</x:v>
      </x:c>
      <x:c r="J72" s="64" t="str">
        <x:v>Converted the source text date to a true spreadsheet date and standardized its display without changing the calendar date.</x:v>
      </x:c>
      <x:c r="K72" s="64" t="str">
        <x:v>PASS — parsed source date equals cleaned date</x:v>
      </x:c>
      <x:c r="L72" s="64" t="str">
        <x:v>High</x:v>
      </x:c>
      <x:c r="M72" s="64" t="str">
        <x:v>Instructor Approved</x:v>
      </x:c>
    </x:row>
    <x:row r="73">
      <x:c r="A73" s="64" t="str">
        <x:v>AUD-0072</x:v>
      </x:c>
      <x:c r="B73" s="64" t="n">
        <x:v>73</x:v>
      </x:c>
      <x:c r="C73" s="64" t="str">
        <x:v>PO-2025-0072</x:v>
      </x:c>
      <x:c r="D73" s="64" t="str">
        <x:v>PO-2025-0072</x:v>
      </x:c>
      <x:c r="E73" s="64" t="str">
        <x:v>B73</x:v>
      </x:c>
      <x:c r="F73" s="64" t="str">
        <x:v>PO_Date</x:v>
      </x:c>
      <x:c r="G73" s="64" t="str">
        <x:v>17/04/2025</x:v>
      </x:c>
      <x:c r="H73" s="64" t="str">
        <x:v>2025-04-17</x:v>
      </x:c>
      <x:c r="I73" s="64" t="str">
        <x:v>standardization</x:v>
      </x:c>
      <x:c r="J73" s="64" t="str">
        <x:v>Converted the source text date to a true spreadsheet date and standardized its display without changing the calendar date.</x:v>
      </x:c>
      <x:c r="K73" s="64" t="str">
        <x:v>PASS — parsed source date equals cleaned date</x:v>
      </x:c>
      <x:c r="L73" s="64" t="str">
        <x:v>High</x:v>
      </x:c>
      <x:c r="M73" s="64" t="str">
        <x:v>Instructor Approved</x:v>
      </x:c>
    </x:row>
    <x:row r="74">
      <x:c r="A74" s="64" t="str">
        <x:v>AUD-0073</x:v>
      </x:c>
      <x:c r="B74" s="64" t="n">
        <x:v>74</x:v>
      </x:c>
      <x:c r="C74" s="64" t="str">
        <x:v>PO-2025-0073</x:v>
      </x:c>
      <x:c r="D74" s="64" t="str">
        <x:v>PO-2025-0073</x:v>
      </x:c>
      <x:c r="E74" s="64" t="str">
        <x:v>B74</x:v>
      </x:c>
      <x:c r="F74" s="64" t="str">
        <x:v>PO_Date</x:v>
      </x:c>
      <x:c r="G74" s="64" t="str">
        <x:v>04/07/2025</x:v>
      </x:c>
      <x:c r="H74" s="64" t="str">
        <x:v>2025-07-04</x:v>
      </x:c>
      <x:c r="I74" s="64" t="str">
        <x:v>standardization</x:v>
      </x:c>
      <x:c r="J74" s="64" t="str">
        <x:v>Converted the source text date to a true spreadsheet date and standardized its display without changing the calendar date.</x:v>
      </x:c>
      <x:c r="K74" s="64" t="str">
        <x:v>PASS — parsed source date equals cleaned date</x:v>
      </x:c>
      <x:c r="L74" s="64" t="str">
        <x:v>High</x:v>
      </x:c>
      <x:c r="M74" s="64" t="str">
        <x:v>Instructor Approved</x:v>
      </x:c>
    </x:row>
    <x:row r="75">
      <x:c r="A75" s="64" t="str">
        <x:v>AUD-0074</x:v>
      </x:c>
      <x:c r="B75" s="64" t="n">
        <x:v>75</x:v>
      </x:c>
      <x:c r="C75" s="64" t="str">
        <x:v>PO-2025-0074</x:v>
      </x:c>
      <x:c r="D75" s="64" t="str">
        <x:v>PO-2025-0074</x:v>
      </x:c>
      <x:c r="E75" s="64" t="str">
        <x:v>B75</x:v>
      </x:c>
      <x:c r="F75" s="64" t="str">
        <x:v>PO_Date</x:v>
      </x:c>
      <x:c r="G75" s="64" t="str">
        <x:v>28/02/2025</x:v>
      </x:c>
      <x:c r="H75" s="64" t="str">
        <x:v>2025-02-28</x:v>
      </x:c>
      <x:c r="I75" s="64" t="str">
        <x:v>standardization</x:v>
      </x:c>
      <x:c r="J75" s="64" t="str">
        <x:v>Converted the source text date to a true spreadsheet date and standardized its display without changing the calendar date.</x:v>
      </x:c>
      <x:c r="K75" s="64" t="str">
        <x:v>PASS — parsed source date equals cleaned date</x:v>
      </x:c>
      <x:c r="L75" s="64" t="str">
        <x:v>High</x:v>
      </x:c>
      <x:c r="M75" s="64" t="str">
        <x:v>Instructor Approved</x:v>
      </x:c>
    </x:row>
    <x:row r="76">
      <x:c r="A76" s="64" t="str">
        <x:v>AUD-0075</x:v>
      </x:c>
      <x:c r="B76" s="64" t="n">
        <x:v>76</x:v>
      </x:c>
      <x:c r="C76" s="64" t="str">
        <x:v>PO-2025-0075</x:v>
      </x:c>
      <x:c r="D76" s="64" t="str">
        <x:v>PO-2025-0075</x:v>
      </x:c>
      <x:c r="E76" s="64" t="str">
        <x:v>B76</x:v>
      </x:c>
      <x:c r="F76" s="64" t="str">
        <x:v>PO_Date</x:v>
      </x:c>
      <x:c r="G76" s="64" t="str">
        <x:v>14/02/2025</x:v>
      </x:c>
      <x:c r="H76" s="64" t="str">
        <x:v>2025-02-14</x:v>
      </x:c>
      <x:c r="I76" s="64" t="str">
        <x:v>standardization</x:v>
      </x:c>
      <x:c r="J76" s="64" t="str">
        <x:v>Converted the source text date to a true spreadsheet date and standardized its display without changing the calendar date.</x:v>
      </x:c>
      <x:c r="K76" s="64" t="str">
        <x:v>PASS — parsed source date equals cleaned date</x:v>
      </x:c>
      <x:c r="L76" s="64" t="str">
        <x:v>High</x:v>
      </x:c>
      <x:c r="M76" s="64" t="str">
        <x:v>Instructor Approved</x:v>
      </x:c>
    </x:row>
    <x:row r="77">
      <x:c r="A77" s="64" t="str">
        <x:v>AUD-0076</x:v>
      </x:c>
      <x:c r="B77" s="64" t="n">
        <x:v>77</x:v>
      </x:c>
      <x:c r="C77" s="64" t="str">
        <x:v>PO-2025-0076</x:v>
      </x:c>
      <x:c r="D77" s="64" t="str">
        <x:v>PO-2025-0076</x:v>
      </x:c>
      <x:c r="E77" s="64" t="str">
        <x:v>B77</x:v>
      </x:c>
      <x:c r="F77" s="64" t="str">
        <x:v>PO_Date</x:v>
      </x:c>
      <x:c r="G77" s="64" t="str">
        <x:v>17/02/2025</x:v>
      </x:c>
      <x:c r="H77" s="64" t="str">
        <x:v>2025-02-17</x:v>
      </x:c>
      <x:c r="I77" s="64" t="str">
        <x:v>standardization</x:v>
      </x:c>
      <x:c r="J77" s="64" t="str">
        <x:v>Converted the source text date to a true spreadsheet date and standardized its display without changing the calendar date.</x:v>
      </x:c>
      <x:c r="K77" s="64" t="str">
        <x:v>PASS — parsed source date equals cleaned date</x:v>
      </x:c>
      <x:c r="L77" s="64" t="str">
        <x:v>High</x:v>
      </x:c>
      <x:c r="M77" s="64" t="str">
        <x:v>Instructor Approved</x:v>
      </x:c>
    </x:row>
    <x:row r="78">
      <x:c r="A78" s="64" t="str">
        <x:v>AUD-0077</x:v>
      </x:c>
      <x:c r="B78" s="64" t="n">
        <x:v>78</x:v>
      </x:c>
      <x:c r="C78" s="64" t="str">
        <x:v>PO-2025-0077</x:v>
      </x:c>
      <x:c r="D78" s="64" t="str">
        <x:v>PO-2025-0077</x:v>
      </x:c>
      <x:c r="E78" s="64" t="str">
        <x:v>B78</x:v>
      </x:c>
      <x:c r="F78" s="64" t="str">
        <x:v>PO_Date</x:v>
      </x:c>
      <x:c r="G78" s="64" t="str">
        <x:v>27/04/2025</x:v>
      </x:c>
      <x:c r="H78" s="64" t="str">
        <x:v>2025-04-27</x:v>
      </x:c>
      <x:c r="I78" s="64" t="str">
        <x:v>standardization</x:v>
      </x:c>
      <x:c r="J78" s="64" t="str">
        <x:v>Converted the source text date to a true spreadsheet date and standardized its display without changing the calendar date.</x:v>
      </x:c>
      <x:c r="K78" s="64" t="str">
        <x:v>PASS — parsed source date equals cleaned date</x:v>
      </x:c>
      <x:c r="L78" s="64" t="str">
        <x:v>High</x:v>
      </x:c>
      <x:c r="M78" s="64" t="str">
        <x:v>Instructor Approved</x:v>
      </x:c>
    </x:row>
    <x:row r="79">
      <x:c r="A79" s="64" t="str">
        <x:v>AUD-0078</x:v>
      </x:c>
      <x:c r="B79" s="64" t="n">
        <x:v>79</x:v>
      </x:c>
      <x:c r="C79" s="64" t="str">
        <x:v>PO-2025-0078</x:v>
      </x:c>
      <x:c r="D79" s="64" t="str">
        <x:v>PO-2025-0078</x:v>
      </x:c>
      <x:c r="E79" s="64" t="str">
        <x:v>B79</x:v>
      </x:c>
      <x:c r="F79" s="64" t="str">
        <x:v>PO_Date</x:v>
      </x:c>
      <x:c r="G79" s="64" t="str">
        <x:v>17/07/2025</x:v>
      </x:c>
      <x:c r="H79" s="64" t="str">
        <x:v>2025-07-17</x:v>
      </x:c>
      <x:c r="I79" s="64" t="str">
        <x:v>standardization</x:v>
      </x:c>
      <x:c r="J79" s="64" t="str">
        <x:v>Converted the source text date to a true spreadsheet date and standardized its display without changing the calendar date.</x:v>
      </x:c>
      <x:c r="K79" s="64" t="str">
        <x:v>PASS — parsed source date equals cleaned date</x:v>
      </x:c>
      <x:c r="L79" s="64" t="str">
        <x:v>High</x:v>
      </x:c>
      <x:c r="M79" s="64" t="str">
        <x:v>Instructor Approved</x:v>
      </x:c>
    </x:row>
    <x:row r="80">
      <x:c r="A80" s="64" t="str">
        <x:v>AUD-0079</x:v>
      </x:c>
      <x:c r="B80" s="64" t="n">
        <x:v>80</x:v>
      </x:c>
      <x:c r="C80" s="64" t="str">
        <x:v>PO-2025-0079</x:v>
      </x:c>
      <x:c r="D80" s="64" t="str">
        <x:v>PO-2025-0079</x:v>
      </x:c>
      <x:c r="E80" s="64" t="str">
        <x:v>B80</x:v>
      </x:c>
      <x:c r="F80" s="64" t="str">
        <x:v>PO_Date</x:v>
      </x:c>
      <x:c r="G80" s="64" t="str">
        <x:v>19/06/2025</x:v>
      </x:c>
      <x:c r="H80" s="64" t="str">
        <x:v>2025-06-19</x:v>
      </x:c>
      <x:c r="I80" s="64" t="str">
        <x:v>standardization</x:v>
      </x:c>
      <x:c r="J80" s="64" t="str">
        <x:v>Converted the source text date to a true spreadsheet date and standardized its display without changing the calendar date.</x:v>
      </x:c>
      <x:c r="K80" s="64" t="str">
        <x:v>PASS — parsed source date equals cleaned date</x:v>
      </x:c>
      <x:c r="L80" s="64" t="str">
        <x:v>High</x:v>
      </x:c>
      <x:c r="M80" s="64" t="str">
        <x:v>Instructor Approved</x:v>
      </x:c>
    </x:row>
    <x:row r="81">
      <x:c r="A81" s="64" t="str">
        <x:v>AUD-0080</x:v>
      </x:c>
      <x:c r="B81" s="64" t="n">
        <x:v>81</x:v>
      </x:c>
      <x:c r="C81" s="64" t="str">
        <x:v>PO-2025-0080</x:v>
      </x:c>
      <x:c r="D81" s="64" t="str">
        <x:v>PO-2025-0080</x:v>
      </x:c>
      <x:c r="E81" s="64" t="str">
        <x:v>B81</x:v>
      </x:c>
      <x:c r="F81" s="64" t="str">
        <x:v>PO_Date</x:v>
      </x:c>
      <x:c r="G81" s="64" t="str">
        <x:v>10/05/2025</x:v>
      </x:c>
      <x:c r="H81" s="64" t="str">
        <x:v>2025-05-10</x:v>
      </x:c>
      <x:c r="I81" s="64" t="str">
        <x:v>standardization</x:v>
      </x:c>
      <x:c r="J81" s="64" t="str">
        <x:v>Converted the source text date to a true spreadsheet date and standardized its display without changing the calendar date.</x:v>
      </x:c>
      <x:c r="K81" s="64" t="str">
        <x:v>PASS — parsed source date equals cleaned date</x:v>
      </x:c>
      <x:c r="L81" s="64" t="str">
        <x:v>High</x:v>
      </x:c>
      <x:c r="M81" s="64" t="str">
        <x:v>Instructor Approved</x:v>
      </x:c>
    </x:row>
    <x:row r="82">
      <x:c r="A82" s="64" t="str">
        <x:v>AUD-0081</x:v>
      </x:c>
      <x:c r="B82" s="64" t="n">
        <x:v>82</x:v>
      </x:c>
      <x:c r="C82" s="64" t="str">
        <x:v>PO-2025-0081</x:v>
      </x:c>
      <x:c r="D82" s="64" t="str">
        <x:v>PO-2025-0081</x:v>
      </x:c>
      <x:c r="E82" s="64" t="str">
        <x:v>B82</x:v>
      </x:c>
      <x:c r="F82" s="64" t="str">
        <x:v>PO_Date</x:v>
      </x:c>
      <x:c r="G82" s="64" t="str">
        <x:v>18/11/2025</x:v>
      </x:c>
      <x:c r="H82" s="64" t="str">
        <x:v>2025-11-18</x:v>
      </x:c>
      <x:c r="I82" s="64" t="str">
        <x:v>standardization</x:v>
      </x:c>
      <x:c r="J82" s="64" t="str">
        <x:v>Converted the source text date to a true spreadsheet date and standardized its display without changing the calendar date.</x:v>
      </x:c>
      <x:c r="K82" s="64" t="str">
        <x:v>PASS — parsed source date equals cleaned date</x:v>
      </x:c>
      <x:c r="L82" s="64" t="str">
        <x:v>High</x:v>
      </x:c>
      <x:c r="M82" s="64" t="str">
        <x:v>Instructor Approved</x:v>
      </x:c>
    </x:row>
    <x:row r="83">
      <x:c r="A83" s="64" t="str">
        <x:v>AUD-0082</x:v>
      </x:c>
      <x:c r="B83" s="64" t="n">
        <x:v>83</x:v>
      </x:c>
      <x:c r="C83" s="64" t="str">
        <x:v>PO-2025-0082</x:v>
      </x:c>
      <x:c r="D83" s="64" t="str">
        <x:v>PO-2025-0082</x:v>
      </x:c>
      <x:c r="E83" s="64" t="str">
        <x:v>B83</x:v>
      </x:c>
      <x:c r="F83" s="64" t="str">
        <x:v>PO_Date</x:v>
      </x:c>
      <x:c r="G83" s="64" t="str">
        <x:v>20/08/2025</x:v>
      </x:c>
      <x:c r="H83" s="64" t="str">
        <x:v>2025-08-20</x:v>
      </x:c>
      <x:c r="I83" s="64" t="str">
        <x:v>standardization</x:v>
      </x:c>
      <x:c r="J83" s="64" t="str">
        <x:v>Converted the source text date to a true spreadsheet date and standardized its display without changing the calendar date.</x:v>
      </x:c>
      <x:c r="K83" s="64" t="str">
        <x:v>PASS — parsed source date equals cleaned date</x:v>
      </x:c>
      <x:c r="L83" s="64" t="str">
        <x:v>High</x:v>
      </x:c>
      <x:c r="M83" s="64" t="str">
        <x:v>Instructor Approved</x:v>
      </x:c>
    </x:row>
    <x:row r="84">
      <x:c r="A84" s="64" t="str">
        <x:v>AUD-0083</x:v>
      </x:c>
      <x:c r="B84" s="64" t="n">
        <x:v>84</x:v>
      </x:c>
      <x:c r="C84" s="64" t="str">
        <x:v>PO-2025-0083</x:v>
      </x:c>
      <x:c r="D84" s="64" t="str">
        <x:v>PO-2025-0083</x:v>
      </x:c>
      <x:c r="E84" s="64" t="str">
        <x:v>B84</x:v>
      </x:c>
      <x:c r="F84" s="64" t="str">
        <x:v>PO_Date</x:v>
      </x:c>
      <x:c r="G84" s="64" t="str">
        <x:v>28/05/2025</x:v>
      </x:c>
      <x:c r="H84" s="64" t="str">
        <x:v>2025-05-28</x:v>
      </x:c>
      <x:c r="I84" s="64" t="str">
        <x:v>standardization</x:v>
      </x:c>
      <x:c r="J84" s="64" t="str">
        <x:v>Converted the source text date to a true spreadsheet date and standardized its display without changing the calendar date.</x:v>
      </x:c>
      <x:c r="K84" s="64" t="str">
        <x:v>PASS — parsed source date equals cleaned date</x:v>
      </x:c>
      <x:c r="L84" s="64" t="str">
        <x:v>High</x:v>
      </x:c>
      <x:c r="M84" s="64" t="str">
        <x:v>Instructor Approved</x:v>
      </x:c>
    </x:row>
    <x:row r="85">
      <x:c r="A85" s="64" t="str">
        <x:v>AUD-0084</x:v>
      </x:c>
      <x:c r="B85" s="64" t="n">
        <x:v>85</x:v>
      </x:c>
      <x:c r="C85" s="64" t="str">
        <x:v>PO-2025-0084</x:v>
      </x:c>
      <x:c r="D85" s="64" t="str">
        <x:v>PO-2025-0084</x:v>
      </x:c>
      <x:c r="E85" s="64" t="str">
        <x:v>B85</x:v>
      </x:c>
      <x:c r="F85" s="64" t="str">
        <x:v>PO_Date</x:v>
      </x:c>
      <x:c r="G85" s="64" t="str">
        <x:v>12/03/2025</x:v>
      </x:c>
      <x:c r="H85" s="64" t="str">
        <x:v>2025-03-12</x:v>
      </x:c>
      <x:c r="I85" s="64" t="str">
        <x:v>standardization</x:v>
      </x:c>
      <x:c r="J85" s="64" t="str">
        <x:v>Converted the source text date to a true spreadsheet date and standardized its display without changing the calendar date.</x:v>
      </x:c>
      <x:c r="K85" s="64" t="str">
        <x:v>PASS — parsed source date equals cleaned date</x:v>
      </x:c>
      <x:c r="L85" s="64" t="str">
        <x:v>High</x:v>
      </x:c>
      <x:c r="M85" s="64" t="str">
        <x:v>Instructor Approved</x:v>
      </x:c>
    </x:row>
    <x:row r="86">
      <x:c r="A86" s="64" t="str">
        <x:v>AUD-0085</x:v>
      </x:c>
      <x:c r="B86" s="64" t="n">
        <x:v>86</x:v>
      </x:c>
      <x:c r="C86" s="64" t="str">
        <x:v>PO-2025-0085</x:v>
      </x:c>
      <x:c r="D86" s="64" t="str">
        <x:v>PO-2025-0085</x:v>
      </x:c>
      <x:c r="E86" s="64" t="str">
        <x:v>B86</x:v>
      </x:c>
      <x:c r="F86" s="64" t="str">
        <x:v>PO_Date</x:v>
      </x:c>
      <x:c r="G86" s="64" t="str">
        <x:v>30/03/2025</x:v>
      </x:c>
      <x:c r="H86" s="64" t="str">
        <x:v>2025-03-30</x:v>
      </x:c>
      <x:c r="I86" s="64" t="str">
        <x:v>standardization</x:v>
      </x:c>
      <x:c r="J86" s="64" t="str">
        <x:v>Converted the source text date to a true spreadsheet date and standardized its display without changing the calendar date.</x:v>
      </x:c>
      <x:c r="K86" s="64" t="str">
        <x:v>PASS — parsed source date equals cleaned date</x:v>
      </x:c>
      <x:c r="L86" s="64" t="str">
        <x:v>High</x:v>
      </x:c>
      <x:c r="M86" s="64" t="str">
        <x:v>Instructor Approved</x:v>
      </x:c>
    </x:row>
    <x:row r="87">
      <x:c r="A87" s="64" t="str">
        <x:v>AUD-0086</x:v>
      </x:c>
      <x:c r="B87" s="64" t="n">
        <x:v>87</x:v>
      </x:c>
      <x:c r="C87" s="64" t="str">
        <x:v>PO-2025-0086</x:v>
      </x:c>
      <x:c r="D87" s="64" t="str">
        <x:v>PO-2025-0086</x:v>
      </x:c>
      <x:c r="E87" s="64" t="str">
        <x:v>B87</x:v>
      </x:c>
      <x:c r="F87" s="64" t="str">
        <x:v>PO_Date</x:v>
      </x:c>
      <x:c r="G87" s="64" t="str">
        <x:v>26/06/2025</x:v>
      </x:c>
      <x:c r="H87" s="64" t="str">
        <x:v>2025-06-26</x:v>
      </x:c>
      <x:c r="I87" s="64" t="str">
        <x:v>standardization</x:v>
      </x:c>
      <x:c r="J87" s="64" t="str">
        <x:v>Converted the source text date to a true spreadsheet date and standardized its display without changing the calendar date.</x:v>
      </x:c>
      <x:c r="K87" s="64" t="str">
        <x:v>PASS — parsed source date equals cleaned date</x:v>
      </x:c>
      <x:c r="L87" s="64" t="str">
        <x:v>High</x:v>
      </x:c>
      <x:c r="M87" s="64" t="str">
        <x:v>Instructor Approved</x:v>
      </x:c>
    </x:row>
    <x:row r="88">
      <x:c r="A88" s="64" t="str">
        <x:v>AUD-0087</x:v>
      </x:c>
      <x:c r="B88" s="64" t="n">
        <x:v>88</x:v>
      </x:c>
      <x:c r="C88" s="64" t="str">
        <x:v>PO-2025-0087</x:v>
      </x:c>
      <x:c r="D88" s="64" t="str">
        <x:v>PO-2025-0087</x:v>
      </x:c>
      <x:c r="E88" s="64" t="str">
        <x:v>B88</x:v>
      </x:c>
      <x:c r="F88" s="64" t="str">
        <x:v>PO_Date</x:v>
      </x:c>
      <x:c r="G88" s="64" t="str">
        <x:v>10/08/2025</x:v>
      </x:c>
      <x:c r="H88" s="64" t="str">
        <x:v>2025-08-10</x:v>
      </x:c>
      <x:c r="I88" s="64" t="str">
        <x:v>standardization</x:v>
      </x:c>
      <x:c r="J88" s="64" t="str">
        <x:v>Converted the source text date to a true spreadsheet date and standardized its display without changing the calendar date.</x:v>
      </x:c>
      <x:c r="K88" s="64" t="str">
        <x:v>PASS — parsed source date equals cleaned date</x:v>
      </x:c>
      <x:c r="L88" s="64" t="str">
        <x:v>High</x:v>
      </x:c>
      <x:c r="M88" s="64" t="str">
        <x:v>Instructor Approved</x:v>
      </x:c>
    </x:row>
    <x:row r="89">
      <x:c r="A89" s="64" t="str">
        <x:v>AUD-0088</x:v>
      </x:c>
      <x:c r="B89" s="64" t="n">
        <x:v>89</x:v>
      </x:c>
      <x:c r="C89" s="64" t="str">
        <x:v>PO-2025-0088</x:v>
      </x:c>
      <x:c r="D89" s="64" t="str">
        <x:v>PO-2025-0088</x:v>
      </x:c>
      <x:c r="E89" s="64" t="str">
        <x:v>B89</x:v>
      </x:c>
      <x:c r="F89" s="64" t="str">
        <x:v>PO_Date</x:v>
      </x:c>
      <x:c r="G89" s="64" t="str">
        <x:v>05/03/2025</x:v>
      </x:c>
      <x:c r="H89" s="64" t="str">
        <x:v>2025-03-05</x:v>
      </x:c>
      <x:c r="I89" s="64" t="str">
        <x:v>standardization</x:v>
      </x:c>
      <x:c r="J89" s="64" t="str">
        <x:v>Converted the source text date to a true spreadsheet date and standardized its display without changing the calendar date.</x:v>
      </x:c>
      <x:c r="K89" s="64" t="str">
        <x:v>PASS — parsed source date equals cleaned date</x:v>
      </x:c>
      <x:c r="L89" s="64" t="str">
        <x:v>High</x:v>
      </x:c>
      <x:c r="M89" s="64" t="str">
        <x:v>Instructor Approved</x:v>
      </x:c>
    </x:row>
    <x:row r="90">
      <x:c r="A90" s="64" t="str">
        <x:v>AUD-0089</x:v>
      </x:c>
      <x:c r="B90" s="64" t="n">
        <x:v>90</x:v>
      </x:c>
      <x:c r="C90" s="64" t="str">
        <x:v>PO-2025-0089</x:v>
      </x:c>
      <x:c r="D90" s="64" t="str">
        <x:v>PO-2025-0089</x:v>
      </x:c>
      <x:c r="E90" s="64" t="str">
        <x:v>B90</x:v>
      </x:c>
      <x:c r="F90" s="64" t="str">
        <x:v>PO_Date</x:v>
      </x:c>
      <x:c r="G90" s="64" t="str">
        <x:v>08/07/2025</x:v>
      </x:c>
      <x:c r="H90" s="64" t="str">
        <x:v>2025-07-08</x:v>
      </x:c>
      <x:c r="I90" s="64" t="str">
        <x:v>standardization</x:v>
      </x:c>
      <x:c r="J90" s="64" t="str">
        <x:v>Converted the source text date to a true spreadsheet date and standardized its display without changing the calendar date.</x:v>
      </x:c>
      <x:c r="K90" s="64" t="str">
        <x:v>PASS — parsed source date equals cleaned date</x:v>
      </x:c>
      <x:c r="L90" s="64" t="str">
        <x:v>High</x:v>
      </x:c>
      <x:c r="M90" s="64" t="str">
        <x:v>Instructor Approved</x:v>
      </x:c>
    </x:row>
    <x:row r="91">
      <x:c r="A91" s="64" t="str">
        <x:v>AUD-0090</x:v>
      </x:c>
      <x:c r="B91" s="64" t="n">
        <x:v>91</x:v>
      </x:c>
      <x:c r="C91" s="64" t="str">
        <x:v>PO-2025-0090</x:v>
      </x:c>
      <x:c r="D91" s="64" t="str">
        <x:v>PO-2025-0090</x:v>
      </x:c>
      <x:c r="E91" s="64" t="str">
        <x:v>B91</x:v>
      </x:c>
      <x:c r="F91" s="64" t="str">
        <x:v>PO_Date</x:v>
      </x:c>
      <x:c r="G91" s="64" t="str">
        <x:v>2025/03/04</x:v>
      </x:c>
      <x:c r="H91" s="64" t="str">
        <x:v>2025-03-04</x:v>
      </x:c>
      <x:c r="I91" s="64" t="str">
        <x:v>standardization</x:v>
      </x:c>
      <x:c r="J91" s="64" t="str">
        <x:v>Converted the source text date to a true spreadsheet date and standardized its display without changing the calendar date.</x:v>
      </x:c>
      <x:c r="K91" s="64" t="str">
        <x:v>PASS — parsed source date equals cleaned date</x:v>
      </x:c>
      <x:c r="L91" s="64" t="str">
        <x:v>High</x:v>
      </x:c>
      <x:c r="M91" s="64" t="str">
        <x:v>Instructor Approved</x:v>
      </x:c>
    </x:row>
    <x:row r="92">
      <x:c r="A92" s="64" t="str">
        <x:v>AUD-0091</x:v>
      </x:c>
      <x:c r="B92" s="64" t="n">
        <x:v>92</x:v>
      </x:c>
      <x:c r="C92" s="64" t="str">
        <x:v>PO-2025-0091</x:v>
      </x:c>
      <x:c r="D92" s="64" t="str">
        <x:v>PO-2025-0091</x:v>
      </x:c>
      <x:c r="E92" s="64" t="str">
        <x:v>B92</x:v>
      </x:c>
      <x:c r="F92" s="64" t="str">
        <x:v>PO_Date</x:v>
      </x:c>
      <x:c r="G92" s="64" t="str">
        <x:v>27/10/2025</x:v>
      </x:c>
      <x:c r="H92" s="64" t="str">
        <x:v>2025-10-27</x:v>
      </x:c>
      <x:c r="I92" s="64" t="str">
        <x:v>standardization</x:v>
      </x:c>
      <x:c r="J92" s="64" t="str">
        <x:v>Converted the source text date to a true spreadsheet date and standardized its display without changing the calendar date.</x:v>
      </x:c>
      <x:c r="K92" s="64" t="str">
        <x:v>PASS — parsed source date equals cleaned date</x:v>
      </x:c>
      <x:c r="L92" s="64" t="str">
        <x:v>High</x:v>
      </x:c>
      <x:c r="M92" s="64" t="str">
        <x:v>Instructor Approved</x:v>
      </x:c>
    </x:row>
    <x:row r="93">
      <x:c r="A93" s="64" t="str">
        <x:v>AUD-0092</x:v>
      </x:c>
      <x:c r="B93" s="64" t="n">
        <x:v>93</x:v>
      </x:c>
      <x:c r="C93" s="64" t="str">
        <x:v>PO-2025-0092</x:v>
      </x:c>
      <x:c r="D93" s="64" t="str">
        <x:v>PO-2025-0092</x:v>
      </x:c>
      <x:c r="E93" s="64" t="str">
        <x:v>B93</x:v>
      </x:c>
      <x:c r="F93" s="64" t="str">
        <x:v>PO_Date</x:v>
      </x:c>
      <x:c r="G93" s="64" t="str">
        <x:v>01/06/2025</x:v>
      </x:c>
      <x:c r="H93" s="64" t="str">
        <x:v>2025-06-01</x:v>
      </x:c>
      <x:c r="I93" s="64" t="str">
        <x:v>standardization</x:v>
      </x:c>
      <x:c r="J93" s="64" t="str">
        <x:v>Converted the source text date to a true spreadsheet date and standardized its display without changing the calendar date.</x:v>
      </x:c>
      <x:c r="K93" s="64" t="str">
        <x:v>PASS — parsed source date equals cleaned date</x:v>
      </x:c>
      <x:c r="L93" s="64" t="str">
        <x:v>High</x:v>
      </x:c>
      <x:c r="M93" s="64" t="str">
        <x:v>Instructor Approved</x:v>
      </x:c>
    </x:row>
    <x:row r="94">
      <x:c r="A94" s="64" t="str">
        <x:v>AUD-0093</x:v>
      </x:c>
      <x:c r="B94" s="64" t="n">
        <x:v>94</x:v>
      </x:c>
      <x:c r="C94" s="64" t="str">
        <x:v>PO-2025-0093</x:v>
      </x:c>
      <x:c r="D94" s="64" t="str">
        <x:v>PO-2025-0093</x:v>
      </x:c>
      <x:c r="E94" s="64" t="str">
        <x:v>B94</x:v>
      </x:c>
      <x:c r="F94" s="64" t="str">
        <x:v>PO_Date</x:v>
      </x:c>
      <x:c r="G94" s="64" t="str">
        <x:v>09/04/2025</x:v>
      </x:c>
      <x:c r="H94" s="64" t="str">
        <x:v>2025-04-09</x:v>
      </x:c>
      <x:c r="I94" s="64" t="str">
        <x:v>standardization</x:v>
      </x:c>
      <x:c r="J94" s="64" t="str">
        <x:v>Converted the source text date to a true spreadsheet date and standardized its display without changing the calendar date.</x:v>
      </x:c>
      <x:c r="K94" s="64" t="str">
        <x:v>PASS — parsed source date equals cleaned date</x:v>
      </x:c>
      <x:c r="L94" s="64" t="str">
        <x:v>High</x:v>
      </x:c>
      <x:c r="M94" s="64" t="str">
        <x:v>Instructor Approved</x:v>
      </x:c>
    </x:row>
    <x:row r="95">
      <x:c r="A95" s="64" t="str">
        <x:v>AUD-0094</x:v>
      </x:c>
      <x:c r="B95" s="64" t="n">
        <x:v>95</x:v>
      </x:c>
      <x:c r="C95" s="64" t="str">
        <x:v>PO-2025-0094</x:v>
      </x:c>
      <x:c r="D95" s="64" t="str">
        <x:v>PO-2025-0094</x:v>
      </x:c>
      <x:c r="E95" s="64" t="str">
        <x:v>B95</x:v>
      </x:c>
      <x:c r="F95" s="64" t="str">
        <x:v>PO_Date</x:v>
      </x:c>
      <x:c r="G95" s="64" t="str">
        <x:v>03/03/2025</x:v>
      </x:c>
      <x:c r="H95" s="64" t="str">
        <x:v>2025-03-03</x:v>
      </x:c>
      <x:c r="I95" s="64" t="str">
        <x:v>standardization</x:v>
      </x:c>
      <x:c r="J95" s="64" t="str">
        <x:v>Converted the source text date to a true spreadsheet date and standardized its display without changing the calendar date.</x:v>
      </x:c>
      <x:c r="K95" s="64" t="str">
        <x:v>PASS — parsed source date equals cleaned date</x:v>
      </x:c>
      <x:c r="L95" s="64" t="str">
        <x:v>High</x:v>
      </x:c>
      <x:c r="M95" s="64" t="str">
        <x:v>Instructor Approved</x:v>
      </x:c>
    </x:row>
    <x:row r="96">
      <x:c r="A96" s="64" t="str">
        <x:v>AUD-0095</x:v>
      </x:c>
      <x:c r="B96" s="64" t="n">
        <x:v>96</x:v>
      </x:c>
      <x:c r="C96" s="64" t="str">
        <x:v>PO-2025-0095</x:v>
      </x:c>
      <x:c r="D96" s="64" t="str">
        <x:v>PO-2025-0095</x:v>
      </x:c>
      <x:c r="E96" s="64" t="str">
        <x:v>B96</x:v>
      </x:c>
      <x:c r="F96" s="64" t="str">
        <x:v>PO_Date</x:v>
      </x:c>
      <x:c r="G96" s="64" t="str">
        <x:v>03/04/2025</x:v>
      </x:c>
      <x:c r="H96" s="64" t="str">
        <x:v>2025-04-03</x:v>
      </x:c>
      <x:c r="I96" s="64" t="str">
        <x:v>standardization</x:v>
      </x:c>
      <x:c r="J96" s="64" t="str">
        <x:v>Converted the source text date to a true spreadsheet date and standardized its display without changing the calendar date.</x:v>
      </x:c>
      <x:c r="K96" s="64" t="str">
        <x:v>PASS — parsed source date equals cleaned date</x:v>
      </x:c>
      <x:c r="L96" s="64" t="str">
        <x:v>High</x:v>
      </x:c>
      <x:c r="M96" s="64" t="str">
        <x:v>Instructor Approved</x:v>
      </x:c>
    </x:row>
    <x:row r="97">
      <x:c r="A97" s="64" t="str">
        <x:v>AUD-0096</x:v>
      </x:c>
      <x:c r="B97" s="64" t="n">
        <x:v>97</x:v>
      </x:c>
      <x:c r="C97" s="64" t="str">
        <x:v>PO-2025-0096</x:v>
      </x:c>
      <x:c r="D97" s="64" t="str">
        <x:v>PO-2025-0096</x:v>
      </x:c>
      <x:c r="E97" s="64" t="str">
        <x:v>B97</x:v>
      </x:c>
      <x:c r="F97" s="64" t="str">
        <x:v>PO_Date</x:v>
      </x:c>
      <x:c r="G97" s="64" t="str">
        <x:v>26/05/2025</x:v>
      </x:c>
      <x:c r="H97" s="64" t="str">
        <x:v>2025-05-26</x:v>
      </x:c>
      <x:c r="I97" s="64" t="str">
        <x:v>standardization</x:v>
      </x:c>
      <x:c r="J97" s="64" t="str">
        <x:v>Converted the source text date to a true spreadsheet date and standardized its display without changing the calendar date.</x:v>
      </x:c>
      <x:c r="K97" s="64" t="str">
        <x:v>PASS — parsed source date equals cleaned date</x:v>
      </x:c>
      <x:c r="L97" s="64" t="str">
        <x:v>High</x:v>
      </x:c>
      <x:c r="M97" s="64" t="str">
        <x:v>Instructor Approved</x:v>
      </x:c>
    </x:row>
    <x:row r="98">
      <x:c r="A98" s="64" t="str">
        <x:v>AUD-0097</x:v>
      </x:c>
      <x:c r="B98" s="64" t="n">
        <x:v>98</x:v>
      </x:c>
      <x:c r="C98" s="64" t="str">
        <x:v>PO-2025-0097</x:v>
      </x:c>
      <x:c r="D98" s="64" t="str">
        <x:v>PO-2025-0097</x:v>
      </x:c>
      <x:c r="E98" s="64" t="str">
        <x:v>B98</x:v>
      </x:c>
      <x:c r="F98" s="64" t="str">
        <x:v>PO_Date</x:v>
      </x:c>
      <x:c r="G98" s="64" t="str">
        <x:v>06/04/2025</x:v>
      </x:c>
      <x:c r="H98" s="64" t="str">
        <x:v>2025-04-06</x:v>
      </x:c>
      <x:c r="I98" s="64" t="str">
        <x:v>standardization</x:v>
      </x:c>
      <x:c r="J98" s="64" t="str">
        <x:v>Converted the source text date to a true spreadsheet date and standardized its display without changing the calendar date.</x:v>
      </x:c>
      <x:c r="K98" s="64" t="str">
        <x:v>PASS — parsed source date equals cleaned date</x:v>
      </x:c>
      <x:c r="L98" s="64" t="str">
        <x:v>High</x:v>
      </x:c>
      <x:c r="M98" s="64" t="str">
        <x:v>Instructor Approved</x:v>
      </x:c>
    </x:row>
    <x:row r="99">
      <x:c r="A99" s="64" t="str">
        <x:v>AUD-0098</x:v>
      </x:c>
      <x:c r="B99" s="64" t="n">
        <x:v>99</x:v>
      </x:c>
      <x:c r="C99" s="64" t="str">
        <x:v>PO-2025-0098</x:v>
      </x:c>
      <x:c r="D99" s="64" t="str">
        <x:v>PO-2025-0098</x:v>
      </x:c>
      <x:c r="E99" s="64" t="str">
        <x:v>B99</x:v>
      </x:c>
      <x:c r="F99" s="64" t="str">
        <x:v>PO_Date</x:v>
      </x:c>
      <x:c r="G99" s="64" t="str">
        <x:v>17/01/2025</x:v>
      </x:c>
      <x:c r="H99" s="64" t="str">
        <x:v>2025-01-17</x:v>
      </x:c>
      <x:c r="I99" s="64" t="str">
        <x:v>standardization</x:v>
      </x:c>
      <x:c r="J99" s="64" t="str">
        <x:v>Converted the source text date to a true spreadsheet date and standardized its display without changing the calendar date.</x:v>
      </x:c>
      <x:c r="K99" s="64" t="str">
        <x:v>PASS — parsed source date equals cleaned date</x:v>
      </x:c>
      <x:c r="L99" s="64" t="str">
        <x:v>High</x:v>
      </x:c>
      <x:c r="M99" s="64" t="str">
        <x:v>Instructor Approved</x:v>
      </x:c>
    </x:row>
    <x:row r="100">
      <x:c r="A100" s="64" t="str">
        <x:v>AUD-0099</x:v>
      </x:c>
      <x:c r="B100" s="64" t="n">
        <x:v>100</x:v>
      </x:c>
      <x:c r="C100" s="64" t="str">
        <x:v>PO-2025-0099</x:v>
      </x:c>
      <x:c r="D100" s="64" t="str">
        <x:v>PO-2025-0099</x:v>
      </x:c>
      <x:c r="E100" s="64" t="str">
        <x:v>B100</x:v>
      </x:c>
      <x:c r="F100" s="64" t="str">
        <x:v>PO_Date</x:v>
      </x:c>
      <x:c r="G100" s="64" t="str">
        <x:v>01/05/2025</x:v>
      </x:c>
      <x:c r="H100" s="64" t="str">
        <x:v>2025-05-01</x:v>
      </x:c>
      <x:c r="I100" s="64" t="str">
        <x:v>standardization</x:v>
      </x:c>
      <x:c r="J100" s="64" t="str">
        <x:v>Converted the source text date to a true spreadsheet date and standardized its display without changing the calendar date.</x:v>
      </x:c>
      <x:c r="K100" s="64" t="str">
        <x:v>PASS — parsed source date equals cleaned date</x:v>
      </x:c>
      <x:c r="L100" s="64" t="str">
        <x:v>High</x:v>
      </x:c>
      <x:c r="M100" s="64" t="str">
        <x:v>Instructor Approved</x:v>
      </x:c>
    </x:row>
    <x:row r="101">
      <x:c r="A101" s="64" t="str">
        <x:v>AUD-0100</x:v>
      </x:c>
      <x:c r="B101" s="64" t="n">
        <x:v>101</x:v>
      </x:c>
      <x:c r="C101" s="64" t="str">
        <x:v>PO-2025-0100</x:v>
      </x:c>
      <x:c r="D101" s="64" t="str">
        <x:v>PO-2025-0100</x:v>
      </x:c>
      <x:c r="E101" s="64" t="str">
        <x:v>B101</x:v>
      </x:c>
      <x:c r="F101" s="64" t="str">
        <x:v>PO_Date</x:v>
      </x:c>
      <x:c r="G101" s="64" t="str">
        <x:v>16/06/2025</x:v>
      </x:c>
      <x:c r="H101" s="64" t="str">
        <x:v>2025-06-16</x:v>
      </x:c>
      <x:c r="I101" s="64" t="str">
        <x:v>standardization</x:v>
      </x:c>
      <x:c r="J101" s="64" t="str">
        <x:v>Converted the source text date to a true spreadsheet date and standardized its display without changing the calendar date.</x:v>
      </x:c>
      <x:c r="K101" s="64" t="str">
        <x:v>PASS — parsed source date equals cleaned date</x:v>
      </x:c>
      <x:c r="L101" s="64" t="str">
        <x:v>High</x:v>
      </x:c>
      <x:c r="M101" s="64" t="str">
        <x:v>Instructor Approved</x:v>
      </x:c>
    </x:row>
    <x:row r="102">
      <x:c r="A102" s="64" t="str">
        <x:v>AUD-0101</x:v>
      </x:c>
      <x:c r="B102" s="64" t="n">
        <x:v>102</x:v>
      </x:c>
      <x:c r="C102" s="64" t="str">
        <x:v>PO-2025-0101</x:v>
      </x:c>
      <x:c r="D102" s="64" t="str">
        <x:v>PO-2025-0101</x:v>
      </x:c>
      <x:c r="E102" s="64" t="str">
        <x:v>B102</x:v>
      </x:c>
      <x:c r="F102" s="64" t="str">
        <x:v>PO_Date</x:v>
      </x:c>
      <x:c r="G102" s="64" t="str">
        <x:v>24/10/2025</x:v>
      </x:c>
      <x:c r="H102" s="64" t="str">
        <x:v>2025-10-24</x:v>
      </x:c>
      <x:c r="I102" s="64" t="str">
        <x:v>standardization</x:v>
      </x:c>
      <x:c r="J102" s="64" t="str">
        <x:v>Converted the source text date to a true spreadsheet date and standardized its display without changing the calendar date.</x:v>
      </x:c>
      <x:c r="K102" s="64" t="str">
        <x:v>PASS — parsed source date equals cleaned date</x:v>
      </x:c>
      <x:c r="L102" s="64" t="str">
        <x:v>High</x:v>
      </x:c>
      <x:c r="M102" s="64" t="str">
        <x:v>Instructor Approved</x:v>
      </x:c>
    </x:row>
    <x:row r="103">
      <x:c r="A103" s="64" t="str">
        <x:v>AUD-0102</x:v>
      </x:c>
      <x:c r="B103" s="64" t="n">
        <x:v>103</x:v>
      </x:c>
      <x:c r="C103" s="64" t="str">
        <x:v>PO-2025-0102</x:v>
      </x:c>
      <x:c r="D103" s="64" t="str">
        <x:v>PO-2025-0102</x:v>
      </x:c>
      <x:c r="E103" s="64" t="str">
        <x:v>B103</x:v>
      </x:c>
      <x:c r="F103" s="64" t="str">
        <x:v>PO_Date</x:v>
      </x:c>
      <x:c r="G103" s="64" t="str">
        <x:v>15/02/2025</x:v>
      </x:c>
      <x:c r="H103" s="64" t="str">
        <x:v>2025-02-15</x:v>
      </x:c>
      <x:c r="I103" s="64" t="str">
        <x:v>standardization</x:v>
      </x:c>
      <x:c r="J103" s="64" t="str">
        <x:v>Converted the source text date to a true spreadsheet date and standardized its display without changing the calendar date.</x:v>
      </x:c>
      <x:c r="K103" s="64" t="str">
        <x:v>PASS — parsed source date equals cleaned date</x:v>
      </x:c>
      <x:c r="L103" s="64" t="str">
        <x:v>High</x:v>
      </x:c>
      <x:c r="M103" s="64" t="str">
        <x:v>Instructor Approved</x:v>
      </x:c>
    </x:row>
    <x:row r="104">
      <x:c r="A104" s="64" t="str">
        <x:v>AUD-0103</x:v>
      </x:c>
      <x:c r="B104" s="64" t="n">
        <x:v>104</x:v>
      </x:c>
      <x:c r="C104" s="64" t="str">
        <x:v>PO-2025-0103</x:v>
      </x:c>
      <x:c r="D104" s="64" t="str">
        <x:v>PO-2025-0103</x:v>
      </x:c>
      <x:c r="E104" s="64" t="str">
        <x:v>B104</x:v>
      </x:c>
      <x:c r="F104" s="64" t="str">
        <x:v>PO_Date</x:v>
      </x:c>
      <x:c r="G104" s="64" t="str">
        <x:v>28/08/2025</x:v>
      </x:c>
      <x:c r="H104" s="64" t="str">
        <x:v>2025-08-28</x:v>
      </x:c>
      <x:c r="I104" s="64" t="str">
        <x:v>standardization</x:v>
      </x:c>
      <x:c r="J104" s="64" t="str">
        <x:v>Converted the source text date to a true spreadsheet date and standardized its display without changing the calendar date.</x:v>
      </x:c>
      <x:c r="K104" s="64" t="str">
        <x:v>PASS — parsed source date equals cleaned date</x:v>
      </x:c>
      <x:c r="L104" s="64" t="str">
        <x:v>High</x:v>
      </x:c>
      <x:c r="M104" s="64" t="str">
        <x:v>Instructor Approved</x:v>
      </x:c>
    </x:row>
    <x:row r="105">
      <x:c r="A105" s="64" t="str">
        <x:v>AUD-0104</x:v>
      </x:c>
      <x:c r="B105" s="64" t="n">
        <x:v>105</x:v>
      </x:c>
      <x:c r="C105" s="64" t="str">
        <x:v>PO-2025-0104</x:v>
      </x:c>
      <x:c r="D105" s="64" t="str">
        <x:v>PO-2025-0104</x:v>
      </x:c>
      <x:c r="E105" s="64" t="str">
        <x:v>B105</x:v>
      </x:c>
      <x:c r="F105" s="64" t="str">
        <x:v>PO_Date</x:v>
      </x:c>
      <x:c r="G105" s="64" t="str">
        <x:v>02/01/2025</x:v>
      </x:c>
      <x:c r="H105" s="64" t="str">
        <x:v>2025-01-02</x:v>
      </x:c>
      <x:c r="I105" s="64" t="str">
        <x:v>standardization</x:v>
      </x:c>
      <x:c r="J105" s="64" t="str">
        <x:v>Converted the source text date to a true spreadsheet date and standardized its display without changing the calendar date.</x:v>
      </x:c>
      <x:c r="K105" s="64" t="str">
        <x:v>PASS — parsed source date equals cleaned date</x:v>
      </x:c>
      <x:c r="L105" s="64" t="str">
        <x:v>High</x:v>
      </x:c>
      <x:c r="M105" s="64" t="str">
        <x:v>Instructor Approved</x:v>
      </x:c>
    </x:row>
    <x:row r="106">
      <x:c r="A106" s="64" t="str">
        <x:v>AUD-0105</x:v>
      </x:c>
      <x:c r="B106" s="64" t="n">
        <x:v>106</x:v>
      </x:c>
      <x:c r="C106" s="64" t="str">
        <x:v>PO-2025-0105</x:v>
      </x:c>
      <x:c r="D106" s="64" t="str">
        <x:v>PO-2025-0105</x:v>
      </x:c>
      <x:c r="E106" s="64" t="str">
        <x:v>B106</x:v>
      </x:c>
      <x:c r="F106" s="64" t="str">
        <x:v>PO_Date</x:v>
      </x:c>
      <x:c r="G106" s="64" t="str">
        <x:v>10/11/2025</x:v>
      </x:c>
      <x:c r="H106" s="64" t="str">
        <x:v>2025-11-10</x:v>
      </x:c>
      <x:c r="I106" s="64" t="str">
        <x:v>standardization</x:v>
      </x:c>
      <x:c r="J106" s="64" t="str">
        <x:v>Converted the source text date to a true spreadsheet date and standardized its display without changing the calendar date.</x:v>
      </x:c>
      <x:c r="K106" s="64" t="str">
        <x:v>PASS — parsed source date equals cleaned date</x:v>
      </x:c>
      <x:c r="L106" s="64" t="str">
        <x:v>High</x:v>
      </x:c>
      <x:c r="M106" s="64" t="str">
        <x:v>Instructor Approved</x:v>
      </x:c>
    </x:row>
    <x:row r="107">
      <x:c r="A107" s="64" t="str">
        <x:v>AUD-0106</x:v>
      </x:c>
      <x:c r="B107" s="64" t="n">
        <x:v>107</x:v>
      </x:c>
      <x:c r="C107" s="64" t="str">
        <x:v>PO-2025-0106</x:v>
      </x:c>
      <x:c r="D107" s="64" t="str">
        <x:v>PO-2025-0106</x:v>
      </x:c>
      <x:c r="E107" s="64" t="str">
        <x:v>B107</x:v>
      </x:c>
      <x:c r="F107" s="64" t="str">
        <x:v>PO_Date</x:v>
      </x:c>
      <x:c r="G107" s="64" t="str">
        <x:v>22/04/2025</x:v>
      </x:c>
      <x:c r="H107" s="64" t="str">
        <x:v>2025-04-22</x:v>
      </x:c>
      <x:c r="I107" s="64" t="str">
        <x:v>standardization</x:v>
      </x:c>
      <x:c r="J107" s="64" t="str">
        <x:v>Converted the source text date to a true spreadsheet date and standardized its display without changing the calendar date.</x:v>
      </x:c>
      <x:c r="K107" s="64" t="str">
        <x:v>PASS — parsed source date equals cleaned date</x:v>
      </x:c>
      <x:c r="L107" s="64" t="str">
        <x:v>High</x:v>
      </x:c>
      <x:c r="M107" s="64" t="str">
        <x:v>Instructor Approved</x:v>
      </x:c>
    </x:row>
    <x:row r="108">
      <x:c r="A108" s="64" t="str">
        <x:v>AUD-0107</x:v>
      </x:c>
      <x:c r="B108" s="64" t="n">
        <x:v>108</x:v>
      </x:c>
      <x:c r="C108" s="64" t="str">
        <x:v>PO-2025-0107</x:v>
      </x:c>
      <x:c r="D108" s="64" t="str">
        <x:v>PO-2025-0107</x:v>
      </x:c>
      <x:c r="E108" s="64" t="str">
        <x:v>B108</x:v>
      </x:c>
      <x:c r="F108" s="64" t="str">
        <x:v>PO_Date</x:v>
      </x:c>
      <x:c r="G108" s="64" t="str">
        <x:v>20/04/2025</x:v>
      </x:c>
      <x:c r="H108" s="64" t="str">
        <x:v>2025-04-20</x:v>
      </x:c>
      <x:c r="I108" s="64" t="str">
        <x:v>standardization</x:v>
      </x:c>
      <x:c r="J108" s="64" t="str">
        <x:v>Converted the source text date to a true spreadsheet date and standardized its display without changing the calendar date.</x:v>
      </x:c>
      <x:c r="K108" s="64" t="str">
        <x:v>PASS — parsed source date equals cleaned date</x:v>
      </x:c>
      <x:c r="L108" s="64" t="str">
        <x:v>High</x:v>
      </x:c>
      <x:c r="M108" s="64" t="str">
        <x:v>Instructor Approved</x:v>
      </x:c>
    </x:row>
    <x:row r="109">
      <x:c r="A109" s="64" t="str">
        <x:v>AUD-0108</x:v>
      </x:c>
      <x:c r="B109" s="64" t="n">
        <x:v>109</x:v>
      </x:c>
      <x:c r="C109" s="64" t="str">
        <x:v>PO-2025-0108</x:v>
      </x:c>
      <x:c r="D109" s="64" t="str">
        <x:v>PO-2025-0108</x:v>
      </x:c>
      <x:c r="E109" s="64" t="str">
        <x:v>B109</x:v>
      </x:c>
      <x:c r="F109" s="64" t="str">
        <x:v>PO_Date</x:v>
      </x:c>
      <x:c r="G109" s="64" t="str">
        <x:v>01/11/2025</x:v>
      </x:c>
      <x:c r="H109" s="64" t="str">
        <x:v>2025-11-01</x:v>
      </x:c>
      <x:c r="I109" s="64" t="str">
        <x:v>standardization</x:v>
      </x:c>
      <x:c r="J109" s="64" t="str">
        <x:v>Converted the source text date to a true spreadsheet date and standardized its display without changing the calendar date.</x:v>
      </x:c>
      <x:c r="K109" s="64" t="str">
        <x:v>PASS — parsed source date equals cleaned date</x:v>
      </x:c>
      <x:c r="L109" s="64" t="str">
        <x:v>High</x:v>
      </x:c>
      <x:c r="M109" s="64" t="str">
        <x:v>Instructor Approved</x:v>
      </x:c>
    </x:row>
    <x:row r="110">
      <x:c r="A110" s="64" t="str">
        <x:v>AUD-0109</x:v>
      </x:c>
      <x:c r="B110" s="64" t="n">
        <x:v>110</x:v>
      </x:c>
      <x:c r="C110" s="64" t="str">
        <x:v>PO-2025-0109</x:v>
      </x:c>
      <x:c r="D110" s="64" t="str">
        <x:v>PO-2025-0109</x:v>
      </x:c>
      <x:c r="E110" s="64" t="str">
        <x:v>B110</x:v>
      </x:c>
      <x:c r="F110" s="64" t="str">
        <x:v>PO_Date</x:v>
      </x:c>
      <x:c r="G110" s="64" t="str">
        <x:v>21/05/2025</x:v>
      </x:c>
      <x:c r="H110" s="64" t="str">
        <x:v>2025-05-21</x:v>
      </x:c>
      <x:c r="I110" s="64" t="str">
        <x:v>standardization</x:v>
      </x:c>
      <x:c r="J110" s="64" t="str">
        <x:v>Converted the source text date to a true spreadsheet date and standardized its display without changing the calendar date.</x:v>
      </x:c>
      <x:c r="K110" s="64" t="str">
        <x:v>PASS — parsed source date equals cleaned date</x:v>
      </x:c>
      <x:c r="L110" s="64" t="str">
        <x:v>High</x:v>
      </x:c>
      <x:c r="M110" s="64" t="str">
        <x:v>Instructor Approved</x:v>
      </x:c>
    </x:row>
    <x:row r="111">
      <x:c r="A111" s="64" t="str">
        <x:v>AUD-0110</x:v>
      </x:c>
      <x:c r="B111" s="64" t="n">
        <x:v>111</x:v>
      </x:c>
      <x:c r="C111" s="64" t="str">
        <x:v>PO-2025-0110</x:v>
      </x:c>
      <x:c r="D111" s="64" t="str">
        <x:v>PO-2025-0110</x:v>
      </x:c>
      <x:c r="E111" s="64" t="str">
        <x:v>B111</x:v>
      </x:c>
      <x:c r="F111" s="64" t="str">
        <x:v>PO_Date</x:v>
      </x:c>
      <x:c r="G111" s="64" t="str">
        <x:v>04/07/2025</x:v>
      </x:c>
      <x:c r="H111" s="64" t="str">
        <x:v>2025-07-04</x:v>
      </x:c>
      <x:c r="I111" s="64" t="str">
        <x:v>standardization</x:v>
      </x:c>
      <x:c r="J111" s="64" t="str">
        <x:v>Converted the source text date to a true spreadsheet date and standardized its display without changing the calendar date.</x:v>
      </x:c>
      <x:c r="K111" s="64" t="str">
        <x:v>PASS — parsed source date equals cleaned date</x:v>
      </x:c>
      <x:c r="L111" s="64" t="str">
        <x:v>High</x:v>
      </x:c>
      <x:c r="M111" s="64" t="str">
        <x:v>Instructor Approved</x:v>
      </x:c>
    </x:row>
    <x:row r="112">
      <x:c r="A112" s="64" t="str">
        <x:v>AUD-0111</x:v>
      </x:c>
      <x:c r="B112" s="64" t="n">
        <x:v>112</x:v>
      </x:c>
      <x:c r="C112" s="64" t="str">
        <x:v>PO-2025-0111</x:v>
      </x:c>
      <x:c r="D112" s="64" t="str">
        <x:v>PO-2025-0111</x:v>
      </x:c>
      <x:c r="E112" s="64" t="str">
        <x:v>B112</x:v>
      </x:c>
      <x:c r="F112" s="64" t="str">
        <x:v>PO_Date</x:v>
      </x:c>
      <x:c r="G112" s="64" t="str">
        <x:v>29/01/2025</x:v>
      </x:c>
      <x:c r="H112" s="64" t="str">
        <x:v>2025-01-29</x:v>
      </x:c>
      <x:c r="I112" s="64" t="str">
        <x:v>standardization</x:v>
      </x:c>
      <x:c r="J112" s="64" t="str">
        <x:v>Converted the source text date to a true spreadsheet date and standardized its display without changing the calendar date.</x:v>
      </x:c>
      <x:c r="K112" s="64" t="str">
        <x:v>PASS — parsed source date equals cleaned date</x:v>
      </x:c>
      <x:c r="L112" s="64" t="str">
        <x:v>High</x:v>
      </x:c>
      <x:c r="M112" s="64" t="str">
        <x:v>Instructor Approved</x:v>
      </x:c>
    </x:row>
    <x:row r="113">
      <x:c r="A113" s="64" t="str">
        <x:v>AUD-0112</x:v>
      </x:c>
      <x:c r="B113" s="64" t="n">
        <x:v>113</x:v>
      </x:c>
      <x:c r="C113" s="64" t="str">
        <x:v>PO-2025-0112</x:v>
      </x:c>
      <x:c r="D113" s="64" t="str">
        <x:v>PO-2025-0112</x:v>
      </x:c>
      <x:c r="E113" s="64" t="str">
        <x:v>B113</x:v>
      </x:c>
      <x:c r="F113" s="64" t="str">
        <x:v>PO_Date</x:v>
      </x:c>
      <x:c r="G113" s="64" t="str">
        <x:v>03/09/2025</x:v>
      </x:c>
      <x:c r="H113" s="64" t="str">
        <x:v>2025-09-03</x:v>
      </x:c>
      <x:c r="I113" s="64" t="str">
        <x:v>standardization</x:v>
      </x:c>
      <x:c r="J113" s="64" t="str">
        <x:v>Converted the source text date to a true spreadsheet date and standardized its display without changing the calendar date.</x:v>
      </x:c>
      <x:c r="K113" s="64" t="str">
        <x:v>PASS — parsed source date equals cleaned date</x:v>
      </x:c>
      <x:c r="L113" s="64" t="str">
        <x:v>High</x:v>
      </x:c>
      <x:c r="M113" s="64" t="str">
        <x:v>Instructor Approved</x:v>
      </x:c>
    </x:row>
    <x:row r="114">
      <x:c r="A114" s="64" t="str">
        <x:v>AUD-0113</x:v>
      </x:c>
      <x:c r="B114" s="64" t="n">
        <x:v>114</x:v>
      </x:c>
      <x:c r="C114" s="64" t="str">
        <x:v>PO-2025-0113</x:v>
      </x:c>
      <x:c r="D114" s="64" t="str">
        <x:v>PO-2025-0113</x:v>
      </x:c>
      <x:c r="E114" s="64" t="str">
        <x:v>B114</x:v>
      </x:c>
      <x:c r="F114" s="64" t="str">
        <x:v>PO_Date</x:v>
      </x:c>
      <x:c r="G114" s="64" t="str">
        <x:v>27/07/2025</x:v>
      </x:c>
      <x:c r="H114" s="64" t="str">
        <x:v>2025-07-27</x:v>
      </x:c>
      <x:c r="I114" s="64" t="str">
        <x:v>standardization</x:v>
      </x:c>
      <x:c r="J114" s="64" t="str">
        <x:v>Converted the source text date to a true spreadsheet date and standardized its display without changing the calendar date.</x:v>
      </x:c>
      <x:c r="K114" s="64" t="str">
        <x:v>PASS — parsed source date equals cleaned date</x:v>
      </x:c>
      <x:c r="L114" s="64" t="str">
        <x:v>High</x:v>
      </x:c>
      <x:c r="M114" s="64" t="str">
        <x:v>Instructor Approved</x:v>
      </x:c>
    </x:row>
    <x:row r="115">
      <x:c r="A115" s="64" t="str">
        <x:v>AUD-0114</x:v>
      </x:c>
      <x:c r="B115" s="64" t="n">
        <x:v>115</x:v>
      </x:c>
      <x:c r="C115" s="64" t="str">
        <x:v>PO-2025-0114</x:v>
      </x:c>
      <x:c r="D115" s="64" t="str">
        <x:v>PO-2025-0114</x:v>
      </x:c>
      <x:c r="E115" s="64" t="str">
        <x:v>B115</x:v>
      </x:c>
      <x:c r="F115" s="64" t="str">
        <x:v>PO_Date</x:v>
      </x:c>
      <x:c r="G115" s="64" t="str">
        <x:v>19/11/2025</x:v>
      </x:c>
      <x:c r="H115" s="64" t="str">
        <x:v>2025-11-19</x:v>
      </x:c>
      <x:c r="I115" s="64" t="str">
        <x:v>standardization</x:v>
      </x:c>
      <x:c r="J115" s="64" t="str">
        <x:v>Converted the source text date to a true spreadsheet date and standardized its display without changing the calendar date.</x:v>
      </x:c>
      <x:c r="K115" s="64" t="str">
        <x:v>PASS — parsed source date equals cleaned date</x:v>
      </x:c>
      <x:c r="L115" s="64" t="str">
        <x:v>High</x:v>
      </x:c>
      <x:c r="M115" s="64" t="str">
        <x:v>Instructor Approved</x:v>
      </x:c>
    </x:row>
    <x:row r="116">
      <x:c r="A116" s="64" t="str">
        <x:v>AUD-0115</x:v>
      </x:c>
      <x:c r="B116" s="64" t="n">
        <x:v>116</x:v>
      </x:c>
      <x:c r="C116" s="64" t="str">
        <x:v>PO-2025-0115</x:v>
      </x:c>
      <x:c r="D116" s="64" t="str">
        <x:v>PO-2025-0115</x:v>
      </x:c>
      <x:c r="E116" s="64" t="str">
        <x:v>B116</x:v>
      </x:c>
      <x:c r="F116" s="64" t="str">
        <x:v>PO_Date</x:v>
      </x:c>
      <x:c r="G116" s="64" t="str">
        <x:v>13/05/2025</x:v>
      </x:c>
      <x:c r="H116" s="64" t="str">
        <x:v>2025-05-13</x:v>
      </x:c>
      <x:c r="I116" s="64" t="str">
        <x:v>standardization</x:v>
      </x:c>
      <x:c r="J116" s="64" t="str">
        <x:v>Converted the source text date to a true spreadsheet date and standardized its display without changing the calendar date.</x:v>
      </x:c>
      <x:c r="K116" s="64" t="str">
        <x:v>PASS — parsed source date equals cleaned date</x:v>
      </x:c>
      <x:c r="L116" s="64" t="str">
        <x:v>High</x:v>
      </x:c>
      <x:c r="M116" s="64" t="str">
        <x:v>Instructor Approved</x:v>
      </x:c>
    </x:row>
    <x:row r="117">
      <x:c r="A117" s="64" t="str">
        <x:v>AUD-0116</x:v>
      </x:c>
      <x:c r="B117" s="64" t="n">
        <x:v>117</x:v>
      </x:c>
      <x:c r="C117" s="64" t="str">
        <x:v>PO-2025-0116</x:v>
      </x:c>
      <x:c r="D117" s="64" t="str">
        <x:v>PO-2025-0116</x:v>
      </x:c>
      <x:c r="E117" s="64" t="str">
        <x:v>B117</x:v>
      </x:c>
      <x:c r="F117" s="64" t="str">
        <x:v>PO_Date</x:v>
      </x:c>
      <x:c r="G117" s="64" t="str">
        <x:v>14/04/2025</x:v>
      </x:c>
      <x:c r="H117" s="64" t="str">
        <x:v>2025-04-14</x:v>
      </x:c>
      <x:c r="I117" s="64" t="str">
        <x:v>standardization</x:v>
      </x:c>
      <x:c r="J117" s="64" t="str">
        <x:v>Converted the source text date to a true spreadsheet date and standardized its display without changing the calendar date.</x:v>
      </x:c>
      <x:c r="K117" s="64" t="str">
        <x:v>PASS — parsed source date equals cleaned date</x:v>
      </x:c>
      <x:c r="L117" s="64" t="str">
        <x:v>High</x:v>
      </x:c>
      <x:c r="M117" s="64" t="str">
        <x:v>Instructor Approved</x:v>
      </x:c>
    </x:row>
    <x:row r="118">
      <x:c r="A118" s="64" t="str">
        <x:v>AUD-0117</x:v>
      </x:c>
      <x:c r="B118" s="64" t="n">
        <x:v>118</x:v>
      </x:c>
      <x:c r="C118" s="64" t="str">
        <x:v>PO-2025-0117</x:v>
      </x:c>
      <x:c r="D118" s="64" t="str">
        <x:v>PO-2025-0117</x:v>
      </x:c>
      <x:c r="E118" s="64" t="str">
        <x:v>B118</x:v>
      </x:c>
      <x:c r="F118" s="64" t="str">
        <x:v>PO_Date</x:v>
      </x:c>
      <x:c r="G118" s="64" t="str">
        <x:v>20/07/2025</x:v>
      </x:c>
      <x:c r="H118" s="64" t="str">
        <x:v>2025-07-20</x:v>
      </x:c>
      <x:c r="I118" s="64" t="str">
        <x:v>standardization</x:v>
      </x:c>
      <x:c r="J118" s="64" t="str">
        <x:v>Converted the source text date to a true spreadsheet date and standardized its display without changing the calendar date.</x:v>
      </x:c>
      <x:c r="K118" s="64" t="str">
        <x:v>PASS — parsed source date equals cleaned date</x:v>
      </x:c>
      <x:c r="L118" s="64" t="str">
        <x:v>High</x:v>
      </x:c>
      <x:c r="M118" s="64" t="str">
        <x:v>Instructor Approved</x:v>
      </x:c>
    </x:row>
    <x:row r="119">
      <x:c r="A119" s="64" t="str">
        <x:v>AUD-0118</x:v>
      </x:c>
      <x:c r="B119" s="64" t="n">
        <x:v>119</x:v>
      </x:c>
      <x:c r="C119" s="64" t="str">
        <x:v>PO-2025-0118</x:v>
      </x:c>
      <x:c r="D119" s="64" t="str">
        <x:v>PO-2025-0118</x:v>
      </x:c>
      <x:c r="E119" s="64" t="str">
        <x:v>B119</x:v>
      </x:c>
      <x:c r="F119" s="64" t="str">
        <x:v>PO_Date</x:v>
      </x:c>
      <x:c r="G119" s="64" t="str">
        <x:v>13/01/2025</x:v>
      </x:c>
      <x:c r="H119" s="64" t="str">
        <x:v>2025-01-13</x:v>
      </x:c>
      <x:c r="I119" s="64" t="str">
        <x:v>standardization</x:v>
      </x:c>
      <x:c r="J119" s="64" t="str">
        <x:v>Converted the source text date to a true spreadsheet date and standardized its display without changing the calendar date.</x:v>
      </x:c>
      <x:c r="K119" s="64" t="str">
        <x:v>PASS — parsed source date equals cleaned date</x:v>
      </x:c>
      <x:c r="L119" s="64" t="str">
        <x:v>High</x:v>
      </x:c>
      <x:c r="M119" s="64" t="str">
        <x:v>Instructor Approved</x:v>
      </x:c>
    </x:row>
    <x:row r="120">
      <x:c r="A120" s="64" t="str">
        <x:v>AUD-0119</x:v>
      </x:c>
      <x:c r="B120" s="64" t="n">
        <x:v>120</x:v>
      </x:c>
      <x:c r="C120" s="64" t="str">
        <x:v>PO-2025-0119</x:v>
      </x:c>
      <x:c r="D120" s="64" t="str">
        <x:v>PO-2025-0119</x:v>
      </x:c>
      <x:c r="E120" s="64" t="str">
        <x:v>B120</x:v>
      </x:c>
      <x:c r="F120" s="64" t="str">
        <x:v>PO_Date</x:v>
      </x:c>
      <x:c r="G120" s="64" t="str">
        <x:v>21/04/2025</x:v>
      </x:c>
      <x:c r="H120" s="64" t="str">
        <x:v>2025-04-21</x:v>
      </x:c>
      <x:c r="I120" s="64" t="str">
        <x:v>standardization</x:v>
      </x:c>
      <x:c r="J120" s="64" t="str">
        <x:v>Converted the source text date to a true spreadsheet date and standardized its display without changing the calendar date.</x:v>
      </x:c>
      <x:c r="K120" s="64" t="str">
        <x:v>PASS — parsed source date equals cleaned date</x:v>
      </x:c>
      <x:c r="L120" s="64" t="str">
        <x:v>High</x:v>
      </x:c>
      <x:c r="M120" s="64" t="str">
        <x:v>Instructor Approved</x:v>
      </x:c>
    </x:row>
    <x:row r="121">
      <x:c r="A121" s="64" t="str">
        <x:v>AUD-0120</x:v>
      </x:c>
      <x:c r="B121" s="64" t="n">
        <x:v>121</x:v>
      </x:c>
      <x:c r="C121" s="64" t="str">
        <x:v>PO-2025-0060</x:v>
      </x:c>
      <x:c r="D121" s="64" t="str">
        <x:v>PO-2025-0120</x:v>
      </x:c>
      <x:c r="E121" s="64" t="str">
        <x:v>B121</x:v>
      </x:c>
      <x:c r="F121" s="64" t="str">
        <x:v>PO_Date</x:v>
      </x:c>
      <x:c r="G121" s="64" t="str">
        <x:v>20/01/2025</x:v>
      </x:c>
      <x:c r="H121" s="64" t="str">
        <x:v>2025-01-20</x:v>
      </x:c>
      <x:c r="I121" s="64" t="str">
        <x:v>standardization</x:v>
      </x:c>
      <x:c r="J121" s="64" t="str">
        <x:v>Converted the source text date to a true spreadsheet date and standardized its display without changing the calendar date.</x:v>
      </x:c>
      <x:c r="K121" s="64" t="str">
        <x:v>PASS — parsed source date equals cleaned date</x:v>
      </x:c>
      <x:c r="L121" s="64" t="str">
        <x:v>High</x:v>
      </x:c>
      <x:c r="M121" s="64" t="str">
        <x:v>Instructor Approved</x:v>
      </x:c>
    </x:row>
    <x:row r="122">
      <x:c r="A122" s="64" t="str">
        <x:v>AUD-0121</x:v>
      </x:c>
      <x:c r="B122" s="64" t="n">
        <x:v>122</x:v>
      </x:c>
      <x:c r="C122" s="64" t="str">
        <x:v>PO-2025-0121</x:v>
      </x:c>
      <x:c r="D122" s="64" t="str">
        <x:v>PO-2025-0121</x:v>
      </x:c>
      <x:c r="E122" s="64" t="str">
        <x:v>B122</x:v>
      </x:c>
      <x:c r="F122" s="64" t="str">
        <x:v>PO_Date</x:v>
      </x:c>
      <x:c r="G122" s="64" t="str">
        <x:v>24/09/2025</x:v>
      </x:c>
      <x:c r="H122" s="64" t="str">
        <x:v>2025-09-24</x:v>
      </x:c>
      <x:c r="I122" s="64" t="str">
        <x:v>standardization</x:v>
      </x:c>
      <x:c r="J122" s="64" t="str">
        <x:v>Converted the source text date to a true spreadsheet date and standardized its display without changing the calendar date.</x:v>
      </x:c>
      <x:c r="K122" s="64" t="str">
        <x:v>PASS — parsed source date equals cleaned date</x:v>
      </x:c>
      <x:c r="L122" s="64" t="str">
        <x:v>High</x:v>
      </x:c>
      <x:c r="M122" s="64" t="str">
        <x:v>Instructor Approved</x:v>
      </x:c>
    </x:row>
    <x:row r="123">
      <x:c r="A123" s="64" t="str">
        <x:v>AUD-0122</x:v>
      </x:c>
      <x:c r="B123" s="64" t="n">
        <x:v>123</x:v>
      </x:c>
      <x:c r="C123" s="64" t="str">
        <x:v>PO-2025-0122</x:v>
      </x:c>
      <x:c r="D123" s="64" t="str">
        <x:v>PO-2025-0122</x:v>
      </x:c>
      <x:c r="E123" s="64" t="str">
        <x:v>B123</x:v>
      </x:c>
      <x:c r="F123" s="64" t="str">
        <x:v>PO_Date</x:v>
      </x:c>
      <x:c r="G123" s="64" t="str">
        <x:v>10/01/2025</x:v>
      </x:c>
      <x:c r="H123" s="64" t="str">
        <x:v>2025-01-10</x:v>
      </x:c>
      <x:c r="I123" s="64" t="str">
        <x:v>standardization</x:v>
      </x:c>
      <x:c r="J123" s="64" t="str">
        <x:v>Converted the source text date to a true spreadsheet date and standardized its display without changing the calendar date.</x:v>
      </x:c>
      <x:c r="K123" s="64" t="str">
        <x:v>PASS — parsed source date equals cleaned date</x:v>
      </x:c>
      <x:c r="L123" s="64" t="str">
        <x:v>High</x:v>
      </x:c>
      <x:c r="M123" s="64" t="str">
        <x:v>Instructor Approved</x:v>
      </x:c>
    </x:row>
    <x:row r="124">
      <x:c r="A124" s="64" t="str">
        <x:v>AUD-0123</x:v>
      </x:c>
      <x:c r="B124" s="64" t="n">
        <x:v>124</x:v>
      </x:c>
      <x:c r="C124" s="64" t="str">
        <x:v>PO-2025-0123</x:v>
      </x:c>
      <x:c r="D124" s="64" t="str">
        <x:v>PO-2025-0123</x:v>
      </x:c>
      <x:c r="E124" s="64" t="str">
        <x:v>B124</x:v>
      </x:c>
      <x:c r="F124" s="64" t="str">
        <x:v>PO_Date</x:v>
      </x:c>
      <x:c r="G124" s="64" t="str">
        <x:v>27/05/2025</x:v>
      </x:c>
      <x:c r="H124" s="64" t="str">
        <x:v>2025-05-27</x:v>
      </x:c>
      <x:c r="I124" s="64" t="str">
        <x:v>standardization</x:v>
      </x:c>
      <x:c r="J124" s="64" t="str">
        <x:v>Converted the source text date to a true spreadsheet date and standardized its display without changing the calendar date.</x:v>
      </x:c>
      <x:c r="K124" s="64" t="str">
        <x:v>PASS — parsed source date equals cleaned date</x:v>
      </x:c>
      <x:c r="L124" s="64" t="str">
        <x:v>High</x:v>
      </x:c>
      <x:c r="M124" s="64" t="str">
        <x:v>Instructor Approved</x:v>
      </x:c>
    </x:row>
    <x:row r="125">
      <x:c r="A125" s="64" t="str">
        <x:v>AUD-0124</x:v>
      </x:c>
      <x:c r="B125" s="64" t="n">
        <x:v>125</x:v>
      </x:c>
      <x:c r="C125" s="64" t="str">
        <x:v>PO-2025-0124</x:v>
      </x:c>
      <x:c r="D125" s="64" t="str">
        <x:v>PO-2025-0124</x:v>
      </x:c>
      <x:c r="E125" s="64" t="str">
        <x:v>B125</x:v>
      </x:c>
      <x:c r="F125" s="64" t="str">
        <x:v>PO_Date</x:v>
      </x:c>
      <x:c r="G125" s="64" t="str">
        <x:v>08/06/2025</x:v>
      </x:c>
      <x:c r="H125" s="64" t="str">
        <x:v>2025-06-08</x:v>
      </x:c>
      <x:c r="I125" s="64" t="str">
        <x:v>standardization</x:v>
      </x:c>
      <x:c r="J125" s="64" t="str">
        <x:v>Converted the source text date to a true spreadsheet date and standardized its display without changing the calendar date.</x:v>
      </x:c>
      <x:c r="K125" s="64" t="str">
        <x:v>PASS — parsed source date equals cleaned date</x:v>
      </x:c>
      <x:c r="L125" s="64" t="str">
        <x:v>High</x:v>
      </x:c>
      <x:c r="M125" s="64" t="str">
        <x:v>Instructor Approved</x:v>
      </x:c>
    </x:row>
    <x:row r="126">
      <x:c r="A126" s="64" t="str">
        <x:v>AUD-0125</x:v>
      </x:c>
      <x:c r="B126" s="64" t="n">
        <x:v>126</x:v>
      </x:c>
      <x:c r="C126" s="64" t="str">
        <x:v>PO-2025-0125</x:v>
      </x:c>
      <x:c r="D126" s="64" t="str">
        <x:v>PO-2025-0125</x:v>
      </x:c>
      <x:c r="E126" s="64" t="str">
        <x:v>B126</x:v>
      </x:c>
      <x:c r="F126" s="64" t="str">
        <x:v>PO_Date</x:v>
      </x:c>
      <x:c r="G126" s="64" t="str">
        <x:v>20/07/2025</x:v>
      </x:c>
      <x:c r="H126" s="64" t="str">
        <x:v>2025-07-20</x:v>
      </x:c>
      <x:c r="I126" s="64" t="str">
        <x:v>standardization</x:v>
      </x:c>
      <x:c r="J126" s="64" t="str">
        <x:v>Converted the source text date to a true spreadsheet date and standardized its display without changing the calendar date.</x:v>
      </x:c>
      <x:c r="K126" s="64" t="str">
        <x:v>PASS — parsed source date equals cleaned date</x:v>
      </x:c>
      <x:c r="L126" s="64" t="str">
        <x:v>High</x:v>
      </x:c>
      <x:c r="M126" s="64" t="str">
        <x:v>Instructor Approved</x:v>
      </x:c>
    </x:row>
    <x:row r="127">
      <x:c r="A127" s="64" t="str">
        <x:v>AUD-0126</x:v>
      </x:c>
      <x:c r="B127" s="64" t="n">
        <x:v>127</x:v>
      </x:c>
      <x:c r="C127" s="64" t="str">
        <x:v>PO-2025-0126</x:v>
      </x:c>
      <x:c r="D127" s="64" t="str">
        <x:v>PO-2025-0126</x:v>
      </x:c>
      <x:c r="E127" s="64" t="str">
        <x:v>B127</x:v>
      </x:c>
      <x:c r="F127" s="64" t="str">
        <x:v>PO_Date</x:v>
      </x:c>
      <x:c r="G127" s="64" t="str">
        <x:v>15/11/2025</x:v>
      </x:c>
      <x:c r="H127" s="64" t="str">
        <x:v>2025-11-15</x:v>
      </x:c>
      <x:c r="I127" s="64" t="str">
        <x:v>standardization</x:v>
      </x:c>
      <x:c r="J127" s="64" t="str">
        <x:v>Converted the source text date to a true spreadsheet date and standardized its display without changing the calendar date.</x:v>
      </x:c>
      <x:c r="K127" s="64" t="str">
        <x:v>PASS — parsed source date equals cleaned date</x:v>
      </x:c>
      <x:c r="L127" s="64" t="str">
        <x:v>High</x:v>
      </x:c>
      <x:c r="M127" s="64" t="str">
        <x:v>Instructor Approved</x:v>
      </x:c>
    </x:row>
    <x:row r="128">
      <x:c r="A128" s="64" t="str">
        <x:v>AUD-0127</x:v>
      </x:c>
      <x:c r="B128" s="64" t="n">
        <x:v>128</x:v>
      </x:c>
      <x:c r="C128" s="64" t="str">
        <x:v>PO-2025-0127</x:v>
      </x:c>
      <x:c r="D128" s="64" t="str">
        <x:v>PO-2025-0127</x:v>
      </x:c>
      <x:c r="E128" s="64" t="str">
        <x:v>B128</x:v>
      </x:c>
      <x:c r="F128" s="64" t="str">
        <x:v>PO_Date</x:v>
      </x:c>
      <x:c r="G128" s="64" t="str">
        <x:v>03/08/2025</x:v>
      </x:c>
      <x:c r="H128" s="64" t="str">
        <x:v>2025-08-03</x:v>
      </x:c>
      <x:c r="I128" s="64" t="str">
        <x:v>standardization</x:v>
      </x:c>
      <x:c r="J128" s="64" t="str">
        <x:v>Converted the source text date to a true spreadsheet date and standardized its display without changing the calendar date.</x:v>
      </x:c>
      <x:c r="K128" s="64" t="str">
        <x:v>PASS — parsed source date equals cleaned date</x:v>
      </x:c>
      <x:c r="L128" s="64" t="str">
        <x:v>High</x:v>
      </x:c>
      <x:c r="M128" s="64" t="str">
        <x:v>Instructor Approved</x:v>
      </x:c>
    </x:row>
    <x:row r="129">
      <x:c r="A129" s="64" t="str">
        <x:v>AUD-0128</x:v>
      </x:c>
      <x:c r="B129" s="64" t="n">
        <x:v>129</x:v>
      </x:c>
      <x:c r="C129" s="64" t="str">
        <x:v>PO-2025-0128</x:v>
      </x:c>
      <x:c r="D129" s="64" t="str">
        <x:v>PO-2025-0128</x:v>
      </x:c>
      <x:c r="E129" s="64" t="str">
        <x:v>B129</x:v>
      </x:c>
      <x:c r="F129" s="64" t="str">
        <x:v>PO_Date</x:v>
      </x:c>
      <x:c r="G129" s="64" t="str">
        <x:v>27/07/2025</x:v>
      </x:c>
      <x:c r="H129" s="64" t="str">
        <x:v>2025-07-27</x:v>
      </x:c>
      <x:c r="I129" s="64" t="str">
        <x:v>standardization</x:v>
      </x:c>
      <x:c r="J129" s="64" t="str">
        <x:v>Converted the source text date to a true spreadsheet date and standardized its display without changing the calendar date.</x:v>
      </x:c>
      <x:c r="K129" s="64" t="str">
        <x:v>PASS — parsed source date equals cleaned date</x:v>
      </x:c>
      <x:c r="L129" s="64" t="str">
        <x:v>High</x:v>
      </x:c>
      <x:c r="M129" s="64" t="str">
        <x:v>Instructor Approved</x:v>
      </x:c>
    </x:row>
    <x:row r="130">
      <x:c r="A130" s="64" t="str">
        <x:v>AUD-0129</x:v>
      </x:c>
      <x:c r="B130" s="64" t="n">
        <x:v>130</x:v>
      </x:c>
      <x:c r="C130" s="64" t="str">
        <x:v>PO-2025-0129</x:v>
      </x:c>
      <x:c r="D130" s="64" t="str">
        <x:v>PO-2025-0129</x:v>
      </x:c>
      <x:c r="E130" s="64" t="str">
        <x:v>B130</x:v>
      </x:c>
      <x:c r="F130" s="64" t="str">
        <x:v>PO_Date</x:v>
      </x:c>
      <x:c r="G130" s="64" t="str">
        <x:v>13/11/2025</x:v>
      </x:c>
      <x:c r="H130" s="64" t="str">
        <x:v>2025-11-13</x:v>
      </x:c>
      <x:c r="I130" s="64" t="str">
        <x:v>standardization</x:v>
      </x:c>
      <x:c r="J130" s="64" t="str">
        <x:v>Converted the source text date to a true spreadsheet date and standardized its display without changing the calendar date.</x:v>
      </x:c>
      <x:c r="K130" s="64" t="str">
        <x:v>PASS — parsed source date equals cleaned date</x:v>
      </x:c>
      <x:c r="L130" s="64" t="str">
        <x:v>High</x:v>
      </x:c>
      <x:c r="M130" s="64" t="str">
        <x:v>Instructor Approved</x:v>
      </x:c>
    </x:row>
    <x:row r="131">
      <x:c r="A131" s="64" t="str">
        <x:v>AUD-0130</x:v>
      </x:c>
      <x:c r="B131" s="64" t="n">
        <x:v>131</x:v>
      </x:c>
      <x:c r="C131" s="64" t="str">
        <x:v>PO-2025-0130</x:v>
      </x:c>
      <x:c r="D131" s="64" t="str">
        <x:v>PO-2025-0130</x:v>
      </x:c>
      <x:c r="E131" s="64" t="str">
        <x:v>B131</x:v>
      </x:c>
      <x:c r="F131" s="64" t="str">
        <x:v>PO_Date</x:v>
      </x:c>
      <x:c r="G131" s="64" t="str">
        <x:v>03/03/2025</x:v>
      </x:c>
      <x:c r="H131" s="64" t="str">
        <x:v>2025-03-03</x:v>
      </x:c>
      <x:c r="I131" s="64" t="str">
        <x:v>standardization</x:v>
      </x:c>
      <x:c r="J131" s="64" t="str">
        <x:v>Converted the source text date to a true spreadsheet date and standardized its display without changing the calendar date.</x:v>
      </x:c>
      <x:c r="K131" s="64" t="str">
        <x:v>PASS — parsed source date equals cleaned date</x:v>
      </x:c>
      <x:c r="L131" s="64" t="str">
        <x:v>High</x:v>
      </x:c>
      <x:c r="M131" s="64" t="str">
        <x:v>Instructor Approved</x:v>
      </x:c>
    </x:row>
    <x:row r="132">
      <x:c r="A132" s="64" t="str">
        <x:v>AUD-0131</x:v>
      </x:c>
      <x:c r="B132" s="64" t="n">
        <x:v>132</x:v>
      </x:c>
      <x:c r="C132" s="64" t="str">
        <x:v>PO-2025-0131</x:v>
      </x:c>
      <x:c r="D132" s="64" t="str">
        <x:v>PO-2025-0131</x:v>
      </x:c>
      <x:c r="E132" s="64" t="str">
        <x:v>B132</x:v>
      </x:c>
      <x:c r="F132" s="64" t="str">
        <x:v>PO_Date</x:v>
      </x:c>
      <x:c r="G132" s="64" t="str">
        <x:v>14/10/2025</x:v>
      </x:c>
      <x:c r="H132" s="64" t="str">
        <x:v>2025-10-14</x:v>
      </x:c>
      <x:c r="I132" s="64" t="str">
        <x:v>standardization</x:v>
      </x:c>
      <x:c r="J132" s="64" t="str">
        <x:v>Converted the source text date to a true spreadsheet date and standardized its display without changing the calendar date.</x:v>
      </x:c>
      <x:c r="K132" s="64" t="str">
        <x:v>PASS — parsed source date equals cleaned date</x:v>
      </x:c>
      <x:c r="L132" s="64" t="str">
        <x:v>High</x:v>
      </x:c>
      <x:c r="M132" s="64" t="str">
        <x:v>Instructor Approved</x:v>
      </x:c>
    </x:row>
    <x:row r="133">
      <x:c r="A133" s="64" t="str">
        <x:v>AUD-0132</x:v>
      </x:c>
      <x:c r="B133" s="64" t="n">
        <x:v>133</x:v>
      </x:c>
      <x:c r="C133" s="64" t="str">
        <x:v>PO-2025-0132</x:v>
      </x:c>
      <x:c r="D133" s="64" t="str">
        <x:v>PO-2025-0132</x:v>
      </x:c>
      <x:c r="E133" s="64" t="str">
        <x:v>B133</x:v>
      </x:c>
      <x:c r="F133" s="64" t="str">
        <x:v>PO_Date</x:v>
      </x:c>
      <x:c r="G133" s="64" t="str">
        <x:v>05/09/2025</x:v>
      </x:c>
      <x:c r="H133" s="64" t="str">
        <x:v>2025-09-05</x:v>
      </x:c>
      <x:c r="I133" s="64" t="str">
        <x:v>standardization</x:v>
      </x:c>
      <x:c r="J133" s="64" t="str">
        <x:v>Converted the source text date to a true spreadsheet date and standardized its display without changing the calendar date.</x:v>
      </x:c>
      <x:c r="K133" s="64" t="str">
        <x:v>PASS — parsed source date equals cleaned date</x:v>
      </x:c>
      <x:c r="L133" s="64" t="str">
        <x:v>High</x:v>
      </x:c>
      <x:c r="M133" s="64" t="str">
        <x:v>Instructor Approved</x:v>
      </x:c>
    </x:row>
    <x:row r="134">
      <x:c r="A134" s="64" t="str">
        <x:v>AUD-0133</x:v>
      </x:c>
      <x:c r="B134" s="64" t="n">
        <x:v>134</x:v>
      </x:c>
      <x:c r="C134" s="64" t="str">
        <x:v>PO-2025-0133</x:v>
      </x:c>
      <x:c r="D134" s="64" t="str">
        <x:v>PO-2025-0133</x:v>
      </x:c>
      <x:c r="E134" s="64" t="str">
        <x:v>B134</x:v>
      </x:c>
      <x:c r="F134" s="64" t="str">
        <x:v>PO_Date</x:v>
      </x:c>
      <x:c r="G134" s="64" t="str">
        <x:v>08/05/2025</x:v>
      </x:c>
      <x:c r="H134" s="64" t="str">
        <x:v>2025-05-08</x:v>
      </x:c>
      <x:c r="I134" s="64" t="str">
        <x:v>standardization</x:v>
      </x:c>
      <x:c r="J134" s="64" t="str">
        <x:v>Converted the source text date to a true spreadsheet date and standardized its display without changing the calendar date.</x:v>
      </x:c>
      <x:c r="K134" s="64" t="str">
        <x:v>PASS — parsed source date equals cleaned date</x:v>
      </x:c>
      <x:c r="L134" s="64" t="str">
        <x:v>High</x:v>
      </x:c>
      <x:c r="M134" s="64" t="str">
        <x:v>Instructor Approved</x:v>
      </x:c>
    </x:row>
    <x:row r="135">
      <x:c r="A135" s="64" t="str">
        <x:v>AUD-0134</x:v>
      </x:c>
      <x:c r="B135" s="64" t="n">
        <x:v>135</x:v>
      </x:c>
      <x:c r="C135" s="64" t="str">
        <x:v>PO-2025-0134</x:v>
      </x:c>
      <x:c r="D135" s="64" t="str">
        <x:v>PO-2025-0134</x:v>
      </x:c>
      <x:c r="E135" s="64" t="str">
        <x:v>B135</x:v>
      </x:c>
      <x:c r="F135" s="64" t="str">
        <x:v>PO_Date</x:v>
      </x:c>
      <x:c r="G135" s="64" t="str">
        <x:v>06/01/2025</x:v>
      </x:c>
      <x:c r="H135" s="64" t="str">
        <x:v>2025-01-06</x:v>
      </x:c>
      <x:c r="I135" s="64" t="str">
        <x:v>standardization</x:v>
      </x:c>
      <x:c r="J135" s="64" t="str">
        <x:v>Converted the source text date to a true spreadsheet date and standardized its display without changing the calendar date.</x:v>
      </x:c>
      <x:c r="K135" s="64" t="str">
        <x:v>PASS — parsed source date equals cleaned date</x:v>
      </x:c>
      <x:c r="L135" s="64" t="str">
        <x:v>High</x:v>
      </x:c>
      <x:c r="M135" s="64" t="str">
        <x:v>Instructor Approved</x:v>
      </x:c>
    </x:row>
    <x:row r="136">
      <x:c r="A136" s="64" t="str">
        <x:v>AUD-0135</x:v>
      </x:c>
      <x:c r="B136" s="64" t="n">
        <x:v>136</x:v>
      </x:c>
      <x:c r="C136" s="64" t="str">
        <x:v>PO-2025-0135</x:v>
      </x:c>
      <x:c r="D136" s="64" t="str">
        <x:v>PO-2025-0135</x:v>
      </x:c>
      <x:c r="E136" s="64" t="str">
        <x:v>B136</x:v>
      </x:c>
      <x:c r="F136" s="64" t="str">
        <x:v>PO_Date</x:v>
      </x:c>
      <x:c r="G136" s="64" t="str">
        <x:v>25/07/2025</x:v>
      </x:c>
      <x:c r="H136" s="64" t="str">
        <x:v>2025-07-25</x:v>
      </x:c>
      <x:c r="I136" s="64" t="str">
        <x:v>standardization</x:v>
      </x:c>
      <x:c r="J136" s="64" t="str">
        <x:v>Converted the source text date to a true spreadsheet date and standardized its display without changing the calendar date.</x:v>
      </x:c>
      <x:c r="K136" s="64" t="str">
        <x:v>PASS — parsed source date equals cleaned date</x:v>
      </x:c>
      <x:c r="L136" s="64" t="str">
        <x:v>High</x:v>
      </x:c>
      <x:c r="M136" s="64" t="str">
        <x:v>Instructor Approved</x:v>
      </x:c>
    </x:row>
    <x:row r="137">
      <x:c r="A137" s="64" t="str">
        <x:v>AUD-0136</x:v>
      </x:c>
      <x:c r="B137" s="64" t="n">
        <x:v>137</x:v>
      </x:c>
      <x:c r="C137" s="64" t="str">
        <x:v>PO-2025-0136</x:v>
      </x:c>
      <x:c r="D137" s="64" t="str">
        <x:v>PO-2025-0136</x:v>
      </x:c>
      <x:c r="E137" s="64" t="str">
        <x:v>B137</x:v>
      </x:c>
      <x:c r="F137" s="64" t="str">
        <x:v>PO_Date</x:v>
      </x:c>
      <x:c r="G137" s="64" t="str">
        <x:v>17/11/2025</x:v>
      </x:c>
      <x:c r="H137" s="64" t="str">
        <x:v>2025-11-17</x:v>
      </x:c>
      <x:c r="I137" s="64" t="str">
        <x:v>standardization</x:v>
      </x:c>
      <x:c r="J137" s="64" t="str">
        <x:v>Converted the source text date to a true spreadsheet date and standardized its display without changing the calendar date.</x:v>
      </x:c>
      <x:c r="K137" s="64" t="str">
        <x:v>PASS — parsed source date equals cleaned date</x:v>
      </x:c>
      <x:c r="L137" s="64" t="str">
        <x:v>High</x:v>
      </x:c>
      <x:c r="M137" s="64" t="str">
        <x:v>Instructor Approved</x:v>
      </x:c>
    </x:row>
    <x:row r="138">
      <x:c r="A138" s="64" t="str">
        <x:v>AUD-0137</x:v>
      </x:c>
      <x:c r="B138" s="64" t="n">
        <x:v>138</x:v>
      </x:c>
      <x:c r="C138" s="64" t="str">
        <x:v>PO-2025-0137</x:v>
      </x:c>
      <x:c r="D138" s="64" t="str">
        <x:v>PO-2025-0137</x:v>
      </x:c>
      <x:c r="E138" s="64" t="str">
        <x:v>B138</x:v>
      </x:c>
      <x:c r="F138" s="64" t="str">
        <x:v>PO_Date</x:v>
      </x:c>
      <x:c r="G138" s="64" t="str">
        <x:v>08/03/2025</x:v>
      </x:c>
      <x:c r="H138" s="64" t="str">
        <x:v>2025-03-08</x:v>
      </x:c>
      <x:c r="I138" s="64" t="str">
        <x:v>standardization</x:v>
      </x:c>
      <x:c r="J138" s="64" t="str">
        <x:v>Converted the source text date to a true spreadsheet date and standardized its display without changing the calendar date.</x:v>
      </x:c>
      <x:c r="K138" s="64" t="str">
        <x:v>PASS — parsed source date equals cleaned date</x:v>
      </x:c>
      <x:c r="L138" s="64" t="str">
        <x:v>High</x:v>
      </x:c>
      <x:c r="M138" s="64" t="str">
        <x:v>Instructor Approved</x:v>
      </x:c>
    </x:row>
    <x:row r="139">
      <x:c r="A139" s="64" t="str">
        <x:v>AUD-0138</x:v>
      </x:c>
      <x:c r="B139" s="64" t="n">
        <x:v>139</x:v>
      </x:c>
      <x:c r="C139" s="64" t="str">
        <x:v>PO-2025-0138</x:v>
      </x:c>
      <x:c r="D139" s="64" t="str">
        <x:v>PO-2025-0138</x:v>
      </x:c>
      <x:c r="E139" s="64" t="str">
        <x:v>B139</x:v>
      </x:c>
      <x:c r="F139" s="64" t="str">
        <x:v>PO_Date</x:v>
      </x:c>
      <x:c r="G139" s="64" t="str">
        <x:v>15/09/2025</x:v>
      </x:c>
      <x:c r="H139" s="64" t="str">
        <x:v>2025-09-15</x:v>
      </x:c>
      <x:c r="I139" s="64" t="str">
        <x:v>standardization</x:v>
      </x:c>
      <x:c r="J139" s="64" t="str">
        <x:v>Converted the source text date to a true spreadsheet date and standardized its display without changing the calendar date.</x:v>
      </x:c>
      <x:c r="K139" s="64" t="str">
        <x:v>PASS — parsed source date equals cleaned date</x:v>
      </x:c>
      <x:c r="L139" s="64" t="str">
        <x:v>High</x:v>
      </x:c>
      <x:c r="M139" s="64" t="str">
        <x:v>Instructor Approved</x:v>
      </x:c>
    </x:row>
    <x:row r="140">
      <x:c r="A140" s="64" t="str">
        <x:v>AUD-0139</x:v>
      </x:c>
      <x:c r="B140" s="64" t="n">
        <x:v>140</x:v>
      </x:c>
      <x:c r="C140" s="64" t="str">
        <x:v>PO-2025-0139</x:v>
      </x:c>
      <x:c r="D140" s="64" t="str">
        <x:v>PO-2025-0139</x:v>
      </x:c>
      <x:c r="E140" s="64" t="str">
        <x:v>B140</x:v>
      </x:c>
      <x:c r="F140" s="64" t="str">
        <x:v>PO_Date</x:v>
      </x:c>
      <x:c r="G140" s="64" t="str">
        <x:v>31/08/2025</x:v>
      </x:c>
      <x:c r="H140" s="64" t="str">
        <x:v>2025-08-31</x:v>
      </x:c>
      <x:c r="I140" s="64" t="str">
        <x:v>standardization</x:v>
      </x:c>
      <x:c r="J140" s="64" t="str">
        <x:v>Converted the source text date to a true spreadsheet date and standardized its display without changing the calendar date.</x:v>
      </x:c>
      <x:c r="K140" s="64" t="str">
        <x:v>PASS — parsed source date equals cleaned date</x:v>
      </x:c>
      <x:c r="L140" s="64" t="str">
        <x:v>High</x:v>
      </x:c>
      <x:c r="M140" s="64" t="str">
        <x:v>Instructor Approved</x:v>
      </x:c>
    </x:row>
    <x:row r="141">
      <x:c r="A141" s="64" t="str">
        <x:v>AUD-0140</x:v>
      </x:c>
      <x:c r="B141" s="64" t="n">
        <x:v>141</x:v>
      </x:c>
      <x:c r="C141" s="64" t="str">
        <x:v>PO-2025-0140</x:v>
      </x:c>
      <x:c r="D141" s="64" t="str">
        <x:v>PO-2025-0140</x:v>
      </x:c>
      <x:c r="E141" s="64" t="str">
        <x:v>B141</x:v>
      </x:c>
      <x:c r="F141" s="64" t="str">
        <x:v>PO_Date</x:v>
      </x:c>
      <x:c r="G141" s="64" t="str">
        <x:v>17/03/2025</x:v>
      </x:c>
      <x:c r="H141" s="64" t="str">
        <x:v>2025-03-17</x:v>
      </x:c>
      <x:c r="I141" s="64" t="str">
        <x:v>standardization</x:v>
      </x:c>
      <x:c r="J141" s="64" t="str">
        <x:v>Converted the source text date to a true spreadsheet date and standardized its display without changing the calendar date.</x:v>
      </x:c>
      <x:c r="K141" s="64" t="str">
        <x:v>PASS — parsed source date equals cleaned date</x:v>
      </x:c>
      <x:c r="L141" s="64" t="str">
        <x:v>High</x:v>
      </x:c>
      <x:c r="M141" s="64" t="str">
        <x:v>Instructor Approved</x:v>
      </x:c>
    </x:row>
    <x:row r="142">
      <x:c r="A142" s="64" t="str">
        <x:v>AUD-0141</x:v>
      </x:c>
      <x:c r="B142" s="64" t="n">
        <x:v>142</x:v>
      </x:c>
      <x:c r="C142" s="64" t="str">
        <x:v>PO-2025-0141</x:v>
      </x:c>
      <x:c r="D142" s="64" t="str">
        <x:v>PO-2025-0141</x:v>
      </x:c>
      <x:c r="E142" s="64" t="str">
        <x:v>B142</x:v>
      </x:c>
      <x:c r="F142" s="64" t="str">
        <x:v>PO_Date</x:v>
      </x:c>
      <x:c r="G142" s="64" t="str">
        <x:v>21/08/2025</x:v>
      </x:c>
      <x:c r="H142" s="64" t="str">
        <x:v>2025-08-21</x:v>
      </x:c>
      <x:c r="I142" s="64" t="str">
        <x:v>standardization</x:v>
      </x:c>
      <x:c r="J142" s="64" t="str">
        <x:v>Converted the source text date to a true spreadsheet date and standardized its display without changing the calendar date.</x:v>
      </x:c>
      <x:c r="K142" s="64" t="str">
        <x:v>PASS — parsed source date equals cleaned date</x:v>
      </x:c>
      <x:c r="L142" s="64" t="str">
        <x:v>High</x:v>
      </x:c>
      <x:c r="M142" s="64" t="str">
        <x:v>Instructor Approved</x:v>
      </x:c>
    </x:row>
    <x:row r="143">
      <x:c r="A143" s="64" t="str">
        <x:v>AUD-0142</x:v>
      </x:c>
      <x:c r="B143" s="64" t="n">
        <x:v>143</x:v>
      </x:c>
      <x:c r="C143" s="64" t="str">
        <x:v>PO-2025-0142</x:v>
      </x:c>
      <x:c r="D143" s="64" t="str">
        <x:v>PO-2025-0142</x:v>
      </x:c>
      <x:c r="E143" s="64" t="str">
        <x:v>B143</x:v>
      </x:c>
      <x:c r="F143" s="64" t="str">
        <x:v>PO_Date</x:v>
      </x:c>
      <x:c r="G143" s="64" t="str">
        <x:v>17/08/2025</x:v>
      </x:c>
      <x:c r="H143" s="64" t="str">
        <x:v>2025-08-17</x:v>
      </x:c>
      <x:c r="I143" s="64" t="str">
        <x:v>standardization</x:v>
      </x:c>
      <x:c r="J143" s="64" t="str">
        <x:v>Converted the source text date to a true spreadsheet date and standardized its display without changing the calendar date.</x:v>
      </x:c>
      <x:c r="K143" s="64" t="str">
        <x:v>PASS — parsed source date equals cleaned date</x:v>
      </x:c>
      <x:c r="L143" s="64" t="str">
        <x:v>High</x:v>
      </x:c>
      <x:c r="M143" s="64" t="str">
        <x:v>Instructor Approved</x:v>
      </x:c>
    </x:row>
    <x:row r="144">
      <x:c r="A144" s="64" t="str">
        <x:v>AUD-0143</x:v>
      </x:c>
      <x:c r="B144" s="64" t="n">
        <x:v>144</x:v>
      </x:c>
      <x:c r="C144" s="64" t="str">
        <x:v>PO-2025-0143</x:v>
      </x:c>
      <x:c r="D144" s="64" t="str">
        <x:v>PO-2025-0143</x:v>
      </x:c>
      <x:c r="E144" s="64" t="str">
        <x:v>B144</x:v>
      </x:c>
      <x:c r="F144" s="64" t="str">
        <x:v>PO_Date</x:v>
      </x:c>
      <x:c r="G144" s="64" t="str">
        <x:v>10/10/2025</x:v>
      </x:c>
      <x:c r="H144" s="64" t="str">
        <x:v>2025-10-10</x:v>
      </x:c>
      <x:c r="I144" s="64" t="str">
        <x:v>standardization</x:v>
      </x:c>
      <x:c r="J144" s="64" t="str">
        <x:v>Converted the source text date to a true spreadsheet date and standardized its display without changing the calendar date.</x:v>
      </x:c>
      <x:c r="K144" s="64" t="str">
        <x:v>PASS — parsed source date equals cleaned date</x:v>
      </x:c>
      <x:c r="L144" s="64" t="str">
        <x:v>High</x:v>
      </x:c>
      <x:c r="M144" s="64" t="str">
        <x:v>Instructor Approved</x:v>
      </x:c>
    </x:row>
    <x:row r="145">
      <x:c r="A145" s="64" t="str">
        <x:v>AUD-0144</x:v>
      </x:c>
      <x:c r="B145" s="64" t="n">
        <x:v>145</x:v>
      </x:c>
      <x:c r="C145" s="64" t="str">
        <x:v>PO-2025-0144</x:v>
      </x:c>
      <x:c r="D145" s="64" t="str">
        <x:v>PO-2025-0144</x:v>
      </x:c>
      <x:c r="E145" s="64" t="str">
        <x:v>B145</x:v>
      </x:c>
      <x:c r="F145" s="64" t="str">
        <x:v>PO_Date</x:v>
      </x:c>
      <x:c r="G145" s="64" t="str">
        <x:v>19/09/2025</x:v>
      </x:c>
      <x:c r="H145" s="64" t="str">
        <x:v>2025-09-19</x:v>
      </x:c>
      <x:c r="I145" s="64" t="str">
        <x:v>standardization</x:v>
      </x:c>
      <x:c r="J145" s="64" t="str">
        <x:v>Converted the source text date to a true spreadsheet date and standardized its display without changing the calendar date.</x:v>
      </x:c>
      <x:c r="K145" s="64" t="str">
        <x:v>PASS — parsed source date equals cleaned date</x:v>
      </x:c>
      <x:c r="L145" s="64" t="str">
        <x:v>High</x:v>
      </x:c>
      <x:c r="M145" s="64" t="str">
        <x:v>Instructor Approved</x:v>
      </x:c>
    </x:row>
    <x:row r="146">
      <x:c r="A146" s="64" t="str">
        <x:v>AUD-0145</x:v>
      </x:c>
      <x:c r="B146" s="64" t="n">
        <x:v>146</x:v>
      </x:c>
      <x:c r="C146" s="64" t="str">
        <x:v>PO-2025-0145</x:v>
      </x:c>
      <x:c r="D146" s="64" t="str">
        <x:v>PO-2025-0145</x:v>
      </x:c>
      <x:c r="E146" s="64" t="str">
        <x:v>B146</x:v>
      </x:c>
      <x:c r="F146" s="64" t="str">
        <x:v>PO_Date</x:v>
      </x:c>
      <x:c r="G146" s="64" t="str">
        <x:v>11/04/2025</x:v>
      </x:c>
      <x:c r="H146" s="64" t="str">
        <x:v>2025-04-11</x:v>
      </x:c>
      <x:c r="I146" s="64" t="str">
        <x:v>standardization</x:v>
      </x:c>
      <x:c r="J146" s="64" t="str">
        <x:v>Converted the source text date to a true spreadsheet date and standardized its display without changing the calendar date.</x:v>
      </x:c>
      <x:c r="K146" s="64" t="str">
        <x:v>PASS — parsed source date equals cleaned date</x:v>
      </x:c>
      <x:c r="L146" s="64" t="str">
        <x:v>High</x:v>
      </x:c>
      <x:c r="M146" s="64" t="str">
        <x:v>Instructor Approved</x:v>
      </x:c>
    </x:row>
    <x:row r="147">
      <x:c r="A147" s="64" t="str">
        <x:v>AUD-0146</x:v>
      </x:c>
      <x:c r="B147" s="64" t="n">
        <x:v>147</x:v>
      </x:c>
      <x:c r="C147" s="64" t="str">
        <x:v>PO-2025-0146</x:v>
      </x:c>
      <x:c r="D147" s="64" t="str">
        <x:v>PO-2025-0146</x:v>
      </x:c>
      <x:c r="E147" s="64" t="str">
        <x:v>B147</x:v>
      </x:c>
      <x:c r="F147" s="64" t="str">
        <x:v>PO_Date</x:v>
      </x:c>
      <x:c r="G147" s="64" t="str">
        <x:v>29/01/2025</x:v>
      </x:c>
      <x:c r="H147" s="64" t="str">
        <x:v>2025-01-29</x:v>
      </x:c>
      <x:c r="I147" s="64" t="str">
        <x:v>standardization</x:v>
      </x:c>
      <x:c r="J147" s="64" t="str">
        <x:v>Converted the source text date to a true spreadsheet date and standardized its display without changing the calendar date.</x:v>
      </x:c>
      <x:c r="K147" s="64" t="str">
        <x:v>PASS — parsed source date equals cleaned date</x:v>
      </x:c>
      <x:c r="L147" s="64" t="str">
        <x:v>High</x:v>
      </x:c>
      <x:c r="M147" s="64" t="str">
        <x:v>Instructor Approved</x:v>
      </x:c>
    </x:row>
    <x:row r="148">
      <x:c r="A148" s="64" t="str">
        <x:v>AUD-0147</x:v>
      </x:c>
      <x:c r="B148" s="64" t="n">
        <x:v>148</x:v>
      </x:c>
      <x:c r="C148" s="64" t="str">
        <x:v>PO-2025-0147</x:v>
      </x:c>
      <x:c r="D148" s="64" t="str">
        <x:v>PO-2025-0147</x:v>
      </x:c>
      <x:c r="E148" s="64" t="str">
        <x:v>B148</x:v>
      </x:c>
      <x:c r="F148" s="64" t="str">
        <x:v>PO_Date</x:v>
      </x:c>
      <x:c r="G148" s="64" t="str">
        <x:v>02/08/2025</x:v>
      </x:c>
      <x:c r="H148" s="64" t="str">
        <x:v>2025-08-02</x:v>
      </x:c>
      <x:c r="I148" s="64" t="str">
        <x:v>standardization</x:v>
      </x:c>
      <x:c r="J148" s="64" t="str">
        <x:v>Converted the source text date to a true spreadsheet date and standardized its display without changing the calendar date.</x:v>
      </x:c>
      <x:c r="K148" s="64" t="str">
        <x:v>PASS — parsed source date equals cleaned date</x:v>
      </x:c>
      <x:c r="L148" s="64" t="str">
        <x:v>High</x:v>
      </x:c>
      <x:c r="M148" s="64" t="str">
        <x:v>Instructor Approved</x:v>
      </x:c>
    </x:row>
    <x:row r="149">
      <x:c r="A149" s="64" t="str">
        <x:v>AUD-0148</x:v>
      </x:c>
      <x:c r="B149" s="64" t="n">
        <x:v>149</x:v>
      </x:c>
      <x:c r="C149" s="64" t="str">
        <x:v>PO-2025-0148</x:v>
      </x:c>
      <x:c r="D149" s="64" t="str">
        <x:v>PO-2025-0148</x:v>
      </x:c>
      <x:c r="E149" s="64" t="str">
        <x:v>B149</x:v>
      </x:c>
      <x:c r="F149" s="64" t="str">
        <x:v>PO_Date</x:v>
      </x:c>
      <x:c r="G149" s="64" t="str">
        <x:v>11/04/2025</x:v>
      </x:c>
      <x:c r="H149" s="64" t="str">
        <x:v>2025-04-11</x:v>
      </x:c>
      <x:c r="I149" s="64" t="str">
        <x:v>standardization</x:v>
      </x:c>
      <x:c r="J149" s="64" t="str">
        <x:v>Converted the source text date to a true spreadsheet date and standardized its display without changing the calendar date.</x:v>
      </x:c>
      <x:c r="K149" s="64" t="str">
        <x:v>PASS — parsed source date equals cleaned date</x:v>
      </x:c>
      <x:c r="L149" s="64" t="str">
        <x:v>High</x:v>
      </x:c>
      <x:c r="M149" s="64" t="str">
        <x:v>Instructor Approved</x:v>
      </x:c>
    </x:row>
    <x:row r="150">
      <x:c r="A150" s="64" t="str">
        <x:v>AUD-0149</x:v>
      </x:c>
      <x:c r="B150" s="64" t="n">
        <x:v>150</x:v>
      </x:c>
      <x:c r="C150" s="64" t="str">
        <x:v>PO-2025-0149</x:v>
      </x:c>
      <x:c r="D150" s="64" t="str">
        <x:v>PO-2025-0149</x:v>
      </x:c>
      <x:c r="E150" s="64" t="str">
        <x:v>B150</x:v>
      </x:c>
      <x:c r="F150" s="64" t="str">
        <x:v>PO_Date</x:v>
      </x:c>
      <x:c r="G150" s="64" t="str">
        <x:v>25/10/2025</x:v>
      </x:c>
      <x:c r="H150" s="64" t="str">
        <x:v>2025-10-25</x:v>
      </x:c>
      <x:c r="I150" s="64" t="str">
        <x:v>standardization</x:v>
      </x:c>
      <x:c r="J150" s="64" t="str">
        <x:v>Converted the source text date to a true spreadsheet date and standardized its display without changing the calendar date.</x:v>
      </x:c>
      <x:c r="K150" s="64" t="str">
        <x:v>PASS — parsed source date equals cleaned date</x:v>
      </x:c>
      <x:c r="L150" s="64" t="str">
        <x:v>High</x:v>
      </x:c>
      <x:c r="M150" s="64" t="str">
        <x:v>Instructor Approved</x:v>
      </x:c>
    </x:row>
    <x:row r="151">
      <x:c r="A151" s="64" t="str">
        <x:v>AUD-0150</x:v>
      </x:c>
      <x:c r="B151" s="64" t="n">
        <x:v>151</x:v>
      </x:c>
      <x:c r="C151" s="64" t="str">
        <x:v>PO-2025-0150</x:v>
      </x:c>
      <x:c r="D151" s="64" t="str">
        <x:v>PO-2025-0150</x:v>
      </x:c>
      <x:c r="E151" s="64" t="str">
        <x:v>B151</x:v>
      </x:c>
      <x:c r="F151" s="64" t="str">
        <x:v>PO_Date</x:v>
      </x:c>
      <x:c r="G151" s="64" t="str">
        <x:v>16/04/2025</x:v>
      </x:c>
      <x:c r="H151" s="64" t="str">
        <x:v>2025-04-16</x:v>
      </x:c>
      <x:c r="I151" s="64" t="str">
        <x:v>standardization</x:v>
      </x:c>
      <x:c r="J151" s="64" t="str">
        <x:v>Converted the source text date to a true spreadsheet date and standardized its display without changing the calendar date.</x:v>
      </x:c>
      <x:c r="K151" s="64" t="str">
        <x:v>PASS — parsed source date equals cleaned date</x:v>
      </x:c>
      <x:c r="L151" s="64" t="str">
        <x:v>High</x:v>
      </x:c>
      <x:c r="M151" s="64" t="str">
        <x:v>Instructor Approved</x:v>
      </x:c>
    </x:row>
    <x:row r="152">
      <x:c r="A152" s="64" t="str">
        <x:v>AUD-0151</x:v>
      </x:c>
      <x:c r="B152" s="64" t="n">
        <x:v>152</x:v>
      </x:c>
      <x:c r="C152" s="64" t="str">
        <x:v>PO-2025-0151</x:v>
      </x:c>
      <x:c r="D152" s="64" t="str">
        <x:v>PO-2025-0151</x:v>
      </x:c>
      <x:c r="E152" s="64" t="str">
        <x:v>B152</x:v>
      </x:c>
      <x:c r="F152" s="64" t="str">
        <x:v>PO_Date</x:v>
      </x:c>
      <x:c r="G152" s="64" t="str">
        <x:v>05/03/2025</x:v>
      </x:c>
      <x:c r="H152" s="64" t="str">
        <x:v>2025-03-05</x:v>
      </x:c>
      <x:c r="I152" s="64" t="str">
        <x:v>standardization</x:v>
      </x:c>
      <x:c r="J152" s="64" t="str">
        <x:v>Converted the source text date to a true spreadsheet date and standardized its display without changing the calendar date.</x:v>
      </x:c>
      <x:c r="K152" s="64" t="str">
        <x:v>PASS — parsed source date equals cleaned date</x:v>
      </x:c>
      <x:c r="L152" s="64" t="str">
        <x:v>High</x:v>
      </x:c>
      <x:c r="M152" s="64" t="str">
        <x:v>Instructor Approved</x:v>
      </x:c>
    </x:row>
    <x:row r="153">
      <x:c r="A153" s="64" t="str">
        <x:v>AUD-0152</x:v>
      </x:c>
      <x:c r="B153" s="64" t="n">
        <x:v>153</x:v>
      </x:c>
      <x:c r="C153" s="64" t="str">
        <x:v>PO-2025-0152</x:v>
      </x:c>
      <x:c r="D153" s="64" t="str">
        <x:v>PO-2025-0152</x:v>
      </x:c>
      <x:c r="E153" s="64" t="str">
        <x:v>B153</x:v>
      </x:c>
      <x:c r="F153" s="64" t="str">
        <x:v>PO_Date</x:v>
      </x:c>
      <x:c r="G153" s="64" t="str">
        <x:v>28/11/2025</x:v>
      </x:c>
      <x:c r="H153" s="64" t="str">
        <x:v>2025-11-28</x:v>
      </x:c>
      <x:c r="I153" s="64" t="str">
        <x:v>standardization</x:v>
      </x:c>
      <x:c r="J153" s="64" t="str">
        <x:v>Converted the source text date to a true spreadsheet date and standardized its display without changing the calendar date.</x:v>
      </x:c>
      <x:c r="K153" s="64" t="str">
        <x:v>PASS — parsed source date equals cleaned date</x:v>
      </x:c>
      <x:c r="L153" s="64" t="str">
        <x:v>High</x:v>
      </x:c>
      <x:c r="M153" s="64" t="str">
        <x:v>Instructor Approved</x:v>
      </x:c>
    </x:row>
    <x:row r="154">
      <x:c r="A154" s="64" t="str">
        <x:v>AUD-0153</x:v>
      </x:c>
      <x:c r="B154" s="64" t="n">
        <x:v>154</x:v>
      </x:c>
      <x:c r="C154" s="64" t="str">
        <x:v>PO-2025-0153</x:v>
      </x:c>
      <x:c r="D154" s="64" t="str">
        <x:v>PO-2025-0153</x:v>
      </x:c>
      <x:c r="E154" s="64" t="str">
        <x:v>B154</x:v>
      </x:c>
      <x:c r="F154" s="64" t="str">
        <x:v>PO_Date</x:v>
      </x:c>
      <x:c r="G154" s="64" t="str">
        <x:v>14/08/2025</x:v>
      </x:c>
      <x:c r="H154" s="64" t="str">
        <x:v>2025-08-14</x:v>
      </x:c>
      <x:c r="I154" s="64" t="str">
        <x:v>standardization</x:v>
      </x:c>
      <x:c r="J154" s="64" t="str">
        <x:v>Converted the source text date to a true spreadsheet date and standardized its display without changing the calendar date.</x:v>
      </x:c>
      <x:c r="K154" s="64" t="str">
        <x:v>PASS — parsed source date equals cleaned date</x:v>
      </x:c>
      <x:c r="L154" s="64" t="str">
        <x:v>High</x:v>
      </x:c>
      <x:c r="M154" s="64" t="str">
        <x:v>Instructor Approved</x:v>
      </x:c>
    </x:row>
    <x:row r="155">
      <x:c r="A155" s="64" t="str">
        <x:v>AUD-0154</x:v>
      </x:c>
      <x:c r="B155" s="64" t="n">
        <x:v>155</x:v>
      </x:c>
      <x:c r="C155" s="64" t="str">
        <x:v>PO-2025-0154</x:v>
      </x:c>
      <x:c r="D155" s="64" t="str">
        <x:v>PO-2025-0154</x:v>
      </x:c>
      <x:c r="E155" s="64" t="str">
        <x:v>B155</x:v>
      </x:c>
      <x:c r="F155" s="64" t="str">
        <x:v>PO_Date</x:v>
      </x:c>
      <x:c r="G155" s="64" t="str">
        <x:v>24/06/2025</x:v>
      </x:c>
      <x:c r="H155" s="64" t="str">
        <x:v>2025-06-24</x:v>
      </x:c>
      <x:c r="I155" s="64" t="str">
        <x:v>standardization</x:v>
      </x:c>
      <x:c r="J155" s="64" t="str">
        <x:v>Converted the source text date to a true spreadsheet date and standardized its display without changing the calendar date.</x:v>
      </x:c>
      <x:c r="K155" s="64" t="str">
        <x:v>PASS — parsed source date equals cleaned date</x:v>
      </x:c>
      <x:c r="L155" s="64" t="str">
        <x:v>High</x:v>
      </x:c>
      <x:c r="M155" s="64" t="str">
        <x:v>Instructor Approved</x:v>
      </x:c>
    </x:row>
    <x:row r="156">
      <x:c r="A156" s="64" t="str">
        <x:v>AUD-0155</x:v>
      </x:c>
      <x:c r="B156" s="64" t="n">
        <x:v>156</x:v>
      </x:c>
      <x:c r="C156" s="64" t="str">
        <x:v>PO-2025-0155</x:v>
      </x:c>
      <x:c r="D156" s="64" t="str">
        <x:v>PO-2025-0155</x:v>
      </x:c>
      <x:c r="E156" s="64" t="str">
        <x:v>B156</x:v>
      </x:c>
      <x:c r="F156" s="64" t="str">
        <x:v>PO_Date</x:v>
      </x:c>
      <x:c r="G156" s="64" t="str">
        <x:v>12/01/2025</x:v>
      </x:c>
      <x:c r="H156" s="64" t="str">
        <x:v>2025-01-12</x:v>
      </x:c>
      <x:c r="I156" s="64" t="str">
        <x:v>standardization</x:v>
      </x:c>
      <x:c r="J156" s="64" t="str">
        <x:v>Converted the source text date to a true spreadsheet date and standardized its display without changing the calendar date.</x:v>
      </x:c>
      <x:c r="K156" s="64" t="str">
        <x:v>PASS — parsed source date equals cleaned date</x:v>
      </x:c>
      <x:c r="L156" s="64" t="str">
        <x:v>High</x:v>
      </x:c>
      <x:c r="M156" s="64" t="str">
        <x:v>Instructor Approved</x:v>
      </x:c>
    </x:row>
    <x:row r="157">
      <x:c r="A157" s="64" t="str">
        <x:v>AUD-0156</x:v>
      </x:c>
      <x:c r="B157" s="64" t="n">
        <x:v>157</x:v>
      </x:c>
      <x:c r="C157" s="64" t="str">
        <x:v>PO-2025-0156</x:v>
      </x:c>
      <x:c r="D157" s="64" t="str">
        <x:v>PO-2025-0156</x:v>
      </x:c>
      <x:c r="E157" s="64" t="str">
        <x:v>B157</x:v>
      </x:c>
      <x:c r="F157" s="64" t="str">
        <x:v>PO_Date</x:v>
      </x:c>
      <x:c r="G157" s="64" t="str">
        <x:v>22/07/2025</x:v>
      </x:c>
      <x:c r="H157" s="64" t="str">
        <x:v>2025-07-22</x:v>
      </x:c>
      <x:c r="I157" s="64" t="str">
        <x:v>standardization</x:v>
      </x:c>
      <x:c r="J157" s="64" t="str">
        <x:v>Converted the source text date to a true spreadsheet date and standardized its display without changing the calendar date.</x:v>
      </x:c>
      <x:c r="K157" s="64" t="str">
        <x:v>PASS — parsed source date equals cleaned date</x:v>
      </x:c>
      <x:c r="L157" s="64" t="str">
        <x:v>High</x:v>
      </x:c>
      <x:c r="M157" s="64" t="str">
        <x:v>Instructor Approved</x:v>
      </x:c>
    </x:row>
    <x:row r="158">
      <x:c r="A158" s="64" t="str">
        <x:v>AUD-0157</x:v>
      </x:c>
      <x:c r="B158" s="64" t="n">
        <x:v>158</x:v>
      </x:c>
      <x:c r="C158" s="64" t="str">
        <x:v>PO-2025-0157</x:v>
      </x:c>
      <x:c r="D158" s="64" t="str">
        <x:v>PO-2025-0157</x:v>
      </x:c>
      <x:c r="E158" s="64" t="str">
        <x:v>B158</x:v>
      </x:c>
      <x:c r="F158" s="64" t="str">
        <x:v>PO_Date</x:v>
      </x:c>
      <x:c r="G158" s="64" t="str">
        <x:v>18/04/2025</x:v>
      </x:c>
      <x:c r="H158" s="64" t="str">
        <x:v>2025-04-18</x:v>
      </x:c>
      <x:c r="I158" s="64" t="str">
        <x:v>standardization</x:v>
      </x:c>
      <x:c r="J158" s="64" t="str">
        <x:v>Converted the source text date to a true spreadsheet date and standardized its display without changing the calendar date.</x:v>
      </x:c>
      <x:c r="K158" s="64" t="str">
        <x:v>PASS — parsed source date equals cleaned date</x:v>
      </x:c>
      <x:c r="L158" s="64" t="str">
        <x:v>High</x:v>
      </x:c>
      <x:c r="M158" s="64" t="str">
        <x:v>Instructor Approved</x:v>
      </x:c>
    </x:row>
    <x:row r="159">
      <x:c r="A159" s="64" t="str">
        <x:v>AUD-0158</x:v>
      </x:c>
      <x:c r="B159" s="64" t="n">
        <x:v>159</x:v>
      </x:c>
      <x:c r="C159" s="64" t="str">
        <x:v>PO-2025-0158</x:v>
      </x:c>
      <x:c r="D159" s="64" t="str">
        <x:v>PO-2025-0158</x:v>
      </x:c>
      <x:c r="E159" s="64" t="str">
        <x:v>B159</x:v>
      </x:c>
      <x:c r="F159" s="64" t="str">
        <x:v>PO_Date</x:v>
      </x:c>
      <x:c r="G159" s="64" t="str">
        <x:v>31/08/2025</x:v>
      </x:c>
      <x:c r="H159" s="64" t="str">
        <x:v>2025-08-31</x:v>
      </x:c>
      <x:c r="I159" s="64" t="str">
        <x:v>standardization</x:v>
      </x:c>
      <x:c r="J159" s="64" t="str">
        <x:v>Converted the source text date to a true spreadsheet date and standardized its display without changing the calendar date.</x:v>
      </x:c>
      <x:c r="K159" s="64" t="str">
        <x:v>PASS — parsed source date equals cleaned date</x:v>
      </x:c>
      <x:c r="L159" s="64" t="str">
        <x:v>High</x:v>
      </x:c>
      <x:c r="M159" s="64" t="str">
        <x:v>Instructor Approved</x:v>
      </x:c>
    </x:row>
    <x:row r="160">
      <x:c r="A160" s="64" t="str">
        <x:v>AUD-0159</x:v>
      </x:c>
      <x:c r="B160" s="64" t="n">
        <x:v>160</x:v>
      </x:c>
      <x:c r="C160" s="64" t="str">
        <x:v>PO-2025-0159</x:v>
      </x:c>
      <x:c r="D160" s="64" t="str">
        <x:v>PO-2025-0159</x:v>
      </x:c>
      <x:c r="E160" s="64" t="str">
        <x:v>B160</x:v>
      </x:c>
      <x:c r="F160" s="64" t="str">
        <x:v>PO_Date</x:v>
      </x:c>
      <x:c r="G160" s="64" t="str">
        <x:v>15/10/2025</x:v>
      </x:c>
      <x:c r="H160" s="64" t="str">
        <x:v>2025-10-15</x:v>
      </x:c>
      <x:c r="I160" s="64" t="str">
        <x:v>standardization</x:v>
      </x:c>
      <x:c r="J160" s="64" t="str">
        <x:v>Converted the source text date to a true spreadsheet date and standardized its display without changing the calendar date.</x:v>
      </x:c>
      <x:c r="K160" s="64" t="str">
        <x:v>PASS — parsed source date equals cleaned date</x:v>
      </x:c>
      <x:c r="L160" s="64" t="str">
        <x:v>High</x:v>
      </x:c>
      <x:c r="M160" s="64" t="str">
        <x:v>Instructor Approved</x:v>
      </x:c>
    </x:row>
    <x:row r="161">
      <x:c r="A161" s="64" t="str">
        <x:v>AUD-0160</x:v>
      </x:c>
      <x:c r="B161" s="64" t="n">
        <x:v>161</x:v>
      </x:c>
      <x:c r="C161" s="64" t="str">
        <x:v>PO-2025-0160</x:v>
      </x:c>
      <x:c r="D161" s="64" t="str">
        <x:v>PO-2025-0160</x:v>
      </x:c>
      <x:c r="E161" s="64" t="str">
        <x:v>B161</x:v>
      </x:c>
      <x:c r="F161" s="64" t="str">
        <x:v>PO_Date</x:v>
      </x:c>
      <x:c r="G161" s="64" t="str">
        <x:v>06/05/2025</x:v>
      </x:c>
      <x:c r="H161" s="64" t="str">
        <x:v>2025-05-06</x:v>
      </x:c>
      <x:c r="I161" s="64" t="str">
        <x:v>standardization</x:v>
      </x:c>
      <x:c r="J161" s="64" t="str">
        <x:v>Converted the source text date to a true spreadsheet date and standardized its display without changing the calendar date.</x:v>
      </x:c>
      <x:c r="K161" s="64" t="str">
        <x:v>PASS — parsed source date equals cleaned date</x:v>
      </x:c>
      <x:c r="L161" s="64" t="str">
        <x:v>High</x:v>
      </x:c>
      <x:c r="M161" s="64" t="str">
        <x:v>Instructor Approved</x:v>
      </x:c>
    </x:row>
    <x:row r="162">
      <x:c r="A162" s="64" t="str">
        <x:v>AUD-0161</x:v>
      </x:c>
      <x:c r="B162" s="64" t="n">
        <x:v>162</x:v>
      </x:c>
      <x:c r="C162" s="64" t="str">
        <x:v>PO-2025-0161</x:v>
      </x:c>
      <x:c r="D162" s="64" t="str">
        <x:v>PO-2025-0161</x:v>
      </x:c>
      <x:c r="E162" s="64" t="str">
        <x:v>B162</x:v>
      </x:c>
      <x:c r="F162" s="64" t="str">
        <x:v>PO_Date</x:v>
      </x:c>
      <x:c r="G162" s="64" t="str">
        <x:v>21/03/2025</x:v>
      </x:c>
      <x:c r="H162" s="64" t="str">
        <x:v>2025-03-21</x:v>
      </x:c>
      <x:c r="I162" s="64" t="str">
        <x:v>standardization</x:v>
      </x:c>
      <x:c r="J162" s="64" t="str">
        <x:v>Converted the source text date to a true spreadsheet date and standardized its display without changing the calendar date.</x:v>
      </x:c>
      <x:c r="K162" s="64" t="str">
        <x:v>PASS — parsed source date equals cleaned date</x:v>
      </x:c>
      <x:c r="L162" s="64" t="str">
        <x:v>High</x:v>
      </x:c>
      <x:c r="M162" s="64" t="str">
        <x:v>Instructor Approved</x:v>
      </x:c>
    </x:row>
    <x:row r="163">
      <x:c r="A163" s="64" t="str">
        <x:v>AUD-0162</x:v>
      </x:c>
      <x:c r="B163" s="64" t="n">
        <x:v>163</x:v>
      </x:c>
      <x:c r="C163" s="64" t="str">
        <x:v>PO-2025-0162</x:v>
      </x:c>
      <x:c r="D163" s="64" t="str">
        <x:v>PO-2025-0162</x:v>
      </x:c>
      <x:c r="E163" s="64" t="str">
        <x:v>B163</x:v>
      </x:c>
      <x:c r="F163" s="64" t="str">
        <x:v>PO_Date</x:v>
      </x:c>
      <x:c r="G163" s="64" t="str">
        <x:v>13/11/2025</x:v>
      </x:c>
      <x:c r="H163" s="64" t="str">
        <x:v>2025-11-13</x:v>
      </x:c>
      <x:c r="I163" s="64" t="str">
        <x:v>standardization</x:v>
      </x:c>
      <x:c r="J163" s="64" t="str">
        <x:v>Converted the source text date to a true spreadsheet date and standardized its display without changing the calendar date.</x:v>
      </x:c>
      <x:c r="K163" s="64" t="str">
        <x:v>PASS — parsed source date equals cleaned date</x:v>
      </x:c>
      <x:c r="L163" s="64" t="str">
        <x:v>High</x:v>
      </x:c>
      <x:c r="M163" s="64" t="str">
        <x:v>Instructor Approved</x:v>
      </x:c>
    </x:row>
    <x:row r="164">
      <x:c r="A164" s="64" t="str">
        <x:v>AUD-0163</x:v>
      </x:c>
      <x:c r="B164" s="64" t="n">
        <x:v>164</x:v>
      </x:c>
      <x:c r="C164" s="64" t="str">
        <x:v>PO-2025-0163</x:v>
      </x:c>
      <x:c r="D164" s="64" t="str">
        <x:v>PO-2025-0163</x:v>
      </x:c>
      <x:c r="E164" s="64" t="str">
        <x:v>B164</x:v>
      </x:c>
      <x:c r="F164" s="64" t="str">
        <x:v>PO_Date</x:v>
      </x:c>
      <x:c r="G164" s="64" t="str">
        <x:v>18/06/2025</x:v>
      </x:c>
      <x:c r="H164" s="64" t="str">
        <x:v>2025-06-18</x:v>
      </x:c>
      <x:c r="I164" s="64" t="str">
        <x:v>standardization</x:v>
      </x:c>
      <x:c r="J164" s="64" t="str">
        <x:v>Converted the source text date to a true spreadsheet date and standardized its display without changing the calendar date.</x:v>
      </x:c>
      <x:c r="K164" s="64" t="str">
        <x:v>PASS — parsed source date equals cleaned date</x:v>
      </x:c>
      <x:c r="L164" s="64" t="str">
        <x:v>High</x:v>
      </x:c>
      <x:c r="M164" s="64" t="str">
        <x:v>Instructor Approved</x:v>
      </x:c>
    </x:row>
    <x:row r="165">
      <x:c r="A165" s="64" t="str">
        <x:v>AUD-0164</x:v>
      </x:c>
      <x:c r="B165" s="64" t="n">
        <x:v>165</x:v>
      </x:c>
      <x:c r="C165" s="64" t="str">
        <x:v>PO-2025-0164</x:v>
      </x:c>
      <x:c r="D165" s="64" t="str">
        <x:v>PO-2025-0164</x:v>
      </x:c>
      <x:c r="E165" s="64" t="str">
        <x:v>B165</x:v>
      </x:c>
      <x:c r="F165" s="64" t="str">
        <x:v>PO_Date</x:v>
      </x:c>
      <x:c r="G165" s="64" t="str">
        <x:v>08/08/2025</x:v>
      </x:c>
      <x:c r="H165" s="64" t="str">
        <x:v>2025-08-08</x:v>
      </x:c>
      <x:c r="I165" s="64" t="str">
        <x:v>standardization</x:v>
      </x:c>
      <x:c r="J165" s="64" t="str">
        <x:v>Converted the source text date to a true spreadsheet date and standardized its display without changing the calendar date.</x:v>
      </x:c>
      <x:c r="K165" s="64" t="str">
        <x:v>PASS — parsed source date equals cleaned date</x:v>
      </x:c>
      <x:c r="L165" s="64" t="str">
        <x:v>High</x:v>
      </x:c>
      <x:c r="M165" s="64" t="str">
        <x:v>Instructor Approved</x:v>
      </x:c>
    </x:row>
    <x:row r="166">
      <x:c r="A166" s="64" t="str">
        <x:v>AUD-0165</x:v>
      </x:c>
      <x:c r="B166" s="64" t="n">
        <x:v>166</x:v>
      </x:c>
      <x:c r="C166" s="64" t="str">
        <x:v>PO-2025-0165</x:v>
      </x:c>
      <x:c r="D166" s="64" t="str">
        <x:v>PO-2025-0165</x:v>
      </x:c>
      <x:c r="E166" s="64" t="str">
        <x:v>B166</x:v>
      </x:c>
      <x:c r="F166" s="64" t="str">
        <x:v>PO_Date</x:v>
      </x:c>
      <x:c r="G166" s="64" t="str">
        <x:v>15/06/2025</x:v>
      </x:c>
      <x:c r="H166" s="64" t="str">
        <x:v>2025-06-15</x:v>
      </x:c>
      <x:c r="I166" s="64" t="str">
        <x:v>standardization</x:v>
      </x:c>
      <x:c r="J166" s="64" t="str">
        <x:v>Converted the source text date to a true spreadsheet date and standardized its display without changing the calendar date.</x:v>
      </x:c>
      <x:c r="K166" s="64" t="str">
        <x:v>PASS — parsed source date equals cleaned date</x:v>
      </x:c>
      <x:c r="L166" s="64" t="str">
        <x:v>High</x:v>
      </x:c>
      <x:c r="M166" s="64" t="str">
        <x:v>Instructor Approved</x:v>
      </x:c>
    </x:row>
    <x:row r="167">
      <x:c r="A167" s="64" t="str">
        <x:v>AUD-0166</x:v>
      </x:c>
      <x:c r="B167" s="64" t="n">
        <x:v>167</x:v>
      </x:c>
      <x:c r="C167" s="64" t="str">
        <x:v>PO-2025-0166</x:v>
      </x:c>
      <x:c r="D167" s="64" t="str">
        <x:v>PO-2025-0166</x:v>
      </x:c>
      <x:c r="E167" s="64" t="str">
        <x:v>B167</x:v>
      </x:c>
      <x:c r="F167" s="64" t="str">
        <x:v>PO_Date</x:v>
      </x:c>
      <x:c r="G167" s="64" t="str">
        <x:v>11/07/2025</x:v>
      </x:c>
      <x:c r="H167" s="64" t="str">
        <x:v>2025-07-11</x:v>
      </x:c>
      <x:c r="I167" s="64" t="str">
        <x:v>standardization</x:v>
      </x:c>
      <x:c r="J167" s="64" t="str">
        <x:v>Converted the source text date to a true spreadsheet date and standardized its display without changing the calendar date.</x:v>
      </x:c>
      <x:c r="K167" s="64" t="str">
        <x:v>PASS — parsed source date equals cleaned date</x:v>
      </x:c>
      <x:c r="L167" s="64" t="str">
        <x:v>High</x:v>
      </x:c>
      <x:c r="M167" s="64" t="str">
        <x:v>Instructor Approved</x:v>
      </x:c>
    </x:row>
    <x:row r="168">
      <x:c r="A168" s="64" t="str">
        <x:v>AUD-0167</x:v>
      </x:c>
      <x:c r="B168" s="64" t="n">
        <x:v>168</x:v>
      </x:c>
      <x:c r="C168" s="64" t="str">
        <x:v>PO-2025-0167</x:v>
      </x:c>
      <x:c r="D168" s="64" t="str">
        <x:v>PO-2025-0167</x:v>
      </x:c>
      <x:c r="E168" s="64" t="str">
        <x:v>B168</x:v>
      </x:c>
      <x:c r="F168" s="64" t="str">
        <x:v>PO_Date</x:v>
      </x:c>
      <x:c r="G168" s="64" t="str">
        <x:v>29/01/2025</x:v>
      </x:c>
      <x:c r="H168" s="64" t="str">
        <x:v>2025-01-29</x:v>
      </x:c>
      <x:c r="I168" s="64" t="str">
        <x:v>standardization</x:v>
      </x:c>
      <x:c r="J168" s="64" t="str">
        <x:v>Converted the source text date to a true spreadsheet date and standardized its display without changing the calendar date.</x:v>
      </x:c>
      <x:c r="K168" s="64" t="str">
        <x:v>PASS — parsed source date equals cleaned date</x:v>
      </x:c>
      <x:c r="L168" s="64" t="str">
        <x:v>High</x:v>
      </x:c>
      <x:c r="M168" s="64" t="str">
        <x:v>Instructor Approved</x:v>
      </x:c>
    </x:row>
    <x:row r="169">
      <x:c r="A169" s="64" t="str">
        <x:v>AUD-0168</x:v>
      </x:c>
      <x:c r="B169" s="64" t="n">
        <x:v>169</x:v>
      </x:c>
      <x:c r="C169" s="64" t="str">
        <x:v>PO-2025-0168</x:v>
      </x:c>
      <x:c r="D169" s="64" t="str">
        <x:v>PO-2025-0168</x:v>
      </x:c>
      <x:c r="E169" s="64" t="str">
        <x:v>B169</x:v>
      </x:c>
      <x:c r="F169" s="64" t="str">
        <x:v>PO_Date</x:v>
      </x:c>
      <x:c r="G169" s="64" t="str">
        <x:v>25/07/2025</x:v>
      </x:c>
      <x:c r="H169" s="64" t="str">
        <x:v>2025-07-25</x:v>
      </x:c>
      <x:c r="I169" s="64" t="str">
        <x:v>standardization</x:v>
      </x:c>
      <x:c r="J169" s="64" t="str">
        <x:v>Converted the source text date to a true spreadsheet date and standardized its display without changing the calendar date.</x:v>
      </x:c>
      <x:c r="K169" s="64" t="str">
        <x:v>PASS — parsed source date equals cleaned date</x:v>
      </x:c>
      <x:c r="L169" s="64" t="str">
        <x:v>High</x:v>
      </x:c>
      <x:c r="M169" s="64" t="str">
        <x:v>Instructor Approved</x:v>
      </x:c>
    </x:row>
    <x:row r="170">
      <x:c r="A170" s="64" t="str">
        <x:v>AUD-0169</x:v>
      </x:c>
      <x:c r="B170" s="64" t="n">
        <x:v>170</x:v>
      </x:c>
      <x:c r="C170" s="64" t="str">
        <x:v>PO-2025-0169</x:v>
      </x:c>
      <x:c r="D170" s="64" t="str">
        <x:v>PO-2025-0169</x:v>
      </x:c>
      <x:c r="E170" s="64" t="str">
        <x:v>B170</x:v>
      </x:c>
      <x:c r="F170" s="64" t="str">
        <x:v>PO_Date</x:v>
      </x:c>
      <x:c r="G170" s="64" t="str">
        <x:v>25/11/2025</x:v>
      </x:c>
      <x:c r="H170" s="64" t="str">
        <x:v>2025-11-25</x:v>
      </x:c>
      <x:c r="I170" s="64" t="str">
        <x:v>standardization</x:v>
      </x:c>
      <x:c r="J170" s="64" t="str">
        <x:v>Converted the source text date to a true spreadsheet date and standardized its display without changing the calendar date.</x:v>
      </x:c>
      <x:c r="K170" s="64" t="str">
        <x:v>PASS — parsed source date equals cleaned date</x:v>
      </x:c>
      <x:c r="L170" s="64" t="str">
        <x:v>High</x:v>
      </x:c>
      <x:c r="M170" s="64" t="str">
        <x:v>Instructor Approved</x:v>
      </x:c>
    </x:row>
    <x:row r="171">
      <x:c r="A171" s="64" t="str">
        <x:v>AUD-0170</x:v>
      </x:c>
      <x:c r="B171" s="64" t="n">
        <x:v>171</x:v>
      </x:c>
      <x:c r="C171" s="64" t="str">
        <x:v>PO-2025-0170</x:v>
      </x:c>
      <x:c r="D171" s="64" t="str">
        <x:v>PO-2025-0170</x:v>
      </x:c>
      <x:c r="E171" s="64" t="str">
        <x:v>B171</x:v>
      </x:c>
      <x:c r="F171" s="64" t="str">
        <x:v>PO_Date</x:v>
      </x:c>
      <x:c r="G171" s="64" t="str">
        <x:v>19/04/2025</x:v>
      </x:c>
      <x:c r="H171" s="64" t="str">
        <x:v>2025-04-19</x:v>
      </x:c>
      <x:c r="I171" s="64" t="str">
        <x:v>standardization</x:v>
      </x:c>
      <x:c r="J171" s="64" t="str">
        <x:v>Converted the source text date to a true spreadsheet date and standardized its display without changing the calendar date.</x:v>
      </x:c>
      <x:c r="K171" s="64" t="str">
        <x:v>PASS — parsed source date equals cleaned date</x:v>
      </x:c>
      <x:c r="L171" s="64" t="str">
        <x:v>High</x:v>
      </x:c>
      <x:c r="M171" s="64" t="str">
        <x:v>Instructor Approved</x:v>
      </x:c>
    </x:row>
    <x:row r="172">
      <x:c r="A172" s="64" t="str">
        <x:v>AUD-0171</x:v>
      </x:c>
      <x:c r="B172" s="64" t="n">
        <x:v>172</x:v>
      </x:c>
      <x:c r="C172" s="64" t="str">
        <x:v>PO-2025-0171</x:v>
      </x:c>
      <x:c r="D172" s="64" t="str">
        <x:v>PO-2025-0171</x:v>
      </x:c>
      <x:c r="E172" s="64" t="str">
        <x:v>B172</x:v>
      </x:c>
      <x:c r="F172" s="64" t="str">
        <x:v>PO_Date</x:v>
      </x:c>
      <x:c r="G172" s="64" t="str">
        <x:v>12/08/2025</x:v>
      </x:c>
      <x:c r="H172" s="64" t="str">
        <x:v>2025-08-12</x:v>
      </x:c>
      <x:c r="I172" s="64" t="str">
        <x:v>standardization</x:v>
      </x:c>
      <x:c r="J172" s="64" t="str">
        <x:v>Converted the source text date to a true spreadsheet date and standardized its display without changing the calendar date.</x:v>
      </x:c>
      <x:c r="K172" s="64" t="str">
        <x:v>PASS — parsed source date equals cleaned date</x:v>
      </x:c>
      <x:c r="L172" s="64" t="str">
        <x:v>High</x:v>
      </x:c>
      <x:c r="M172" s="64" t="str">
        <x:v>Instructor Approved</x:v>
      </x:c>
    </x:row>
    <x:row r="173">
      <x:c r="A173" s="64" t="str">
        <x:v>AUD-0172</x:v>
      </x:c>
      <x:c r="B173" s="64" t="n">
        <x:v>173</x:v>
      </x:c>
      <x:c r="C173" s="64" t="str">
        <x:v>PO-2025-0172</x:v>
      </x:c>
      <x:c r="D173" s="64" t="str">
        <x:v>PO-2025-0172</x:v>
      </x:c>
      <x:c r="E173" s="64" t="str">
        <x:v>B173</x:v>
      </x:c>
      <x:c r="F173" s="64" t="str">
        <x:v>PO_Date</x:v>
      </x:c>
      <x:c r="G173" s="64" t="str">
        <x:v>14/10/2025</x:v>
      </x:c>
      <x:c r="H173" s="64" t="str">
        <x:v>2025-10-14</x:v>
      </x:c>
      <x:c r="I173" s="64" t="str">
        <x:v>standardization</x:v>
      </x:c>
      <x:c r="J173" s="64" t="str">
        <x:v>Converted the source text date to a true spreadsheet date and standardized its display without changing the calendar date.</x:v>
      </x:c>
      <x:c r="K173" s="64" t="str">
        <x:v>PASS — parsed source date equals cleaned date</x:v>
      </x:c>
      <x:c r="L173" s="64" t="str">
        <x:v>High</x:v>
      </x:c>
      <x:c r="M173" s="64" t="str">
        <x:v>Instructor Approved</x:v>
      </x:c>
    </x:row>
    <x:row r="174">
      <x:c r="A174" s="64" t="str">
        <x:v>AUD-0173</x:v>
      </x:c>
      <x:c r="B174" s="64" t="n">
        <x:v>174</x:v>
      </x:c>
      <x:c r="C174" s="64" t="str">
        <x:v>PO-2025-0173</x:v>
      </x:c>
      <x:c r="D174" s="64" t="str">
        <x:v>PO-2025-0173</x:v>
      </x:c>
      <x:c r="E174" s="64" t="str">
        <x:v>B174</x:v>
      </x:c>
      <x:c r="F174" s="64" t="str">
        <x:v>PO_Date</x:v>
      </x:c>
      <x:c r="G174" s="64" t="str">
        <x:v>13/04/2025</x:v>
      </x:c>
      <x:c r="H174" s="64" t="str">
        <x:v>2025-04-13</x:v>
      </x:c>
      <x:c r="I174" s="64" t="str">
        <x:v>standardization</x:v>
      </x:c>
      <x:c r="J174" s="64" t="str">
        <x:v>Converted the source text date to a true spreadsheet date and standardized its display without changing the calendar date.</x:v>
      </x:c>
      <x:c r="K174" s="64" t="str">
        <x:v>PASS — parsed source date equals cleaned date</x:v>
      </x:c>
      <x:c r="L174" s="64" t="str">
        <x:v>High</x:v>
      </x:c>
      <x:c r="M174" s="64" t="str">
        <x:v>Instructor Approved</x:v>
      </x:c>
    </x:row>
    <x:row r="175">
      <x:c r="A175" s="64" t="str">
        <x:v>AUD-0174</x:v>
      </x:c>
      <x:c r="B175" s="64" t="n">
        <x:v>175</x:v>
      </x:c>
      <x:c r="C175" s="64" t="str">
        <x:v>PO-2025-0174</x:v>
      </x:c>
      <x:c r="D175" s="64" t="str">
        <x:v>PO-2025-0174</x:v>
      </x:c>
      <x:c r="E175" s="64" t="str">
        <x:v>B175</x:v>
      </x:c>
      <x:c r="F175" s="64" t="str">
        <x:v>PO_Date</x:v>
      </x:c>
      <x:c r="G175" s="64" t="str">
        <x:v>25/03/2025</x:v>
      </x:c>
      <x:c r="H175" s="64" t="str">
        <x:v>2025-03-25</x:v>
      </x:c>
      <x:c r="I175" s="64" t="str">
        <x:v>standardization</x:v>
      </x:c>
      <x:c r="J175" s="64" t="str">
        <x:v>Converted the source text date to a true spreadsheet date and standardized its display without changing the calendar date.</x:v>
      </x:c>
      <x:c r="K175" s="64" t="str">
        <x:v>PASS — parsed source date equals cleaned date</x:v>
      </x:c>
      <x:c r="L175" s="64" t="str">
        <x:v>High</x:v>
      </x:c>
      <x:c r="M175" s="64" t="str">
        <x:v>Instructor Approved</x:v>
      </x:c>
    </x:row>
    <x:row r="176">
      <x:c r="A176" s="64" t="str">
        <x:v>AUD-0175</x:v>
      </x:c>
      <x:c r="B176" s="64" t="n">
        <x:v>176</x:v>
      </x:c>
      <x:c r="C176" s="64" t="str">
        <x:v>PO-2025-0175</x:v>
      </x:c>
      <x:c r="D176" s="64" t="str">
        <x:v>PO-2025-0175</x:v>
      </x:c>
      <x:c r="E176" s="64" t="str">
        <x:v>B176</x:v>
      </x:c>
      <x:c r="F176" s="64" t="str">
        <x:v>PO_Date</x:v>
      </x:c>
      <x:c r="G176" s="64" t="str">
        <x:v>22/07/2025</x:v>
      </x:c>
      <x:c r="H176" s="64" t="str">
        <x:v>2025-07-22</x:v>
      </x:c>
      <x:c r="I176" s="64" t="str">
        <x:v>standardization</x:v>
      </x:c>
      <x:c r="J176" s="64" t="str">
        <x:v>Converted the source text date to a true spreadsheet date and standardized its display without changing the calendar date.</x:v>
      </x:c>
      <x:c r="K176" s="64" t="str">
        <x:v>PASS — parsed source date equals cleaned date</x:v>
      </x:c>
      <x:c r="L176" s="64" t="str">
        <x:v>High</x:v>
      </x:c>
      <x:c r="M176" s="64" t="str">
        <x:v>Instructor Approved</x:v>
      </x:c>
    </x:row>
    <x:row r="177">
      <x:c r="A177" s="64" t="str">
        <x:v>AUD-0176</x:v>
      </x:c>
      <x:c r="B177" s="64" t="n">
        <x:v>177</x:v>
      </x:c>
      <x:c r="C177" s="64" t="str">
        <x:v>PO-2025-0176</x:v>
      </x:c>
      <x:c r="D177" s="64" t="str">
        <x:v>PO-2025-0176</x:v>
      </x:c>
      <x:c r="E177" s="64" t="str">
        <x:v>B177</x:v>
      </x:c>
      <x:c r="F177" s="64" t="str">
        <x:v>PO_Date</x:v>
      </x:c>
      <x:c r="G177" s="64" t="str">
        <x:v>13/07/2025</x:v>
      </x:c>
      <x:c r="H177" s="64" t="str">
        <x:v>2025-07-13</x:v>
      </x:c>
      <x:c r="I177" s="64" t="str">
        <x:v>standardization</x:v>
      </x:c>
      <x:c r="J177" s="64" t="str">
        <x:v>Converted the source text date to a true spreadsheet date and standardized its display without changing the calendar date.</x:v>
      </x:c>
      <x:c r="K177" s="64" t="str">
        <x:v>PASS — parsed source date equals cleaned date</x:v>
      </x:c>
      <x:c r="L177" s="64" t="str">
        <x:v>High</x:v>
      </x:c>
      <x:c r="M177" s="64" t="str">
        <x:v>Instructor Approved</x:v>
      </x:c>
    </x:row>
    <x:row r="178">
      <x:c r="A178" s="64" t="str">
        <x:v>AUD-0177</x:v>
      </x:c>
      <x:c r="B178" s="64" t="n">
        <x:v>178</x:v>
      </x:c>
      <x:c r="C178" s="64" t="str">
        <x:v>PO-2025-0177</x:v>
      </x:c>
      <x:c r="D178" s="64" t="str">
        <x:v>PO-2025-0177</x:v>
      </x:c>
      <x:c r="E178" s="64" t="str">
        <x:v>B178</x:v>
      </x:c>
      <x:c r="F178" s="64" t="str">
        <x:v>PO_Date</x:v>
      </x:c>
      <x:c r="G178" s="64" t="str">
        <x:v>22/02/2025</x:v>
      </x:c>
      <x:c r="H178" s="64" t="str">
        <x:v>2025-02-22</x:v>
      </x:c>
      <x:c r="I178" s="64" t="str">
        <x:v>standardization</x:v>
      </x:c>
      <x:c r="J178" s="64" t="str">
        <x:v>Converted the source text date to a true spreadsheet date and standardized its display without changing the calendar date.</x:v>
      </x:c>
      <x:c r="K178" s="64" t="str">
        <x:v>PASS — parsed source date equals cleaned date</x:v>
      </x:c>
      <x:c r="L178" s="64" t="str">
        <x:v>High</x:v>
      </x:c>
      <x:c r="M178" s="64" t="str">
        <x:v>Instructor Approved</x:v>
      </x:c>
    </x:row>
    <x:row r="179">
      <x:c r="A179" s="64" t="str">
        <x:v>AUD-0178</x:v>
      </x:c>
      <x:c r="B179" s="64" t="n">
        <x:v>179</x:v>
      </x:c>
      <x:c r="C179" s="64" t="str">
        <x:v>PO-2025-0178</x:v>
      </x:c>
      <x:c r="D179" s="64" t="str">
        <x:v>PO-2025-0178</x:v>
      </x:c>
      <x:c r="E179" s="64" t="str">
        <x:v>B179</x:v>
      </x:c>
      <x:c r="F179" s="64" t="str">
        <x:v>PO_Date</x:v>
      </x:c>
      <x:c r="G179" s="64" t="str">
        <x:v>07/05/2025</x:v>
      </x:c>
      <x:c r="H179" s="64" t="str">
        <x:v>2025-05-07</x:v>
      </x:c>
      <x:c r="I179" s="64" t="str">
        <x:v>standardization</x:v>
      </x:c>
      <x:c r="J179" s="64" t="str">
        <x:v>Converted the source text date to a true spreadsheet date and standardized its display without changing the calendar date.</x:v>
      </x:c>
      <x:c r="K179" s="64" t="str">
        <x:v>PASS — parsed source date equals cleaned date</x:v>
      </x:c>
      <x:c r="L179" s="64" t="str">
        <x:v>High</x:v>
      </x:c>
      <x:c r="M179" s="64" t="str">
        <x:v>Instructor Approved</x:v>
      </x:c>
    </x:row>
    <x:row r="180">
      <x:c r="A180" s="64" t="str">
        <x:v>AUD-0179</x:v>
      </x:c>
      <x:c r="B180" s="64" t="n">
        <x:v>180</x:v>
      </x:c>
      <x:c r="C180" s="64" t="str">
        <x:v>PO-2025-0179</x:v>
      </x:c>
      <x:c r="D180" s="64" t="str">
        <x:v>PO-2025-0179</x:v>
      </x:c>
      <x:c r="E180" s="64" t="str">
        <x:v>B180</x:v>
      </x:c>
      <x:c r="F180" s="64" t="str">
        <x:v>PO_Date</x:v>
      </x:c>
      <x:c r="G180" s="64" t="str">
        <x:v>25/02/2025</x:v>
      </x:c>
      <x:c r="H180" s="64" t="str">
        <x:v>2025-02-25</x:v>
      </x:c>
      <x:c r="I180" s="64" t="str">
        <x:v>standardization</x:v>
      </x:c>
      <x:c r="J180" s="64" t="str">
        <x:v>Converted the source text date to a true spreadsheet date and standardized its display without changing the calendar date.</x:v>
      </x:c>
      <x:c r="K180" s="64" t="str">
        <x:v>PASS — parsed source date equals cleaned date</x:v>
      </x:c>
      <x:c r="L180" s="64" t="str">
        <x:v>High</x:v>
      </x:c>
      <x:c r="M180" s="64" t="str">
        <x:v>Instructor Approved</x:v>
      </x:c>
    </x:row>
    <x:row r="181">
      <x:c r="A181" s="64" t="str">
        <x:v>AUD-0180</x:v>
      </x:c>
      <x:c r="B181" s="64" t="n">
        <x:v>181</x:v>
      </x:c>
      <x:c r="C181" s="64" t="str">
        <x:v>PO-2025-0180</x:v>
      </x:c>
      <x:c r="D181" s="64" t="str">
        <x:v>PO-2025-0180</x:v>
      </x:c>
      <x:c r="E181" s="64" t="str">
        <x:v>B181</x:v>
      </x:c>
      <x:c r="F181" s="64" t="str">
        <x:v>PO_Date</x:v>
      </x:c>
      <x:c r="G181" s="64" t="str">
        <x:v>15/05/2025</x:v>
      </x:c>
      <x:c r="H181" s="64" t="str">
        <x:v>2025-05-15</x:v>
      </x:c>
      <x:c r="I181" s="64" t="str">
        <x:v>standardization</x:v>
      </x:c>
      <x:c r="J181" s="64" t="str">
        <x:v>Converted the source text date to a true spreadsheet date and standardized its display without changing the calendar date.</x:v>
      </x:c>
      <x:c r="K181" s="64" t="str">
        <x:v>PASS — parsed source date equals cleaned date</x:v>
      </x:c>
      <x:c r="L181" s="64" t="str">
        <x:v>High</x:v>
      </x:c>
      <x:c r="M181" s="64" t="str">
        <x:v>Instructor Approved</x:v>
      </x:c>
    </x:row>
    <x:row r="182">
      <x:c r="A182" s="64" t="str">
        <x:v>AUD-0181</x:v>
      </x:c>
      <x:c r="B182" s="64" t="n">
        <x:v>182</x:v>
      </x:c>
      <x:c r="C182" s="64" t="str">
        <x:v>PO-2025-0181</x:v>
      </x:c>
      <x:c r="D182" s="64" t="str">
        <x:v>PO-2025-0181</x:v>
      </x:c>
      <x:c r="E182" s="64" t="str">
        <x:v>B182</x:v>
      </x:c>
      <x:c r="F182" s="64" t="str">
        <x:v>PO_Date</x:v>
      </x:c>
      <x:c r="G182" s="64" t="str">
        <x:v>15/02/2025</x:v>
      </x:c>
      <x:c r="H182" s="64" t="str">
        <x:v>2025-02-15</x:v>
      </x:c>
      <x:c r="I182" s="64" t="str">
        <x:v>standardization</x:v>
      </x:c>
      <x:c r="J182" s="64" t="str">
        <x:v>Converted the source text date to a true spreadsheet date and standardized its display without changing the calendar date.</x:v>
      </x:c>
      <x:c r="K182" s="64" t="str">
        <x:v>PASS — parsed source date equals cleaned date</x:v>
      </x:c>
      <x:c r="L182" s="64" t="str">
        <x:v>High</x:v>
      </x:c>
      <x:c r="M182" s="64" t="str">
        <x:v>Instructor Approved</x:v>
      </x:c>
    </x:row>
    <x:row r="183">
      <x:c r="A183" s="64" t="str">
        <x:v>AUD-0182</x:v>
      </x:c>
      <x:c r="B183" s="64" t="n">
        <x:v>183</x:v>
      </x:c>
      <x:c r="C183" s="64" t="str">
        <x:v>PO-2025-0182</x:v>
      </x:c>
      <x:c r="D183" s="64" t="str">
        <x:v>PO-2025-0182</x:v>
      </x:c>
      <x:c r="E183" s="64" t="str">
        <x:v>B183</x:v>
      </x:c>
      <x:c r="F183" s="64" t="str">
        <x:v>PO_Date</x:v>
      </x:c>
      <x:c r="G183" s="64" t="str">
        <x:v>09/07/2025</x:v>
      </x:c>
      <x:c r="H183" s="64" t="str">
        <x:v>2025-07-09</x:v>
      </x:c>
      <x:c r="I183" s="64" t="str">
        <x:v>standardization</x:v>
      </x:c>
      <x:c r="J183" s="64" t="str">
        <x:v>Converted the source text date to a true spreadsheet date and standardized its display without changing the calendar date.</x:v>
      </x:c>
      <x:c r="K183" s="64" t="str">
        <x:v>PASS — parsed source date equals cleaned date</x:v>
      </x:c>
      <x:c r="L183" s="64" t="str">
        <x:v>High</x:v>
      </x:c>
      <x:c r="M183" s="64" t="str">
        <x:v>Instructor Approved</x:v>
      </x:c>
    </x:row>
    <x:row r="184">
      <x:c r="A184" s="64" t="str">
        <x:v>AUD-0183</x:v>
      </x:c>
      <x:c r="B184" s="64" t="n">
        <x:v>184</x:v>
      </x:c>
      <x:c r="C184" s="64" t="str">
        <x:v>PO-2025-0183</x:v>
      </x:c>
      <x:c r="D184" s="64" t="str">
        <x:v>PO-2025-0183</x:v>
      </x:c>
      <x:c r="E184" s="64" t="str">
        <x:v>B184</x:v>
      </x:c>
      <x:c r="F184" s="64" t="str">
        <x:v>PO_Date</x:v>
      </x:c>
      <x:c r="G184" s="64" t="str">
        <x:v>22/02/2025</x:v>
      </x:c>
      <x:c r="H184" s="64" t="str">
        <x:v>2025-02-22</x:v>
      </x:c>
      <x:c r="I184" s="64" t="str">
        <x:v>standardization</x:v>
      </x:c>
      <x:c r="J184" s="64" t="str">
        <x:v>Converted the source text date to a true spreadsheet date and standardized its display without changing the calendar date.</x:v>
      </x:c>
      <x:c r="K184" s="64" t="str">
        <x:v>PASS — parsed source date equals cleaned date</x:v>
      </x:c>
      <x:c r="L184" s="64" t="str">
        <x:v>High</x:v>
      </x:c>
      <x:c r="M184" s="64" t="str">
        <x:v>Instructor Approved</x:v>
      </x:c>
    </x:row>
    <x:row r="185">
      <x:c r="A185" s="64" t="str">
        <x:v>AUD-0184</x:v>
      </x:c>
      <x:c r="B185" s="64" t="n">
        <x:v>185</x:v>
      </x:c>
      <x:c r="C185" s="64" t="str">
        <x:v>PO-2025-0184</x:v>
      </x:c>
      <x:c r="D185" s="64" t="str">
        <x:v>PO-2025-0184</x:v>
      </x:c>
      <x:c r="E185" s="64" t="str">
        <x:v>B185</x:v>
      </x:c>
      <x:c r="F185" s="64" t="str">
        <x:v>PO_Date</x:v>
      </x:c>
      <x:c r="G185" s="64" t="str">
        <x:v>15/03/2025</x:v>
      </x:c>
      <x:c r="H185" s="64" t="str">
        <x:v>2025-03-15</x:v>
      </x:c>
      <x:c r="I185" s="64" t="str">
        <x:v>standardization</x:v>
      </x:c>
      <x:c r="J185" s="64" t="str">
        <x:v>Converted the source text date to a true spreadsheet date and standardized its display without changing the calendar date.</x:v>
      </x:c>
      <x:c r="K185" s="64" t="str">
        <x:v>PASS — parsed source date equals cleaned date</x:v>
      </x:c>
      <x:c r="L185" s="64" t="str">
        <x:v>High</x:v>
      </x:c>
      <x:c r="M185" s="64" t="str">
        <x:v>Instructor Approved</x:v>
      </x:c>
    </x:row>
    <x:row r="186">
      <x:c r="A186" s="64" t="str">
        <x:v>AUD-0185</x:v>
      </x:c>
      <x:c r="B186" s="64" t="n">
        <x:v>186</x:v>
      </x:c>
      <x:c r="C186" s="64" t="str">
        <x:v>PO-2025-0185</x:v>
      </x:c>
      <x:c r="D186" s="64" t="str">
        <x:v>PO-2025-0185</x:v>
      </x:c>
      <x:c r="E186" s="64" t="str">
        <x:v>B186</x:v>
      </x:c>
      <x:c r="F186" s="64" t="str">
        <x:v>PO_Date</x:v>
      </x:c>
      <x:c r="G186" s="64" t="str">
        <x:v>02/08/2025</x:v>
      </x:c>
      <x:c r="H186" s="64" t="str">
        <x:v>2025-08-02</x:v>
      </x:c>
      <x:c r="I186" s="64" t="str">
        <x:v>standardization</x:v>
      </x:c>
      <x:c r="J186" s="64" t="str">
        <x:v>Converted the source text date to a true spreadsheet date and standardized its display without changing the calendar date.</x:v>
      </x:c>
      <x:c r="K186" s="64" t="str">
        <x:v>PASS — parsed source date equals cleaned date</x:v>
      </x:c>
      <x:c r="L186" s="64" t="str">
        <x:v>High</x:v>
      </x:c>
      <x:c r="M186" s="64" t="str">
        <x:v>Instructor Approved</x:v>
      </x:c>
    </x:row>
    <x:row r="187">
      <x:c r="A187" s="64" t="str">
        <x:v>AUD-0186</x:v>
      </x:c>
      <x:c r="B187" s="64" t="n">
        <x:v>187</x:v>
      </x:c>
      <x:c r="C187" s="64" t="str">
        <x:v>PO-2025-0186</x:v>
      </x:c>
      <x:c r="D187" s="64" t="str">
        <x:v>PO-2025-0186</x:v>
      </x:c>
      <x:c r="E187" s="64" t="str">
        <x:v>B187</x:v>
      </x:c>
      <x:c r="F187" s="64" t="str">
        <x:v>PO_Date</x:v>
      </x:c>
      <x:c r="G187" s="64" t="str">
        <x:v>21/06/2025</x:v>
      </x:c>
      <x:c r="H187" s="64" t="str">
        <x:v>2025-06-21</x:v>
      </x:c>
      <x:c r="I187" s="64" t="str">
        <x:v>standardization</x:v>
      </x:c>
      <x:c r="J187" s="64" t="str">
        <x:v>Converted the source text date to a true spreadsheet date and standardized its display without changing the calendar date.</x:v>
      </x:c>
      <x:c r="K187" s="64" t="str">
        <x:v>PASS — parsed source date equals cleaned date</x:v>
      </x:c>
      <x:c r="L187" s="64" t="str">
        <x:v>High</x:v>
      </x:c>
      <x:c r="M187" s="64" t="str">
        <x:v>Instructor Approved</x:v>
      </x:c>
    </x:row>
    <x:row r="188">
      <x:c r="A188" s="64" t="str">
        <x:v>AUD-0187</x:v>
      </x:c>
      <x:c r="B188" s="64" t="n">
        <x:v>188</x:v>
      </x:c>
      <x:c r="C188" s="64" t="str">
        <x:v>PO-2025-0187</x:v>
      </x:c>
      <x:c r="D188" s="64" t="str">
        <x:v>PO-2025-0187</x:v>
      </x:c>
      <x:c r="E188" s="64" t="str">
        <x:v>B188</x:v>
      </x:c>
      <x:c r="F188" s="64" t="str">
        <x:v>PO_Date</x:v>
      </x:c>
      <x:c r="G188" s="64" t="str">
        <x:v>11/06/2025</x:v>
      </x:c>
      <x:c r="H188" s="64" t="str">
        <x:v>2025-06-11</x:v>
      </x:c>
      <x:c r="I188" s="64" t="str">
        <x:v>standardization</x:v>
      </x:c>
      <x:c r="J188" s="64" t="str">
        <x:v>Converted the source text date to a true spreadsheet date and standardized its display without changing the calendar date.</x:v>
      </x:c>
      <x:c r="K188" s="64" t="str">
        <x:v>PASS — parsed source date equals cleaned date</x:v>
      </x:c>
      <x:c r="L188" s="64" t="str">
        <x:v>High</x:v>
      </x:c>
      <x:c r="M188" s="64" t="str">
        <x:v>Instructor Approved</x:v>
      </x:c>
    </x:row>
    <x:row r="189">
      <x:c r="A189" s="64" t="str">
        <x:v>AUD-0188</x:v>
      </x:c>
      <x:c r="B189" s="64" t="n">
        <x:v>189</x:v>
      </x:c>
      <x:c r="C189" s="64" t="str">
        <x:v>PO-2025-0188</x:v>
      </x:c>
      <x:c r="D189" s="64" t="str">
        <x:v>PO-2025-0188</x:v>
      </x:c>
      <x:c r="E189" s="64" t="str">
        <x:v>B189</x:v>
      </x:c>
      <x:c r="F189" s="64" t="str">
        <x:v>PO_Date</x:v>
      </x:c>
      <x:c r="G189" s="64" t="str">
        <x:v>06/04/2025</x:v>
      </x:c>
      <x:c r="H189" s="64" t="str">
        <x:v>2025-04-06</x:v>
      </x:c>
      <x:c r="I189" s="64" t="str">
        <x:v>standardization</x:v>
      </x:c>
      <x:c r="J189" s="64" t="str">
        <x:v>Converted the source text date to a true spreadsheet date and standardized its display without changing the calendar date.</x:v>
      </x:c>
      <x:c r="K189" s="64" t="str">
        <x:v>PASS — parsed source date equals cleaned date</x:v>
      </x:c>
      <x:c r="L189" s="64" t="str">
        <x:v>High</x:v>
      </x:c>
      <x:c r="M189" s="64" t="str">
        <x:v>Instructor Approved</x:v>
      </x:c>
    </x:row>
    <x:row r="190">
      <x:c r="A190" s="64" t="str">
        <x:v>AUD-0189</x:v>
      </x:c>
      <x:c r="B190" s="64" t="n">
        <x:v>190</x:v>
      </x:c>
      <x:c r="C190" s="64" t="str">
        <x:v>PO-2025-0189</x:v>
      </x:c>
      <x:c r="D190" s="64" t="str">
        <x:v>PO-2025-0189</x:v>
      </x:c>
      <x:c r="E190" s="64" t="str">
        <x:v>B190</x:v>
      </x:c>
      <x:c r="F190" s="64" t="str">
        <x:v>PO_Date</x:v>
      </x:c>
      <x:c r="G190" s="64" t="str">
        <x:v>04/05/2025</x:v>
      </x:c>
      <x:c r="H190" s="64" t="str">
        <x:v>2025-05-04</x:v>
      </x:c>
      <x:c r="I190" s="64" t="str">
        <x:v>standardization</x:v>
      </x:c>
      <x:c r="J190" s="64" t="str">
        <x:v>Converted the source text date to a true spreadsheet date and standardized its display without changing the calendar date.</x:v>
      </x:c>
      <x:c r="K190" s="64" t="str">
        <x:v>PASS — parsed source date equals cleaned date</x:v>
      </x:c>
      <x:c r="L190" s="64" t="str">
        <x:v>High</x:v>
      </x:c>
      <x:c r="M190" s="64" t="str">
        <x:v>Instructor Approved</x:v>
      </x:c>
    </x:row>
    <x:row r="191">
      <x:c r="A191" s="64" t="str">
        <x:v>AUD-0190</x:v>
      </x:c>
      <x:c r="B191" s="64" t="n">
        <x:v>191</x:v>
      </x:c>
      <x:c r="C191" s="64" t="str">
        <x:v>PO-2025-0190</x:v>
      </x:c>
      <x:c r="D191" s="64" t="str">
        <x:v>PO-2025-0190</x:v>
      </x:c>
      <x:c r="E191" s="64" t="str">
        <x:v>B191</x:v>
      </x:c>
      <x:c r="F191" s="64" t="str">
        <x:v>PO_Date</x:v>
      </x:c>
      <x:c r="G191" s="64" t="str">
        <x:v>10/05/2025</x:v>
      </x:c>
      <x:c r="H191" s="64" t="str">
        <x:v>2025-05-10</x:v>
      </x:c>
      <x:c r="I191" s="64" t="str">
        <x:v>standardization</x:v>
      </x:c>
      <x:c r="J191" s="64" t="str">
        <x:v>Converted the source text date to a true spreadsheet date and standardized its display without changing the calendar date.</x:v>
      </x:c>
      <x:c r="K191" s="64" t="str">
        <x:v>PASS — parsed source date equals cleaned date</x:v>
      </x:c>
      <x:c r="L191" s="64" t="str">
        <x:v>High</x:v>
      </x:c>
      <x:c r="M191" s="64" t="str">
        <x:v>Instructor Approved</x:v>
      </x:c>
    </x:row>
    <x:row r="192">
      <x:c r="A192" s="64" t="str">
        <x:v>AUD-0191</x:v>
      </x:c>
      <x:c r="B192" s="64" t="n">
        <x:v>192</x:v>
      </x:c>
      <x:c r="C192" s="64" t="str">
        <x:v>PO-2025-0191</x:v>
      </x:c>
      <x:c r="D192" s="64" t="str">
        <x:v>PO-2025-0191</x:v>
      </x:c>
      <x:c r="E192" s="64" t="str">
        <x:v>B192</x:v>
      </x:c>
      <x:c r="F192" s="64" t="str">
        <x:v>PO_Date</x:v>
      </x:c>
      <x:c r="G192" s="64" t="str">
        <x:v>09/06/2025</x:v>
      </x:c>
      <x:c r="H192" s="64" t="str">
        <x:v>2025-06-09</x:v>
      </x:c>
      <x:c r="I192" s="64" t="str">
        <x:v>standardization</x:v>
      </x:c>
      <x:c r="J192" s="64" t="str">
        <x:v>Converted the source text date to a true spreadsheet date and standardized its display without changing the calendar date.</x:v>
      </x:c>
      <x:c r="K192" s="64" t="str">
        <x:v>PASS — parsed source date equals cleaned date</x:v>
      </x:c>
      <x:c r="L192" s="64" t="str">
        <x:v>High</x:v>
      </x:c>
      <x:c r="M192" s="64" t="str">
        <x:v>Instructor Approved</x:v>
      </x:c>
    </x:row>
    <x:row r="193">
      <x:c r="A193" s="64" t="str">
        <x:v>AUD-0192</x:v>
      </x:c>
      <x:c r="B193" s="64" t="n">
        <x:v>193</x:v>
      </x:c>
      <x:c r="C193" s="64" t="str">
        <x:v>PO-2025-0192</x:v>
      </x:c>
      <x:c r="D193" s="64" t="str">
        <x:v>PO-2025-0192</x:v>
      </x:c>
      <x:c r="E193" s="64" t="str">
        <x:v>B193</x:v>
      </x:c>
      <x:c r="F193" s="64" t="str">
        <x:v>PO_Date</x:v>
      </x:c>
      <x:c r="G193" s="64" t="str">
        <x:v>23/01/2025</x:v>
      </x:c>
      <x:c r="H193" s="64" t="str">
        <x:v>2025-01-23</x:v>
      </x:c>
      <x:c r="I193" s="64" t="str">
        <x:v>standardization</x:v>
      </x:c>
      <x:c r="J193" s="64" t="str">
        <x:v>Converted the source text date to a true spreadsheet date and standardized its display without changing the calendar date.</x:v>
      </x:c>
      <x:c r="K193" s="64" t="str">
        <x:v>PASS — parsed source date equals cleaned date</x:v>
      </x:c>
      <x:c r="L193" s="64" t="str">
        <x:v>High</x:v>
      </x:c>
      <x:c r="M193" s="64" t="str">
        <x:v>Instructor Approved</x:v>
      </x:c>
    </x:row>
    <x:row r="194">
      <x:c r="A194" s="64" t="str">
        <x:v>AUD-0193</x:v>
      </x:c>
      <x:c r="B194" s="64" t="n">
        <x:v>194</x:v>
      </x:c>
      <x:c r="C194" s="64" t="str">
        <x:v>PO-2025-0193</x:v>
      </x:c>
      <x:c r="D194" s="64" t="str">
        <x:v>PO-2025-0193</x:v>
      </x:c>
      <x:c r="E194" s="64" t="str">
        <x:v>B194</x:v>
      </x:c>
      <x:c r="F194" s="64" t="str">
        <x:v>PO_Date</x:v>
      </x:c>
      <x:c r="G194" s="64" t="str">
        <x:v>14/07/2025</x:v>
      </x:c>
      <x:c r="H194" s="64" t="str">
        <x:v>2025-07-14</x:v>
      </x:c>
      <x:c r="I194" s="64" t="str">
        <x:v>standardization</x:v>
      </x:c>
      <x:c r="J194" s="64" t="str">
        <x:v>Converted the source text date to a true spreadsheet date and standardized its display without changing the calendar date.</x:v>
      </x:c>
      <x:c r="K194" s="64" t="str">
        <x:v>PASS — parsed source date equals cleaned date</x:v>
      </x:c>
      <x:c r="L194" s="64" t="str">
        <x:v>High</x:v>
      </x:c>
      <x:c r="M194" s="64" t="str">
        <x:v>Instructor Approved</x:v>
      </x:c>
    </x:row>
    <x:row r="195">
      <x:c r="A195" s="64" t="str">
        <x:v>AUD-0194</x:v>
      </x:c>
      <x:c r="B195" s="64" t="n">
        <x:v>195</x:v>
      </x:c>
      <x:c r="C195" s="64" t="str">
        <x:v>PO-2025-0194</x:v>
      </x:c>
      <x:c r="D195" s="64" t="str">
        <x:v>PO-2025-0194</x:v>
      </x:c>
      <x:c r="E195" s="64" t="str">
        <x:v>B195</x:v>
      </x:c>
      <x:c r="F195" s="64" t="str">
        <x:v>PO_Date</x:v>
      </x:c>
      <x:c r="G195" s="64" t="str">
        <x:v>23/03/2025</x:v>
      </x:c>
      <x:c r="H195" s="64" t="str">
        <x:v>2025-03-23</x:v>
      </x:c>
      <x:c r="I195" s="64" t="str">
        <x:v>standardization</x:v>
      </x:c>
      <x:c r="J195" s="64" t="str">
        <x:v>Converted the source text date to a true spreadsheet date and standardized its display without changing the calendar date.</x:v>
      </x:c>
      <x:c r="K195" s="64" t="str">
        <x:v>PASS — parsed source date equals cleaned date</x:v>
      </x:c>
      <x:c r="L195" s="64" t="str">
        <x:v>High</x:v>
      </x:c>
      <x:c r="M195" s="64" t="str">
        <x:v>Instructor Approved</x:v>
      </x:c>
    </x:row>
    <x:row r="196">
      <x:c r="A196" s="64" t="str">
        <x:v>AUD-0195</x:v>
      </x:c>
      <x:c r="B196" s="64" t="n">
        <x:v>196</x:v>
      </x:c>
      <x:c r="C196" s="64" t="str">
        <x:v>PO-2025-0195</x:v>
      </x:c>
      <x:c r="D196" s="64" t="str">
        <x:v>PO-2025-0195</x:v>
      </x:c>
      <x:c r="E196" s="64" t="str">
        <x:v>B196</x:v>
      </x:c>
      <x:c r="F196" s="64" t="str">
        <x:v>PO_Date</x:v>
      </x:c>
      <x:c r="G196" s="64" t="str">
        <x:v>02/05/2025</x:v>
      </x:c>
      <x:c r="H196" s="64" t="str">
        <x:v>2025-05-02</x:v>
      </x:c>
      <x:c r="I196" s="64" t="str">
        <x:v>standardization</x:v>
      </x:c>
      <x:c r="J196" s="64" t="str">
        <x:v>Converted the source text date to a true spreadsheet date and standardized its display without changing the calendar date.</x:v>
      </x:c>
      <x:c r="K196" s="64" t="str">
        <x:v>PASS — parsed source date equals cleaned date</x:v>
      </x:c>
      <x:c r="L196" s="64" t="str">
        <x:v>High</x:v>
      </x:c>
      <x:c r="M196" s="64" t="str">
        <x:v>Instructor Approved</x:v>
      </x:c>
    </x:row>
    <x:row r="197">
      <x:c r="A197" s="64" t="str">
        <x:v>AUD-0196</x:v>
      </x:c>
      <x:c r="B197" s="64" t="n">
        <x:v>197</x:v>
      </x:c>
      <x:c r="C197" s="64" t="str">
        <x:v>PO-2025-0196</x:v>
      </x:c>
      <x:c r="D197" s="64" t="str">
        <x:v>PO-2025-0196</x:v>
      </x:c>
      <x:c r="E197" s="64" t="str">
        <x:v>B197</x:v>
      </x:c>
      <x:c r="F197" s="64" t="str">
        <x:v>PO_Date</x:v>
      </x:c>
      <x:c r="G197" s="64" t="str">
        <x:v>04/04/2025</x:v>
      </x:c>
      <x:c r="H197" s="64" t="str">
        <x:v>2025-04-04</x:v>
      </x:c>
      <x:c r="I197" s="64" t="str">
        <x:v>standardization</x:v>
      </x:c>
      <x:c r="J197" s="64" t="str">
        <x:v>Converted the source text date to a true spreadsheet date and standardized its display without changing the calendar date.</x:v>
      </x:c>
      <x:c r="K197" s="64" t="str">
        <x:v>PASS — parsed source date equals cleaned date</x:v>
      </x:c>
      <x:c r="L197" s="64" t="str">
        <x:v>High</x:v>
      </x:c>
      <x:c r="M197" s="64" t="str">
        <x:v>Instructor Approved</x:v>
      </x:c>
    </x:row>
    <x:row r="198">
      <x:c r="A198" s="64" t="str">
        <x:v>AUD-0197</x:v>
      </x:c>
      <x:c r="B198" s="64" t="n">
        <x:v>198</x:v>
      </x:c>
      <x:c r="C198" s="64" t="str">
        <x:v>PO-2025-0197</x:v>
      </x:c>
      <x:c r="D198" s="64" t="str">
        <x:v>PO-2025-0197</x:v>
      </x:c>
      <x:c r="E198" s="64" t="str">
        <x:v>B198</x:v>
      </x:c>
      <x:c r="F198" s="64" t="str">
        <x:v>PO_Date</x:v>
      </x:c>
      <x:c r="G198" s="64" t="str">
        <x:v>15/09/2025</x:v>
      </x:c>
      <x:c r="H198" s="64" t="str">
        <x:v>2025-09-15</x:v>
      </x:c>
      <x:c r="I198" s="64" t="str">
        <x:v>standardization</x:v>
      </x:c>
      <x:c r="J198" s="64" t="str">
        <x:v>Converted the source text date to a true spreadsheet date and standardized its display without changing the calendar date.</x:v>
      </x:c>
      <x:c r="K198" s="64" t="str">
        <x:v>PASS — parsed source date equals cleaned date</x:v>
      </x:c>
      <x:c r="L198" s="64" t="str">
        <x:v>High</x:v>
      </x:c>
      <x:c r="M198" s="64" t="str">
        <x:v>Instructor Approved</x:v>
      </x:c>
    </x:row>
    <x:row r="199">
      <x:c r="A199" s="64" t="str">
        <x:v>AUD-0198</x:v>
      </x:c>
      <x:c r="B199" s="64" t="n">
        <x:v>199</x:v>
      </x:c>
      <x:c r="C199" s="64" t="str">
        <x:v>PO-2025-0198</x:v>
      </x:c>
      <x:c r="D199" s="64" t="str">
        <x:v>PO-2025-0198</x:v>
      </x:c>
      <x:c r="E199" s="64" t="str">
        <x:v>B199</x:v>
      </x:c>
      <x:c r="F199" s="64" t="str">
        <x:v>PO_Date</x:v>
      </x:c>
      <x:c r="G199" s="64" t="str">
        <x:v>27/08/2025</x:v>
      </x:c>
      <x:c r="H199" s="64" t="str">
        <x:v>2025-08-27</x:v>
      </x:c>
      <x:c r="I199" s="64" t="str">
        <x:v>standardization</x:v>
      </x:c>
      <x:c r="J199" s="64" t="str">
        <x:v>Converted the source text date to a true spreadsheet date and standardized its display without changing the calendar date.</x:v>
      </x:c>
      <x:c r="K199" s="64" t="str">
        <x:v>PASS — parsed source date equals cleaned date</x:v>
      </x:c>
      <x:c r="L199" s="64" t="str">
        <x:v>High</x:v>
      </x:c>
      <x:c r="M199" s="64" t="str">
        <x:v>Instructor Approved</x:v>
      </x:c>
    </x:row>
    <x:row r="200">
      <x:c r="A200" s="64" t="str">
        <x:v>AUD-0199</x:v>
      </x:c>
      <x:c r="B200" s="64" t="n">
        <x:v>200</x:v>
      </x:c>
      <x:c r="C200" s="64" t="str">
        <x:v>PO-2025-0199</x:v>
      </x:c>
      <x:c r="D200" s="64" t="str">
        <x:v>PO-2025-0199</x:v>
      </x:c>
      <x:c r="E200" s="64" t="str">
        <x:v>B200</x:v>
      </x:c>
      <x:c r="F200" s="64" t="str">
        <x:v>PO_Date</x:v>
      </x:c>
      <x:c r="G200" s="64" t="str">
        <x:v>19/04/2025</x:v>
      </x:c>
      <x:c r="H200" s="64" t="str">
        <x:v>2025-04-19</x:v>
      </x:c>
      <x:c r="I200" s="64" t="str">
        <x:v>standardization</x:v>
      </x:c>
      <x:c r="J200" s="64" t="str">
        <x:v>Converted the source text date to a true spreadsheet date and standardized its display without changing the calendar date.</x:v>
      </x:c>
      <x:c r="K200" s="64" t="str">
        <x:v>PASS — parsed source date equals cleaned date</x:v>
      </x:c>
      <x:c r="L200" s="64" t="str">
        <x:v>High</x:v>
      </x:c>
      <x:c r="M200" s="64" t="str">
        <x:v>Instructor Approved</x:v>
      </x:c>
    </x:row>
    <x:row r="201">
      <x:c r="A201" s="64" t="str">
        <x:v>AUD-0200</x:v>
      </x:c>
      <x:c r="B201" s="64" t="n">
        <x:v>201</x:v>
      </x:c>
      <x:c r="C201" s="64" t="str">
        <x:v>PO-2025-0200</x:v>
      </x:c>
      <x:c r="D201" s="64" t="str">
        <x:v>PO-2025-0200</x:v>
      </x:c>
      <x:c r="E201" s="64" t="str">
        <x:v>B201</x:v>
      </x:c>
      <x:c r="F201" s="64" t="str">
        <x:v>PO_Date</x:v>
      </x:c>
      <x:c r="G201" s="64" t="str">
        <x:v>July 15, 2025</x:v>
      </x:c>
      <x:c r="H201" s="64" t="str">
        <x:v>2025-07-15</x:v>
      </x:c>
      <x:c r="I201" s="64" t="str">
        <x:v>standardization</x:v>
      </x:c>
      <x:c r="J201" s="64" t="str">
        <x:v>Converted the source text date to a true spreadsheet date and standardized its display without changing the calendar date.</x:v>
      </x:c>
      <x:c r="K201" s="64" t="str">
        <x:v>PASS — parsed source date equals cleaned date</x:v>
      </x:c>
      <x:c r="L201" s="64" t="str">
        <x:v>High</x:v>
      </x:c>
      <x:c r="M201" s="64" t="str">
        <x:v>Instructor Approved</x:v>
      </x:c>
    </x:row>
    <x:row r="202">
      <x:c r="A202" s="64" t="str">
        <x:v>AUD-0201</x:v>
      </x:c>
      <x:c r="B202" s="64" t="n">
        <x:v>202</x:v>
      </x:c>
      <x:c r="C202" s="64" t="str">
        <x:v>PO-2025-0201</x:v>
      </x:c>
      <x:c r="D202" s="64" t="str">
        <x:v>PO-2025-0201</x:v>
      </x:c>
      <x:c r="E202" s="64" t="str">
        <x:v>B202</x:v>
      </x:c>
      <x:c r="F202" s="64" t="str">
        <x:v>PO_Date</x:v>
      </x:c>
      <x:c r="G202" s="64" t="str">
        <x:v>28/10/2025</x:v>
      </x:c>
      <x:c r="H202" s="64" t="str">
        <x:v>2025-10-28</x:v>
      </x:c>
      <x:c r="I202" s="64" t="str">
        <x:v>standardization</x:v>
      </x:c>
      <x:c r="J202" s="64" t="str">
        <x:v>Converted the source text date to a true spreadsheet date and standardized its display without changing the calendar date.</x:v>
      </x:c>
      <x:c r="K202" s="64" t="str">
        <x:v>PASS — parsed source date equals cleaned date</x:v>
      </x:c>
      <x:c r="L202" s="64" t="str">
        <x:v>High</x:v>
      </x:c>
      <x:c r="M202" s="64" t="str">
        <x:v>Instructor Approved</x:v>
      </x:c>
    </x:row>
    <x:row r="203">
      <x:c r="A203" s="64" t="str">
        <x:v>AUD-0202</x:v>
      </x:c>
      <x:c r="B203" s="64" t="n">
        <x:v>203</x:v>
      </x:c>
      <x:c r="C203" s="64" t="str">
        <x:v>PO-2025-0202</x:v>
      </x:c>
      <x:c r="D203" s="64" t="str">
        <x:v>PO-2025-0202</x:v>
      </x:c>
      <x:c r="E203" s="64" t="str">
        <x:v>B203</x:v>
      </x:c>
      <x:c r="F203" s="64" t="str">
        <x:v>PO_Date</x:v>
      </x:c>
      <x:c r="G203" s="64" t="str">
        <x:v>01/05/2025</x:v>
      </x:c>
      <x:c r="H203" s="64" t="str">
        <x:v>2025-05-01</x:v>
      </x:c>
      <x:c r="I203" s="64" t="str">
        <x:v>standardization</x:v>
      </x:c>
      <x:c r="J203" s="64" t="str">
        <x:v>Converted the source text date to a true spreadsheet date and standardized its display without changing the calendar date.</x:v>
      </x:c>
      <x:c r="K203" s="64" t="str">
        <x:v>PASS — parsed source date equals cleaned date</x:v>
      </x:c>
      <x:c r="L203" s="64" t="str">
        <x:v>High</x:v>
      </x:c>
      <x:c r="M203" s="64" t="str">
        <x:v>Instructor Approved</x:v>
      </x:c>
    </x:row>
    <x:row r="204">
      <x:c r="A204" s="64" t="str">
        <x:v>AUD-0203</x:v>
      </x:c>
      <x:c r="B204" s="64" t="n">
        <x:v>204</x:v>
      </x:c>
      <x:c r="C204" s="64" t="str">
        <x:v>PO-2025-0203</x:v>
      </x:c>
      <x:c r="D204" s="64" t="str">
        <x:v>PO-2025-0203</x:v>
      </x:c>
      <x:c r="E204" s="64" t="str">
        <x:v>B204</x:v>
      </x:c>
      <x:c r="F204" s="64" t="str">
        <x:v>PO_Date</x:v>
      </x:c>
      <x:c r="G204" s="64" t="str">
        <x:v>01/01/2025</x:v>
      </x:c>
      <x:c r="H204" s="64" t="str">
        <x:v>2025-01-01</x:v>
      </x:c>
      <x:c r="I204" s="64" t="str">
        <x:v>standardization</x:v>
      </x:c>
      <x:c r="J204" s="64" t="str">
        <x:v>Converted the source text date to a true spreadsheet date and standardized its display without changing the calendar date.</x:v>
      </x:c>
      <x:c r="K204" s="64" t="str">
        <x:v>PASS — parsed source date equals cleaned date</x:v>
      </x:c>
      <x:c r="L204" s="64" t="str">
        <x:v>High</x:v>
      </x:c>
      <x:c r="M204" s="64" t="str">
        <x:v>Instructor Approved</x:v>
      </x:c>
    </x:row>
    <x:row r="205">
      <x:c r="A205" s="64" t="str">
        <x:v>AUD-0204</x:v>
      </x:c>
      <x:c r="B205" s="64" t="n">
        <x:v>205</x:v>
      </x:c>
      <x:c r="C205" s="64" t="str">
        <x:v>PO-2025-0204</x:v>
      </x:c>
      <x:c r="D205" s="64" t="str">
        <x:v>PO-2025-0204</x:v>
      </x:c>
      <x:c r="E205" s="64" t="str">
        <x:v>B205</x:v>
      </x:c>
      <x:c r="F205" s="64" t="str">
        <x:v>PO_Date</x:v>
      </x:c>
      <x:c r="G205" s="64" t="str">
        <x:v>03/10/2025</x:v>
      </x:c>
      <x:c r="H205" s="64" t="str">
        <x:v>2025-10-03</x:v>
      </x:c>
      <x:c r="I205" s="64" t="str">
        <x:v>standardization</x:v>
      </x:c>
      <x:c r="J205" s="64" t="str">
        <x:v>Converted the source text date to a true spreadsheet date and standardized its display without changing the calendar date.</x:v>
      </x:c>
      <x:c r="K205" s="64" t="str">
        <x:v>PASS — parsed source date equals cleaned date</x:v>
      </x:c>
      <x:c r="L205" s="64" t="str">
        <x:v>High</x:v>
      </x:c>
      <x:c r="M205" s="64" t="str">
        <x:v>Instructor Approved</x:v>
      </x:c>
    </x:row>
    <x:row r="206">
      <x:c r="A206" s="64" t="str">
        <x:v>AUD-0205</x:v>
      </x:c>
      <x:c r="B206" s="64" t="n">
        <x:v>206</x:v>
      </x:c>
      <x:c r="C206" s="64" t="str">
        <x:v>PO-2025-0205</x:v>
      </x:c>
      <x:c r="D206" s="64" t="str">
        <x:v>PO-2025-0205</x:v>
      </x:c>
      <x:c r="E206" s="64" t="str">
        <x:v>B206</x:v>
      </x:c>
      <x:c r="F206" s="64" t="str">
        <x:v>PO_Date</x:v>
      </x:c>
      <x:c r="G206" s="64" t="str">
        <x:v>22/02/2025</x:v>
      </x:c>
      <x:c r="H206" s="64" t="str">
        <x:v>2025-02-22</x:v>
      </x:c>
      <x:c r="I206" s="64" t="str">
        <x:v>standardization</x:v>
      </x:c>
      <x:c r="J206" s="64" t="str">
        <x:v>Converted the source text date to a true spreadsheet date and standardized its display without changing the calendar date.</x:v>
      </x:c>
      <x:c r="K206" s="64" t="str">
        <x:v>PASS — parsed source date equals cleaned date</x:v>
      </x:c>
      <x:c r="L206" s="64" t="str">
        <x:v>High</x:v>
      </x:c>
      <x:c r="M206" s="64" t="str">
        <x:v>Instructor Approved</x:v>
      </x:c>
    </x:row>
    <x:row r="207">
      <x:c r="A207" s="64" t="str">
        <x:v>AUD-0206</x:v>
      </x:c>
      <x:c r="B207" s="64" t="n">
        <x:v>207</x:v>
      </x:c>
      <x:c r="C207" s="64" t="str">
        <x:v>PO-2025-0206</x:v>
      </x:c>
      <x:c r="D207" s="64" t="str">
        <x:v>PO-2025-0206</x:v>
      </x:c>
      <x:c r="E207" s="64" t="str">
        <x:v>B207</x:v>
      </x:c>
      <x:c r="F207" s="64" t="str">
        <x:v>PO_Date</x:v>
      </x:c>
      <x:c r="G207" s="64" t="str">
        <x:v>28/11/2025</x:v>
      </x:c>
      <x:c r="H207" s="64" t="str">
        <x:v>2025-11-28</x:v>
      </x:c>
      <x:c r="I207" s="64" t="str">
        <x:v>standardization</x:v>
      </x:c>
      <x:c r="J207" s="64" t="str">
        <x:v>Converted the source text date to a true spreadsheet date and standardized its display without changing the calendar date.</x:v>
      </x:c>
      <x:c r="K207" s="64" t="str">
        <x:v>PASS — parsed source date equals cleaned date</x:v>
      </x:c>
      <x:c r="L207" s="64" t="str">
        <x:v>High</x:v>
      </x:c>
      <x:c r="M207" s="64" t="str">
        <x:v>Instructor Approved</x:v>
      </x:c>
    </x:row>
    <x:row r="208">
      <x:c r="A208" s="64" t="str">
        <x:v>AUD-0207</x:v>
      </x:c>
      <x:c r="B208" s="64" t="n">
        <x:v>208</x:v>
      </x:c>
      <x:c r="C208" s="64" t="str">
        <x:v>PO-2025-0207</x:v>
      </x:c>
      <x:c r="D208" s="64" t="str">
        <x:v>PO-2025-0207</x:v>
      </x:c>
      <x:c r="E208" s="64" t="str">
        <x:v>B208</x:v>
      </x:c>
      <x:c r="F208" s="64" t="str">
        <x:v>PO_Date</x:v>
      </x:c>
      <x:c r="G208" s="64" t="str">
        <x:v>23/01/2025</x:v>
      </x:c>
      <x:c r="H208" s="64" t="str">
        <x:v>2025-01-23</x:v>
      </x:c>
      <x:c r="I208" s="64" t="str">
        <x:v>standardization</x:v>
      </x:c>
      <x:c r="J208" s="64" t="str">
        <x:v>Converted the source text date to a true spreadsheet date and standardized its display without changing the calendar date.</x:v>
      </x:c>
      <x:c r="K208" s="64" t="str">
        <x:v>PASS — parsed source date equals cleaned date</x:v>
      </x:c>
      <x:c r="L208" s="64" t="str">
        <x:v>High</x:v>
      </x:c>
      <x:c r="M208" s="64" t="str">
        <x:v>Instructor Approved</x:v>
      </x:c>
    </x:row>
    <x:row r="209">
      <x:c r="A209" s="64" t="str">
        <x:v>AUD-0208</x:v>
      </x:c>
      <x:c r="B209" s="64" t="n">
        <x:v>209</x:v>
      </x:c>
      <x:c r="C209" s="64" t="str">
        <x:v>PO-2025-0208</x:v>
      </x:c>
      <x:c r="D209" s="64" t="str">
        <x:v>PO-2025-0208</x:v>
      </x:c>
      <x:c r="E209" s="64" t="str">
        <x:v>B209</x:v>
      </x:c>
      <x:c r="F209" s="64" t="str">
        <x:v>PO_Date</x:v>
      </x:c>
      <x:c r="G209" s="64" t="str">
        <x:v>14/05/2025</x:v>
      </x:c>
      <x:c r="H209" s="64" t="str">
        <x:v>2025-05-14</x:v>
      </x:c>
      <x:c r="I209" s="64" t="str">
        <x:v>standardization</x:v>
      </x:c>
      <x:c r="J209" s="64" t="str">
        <x:v>Converted the source text date to a true spreadsheet date and standardized its display without changing the calendar date.</x:v>
      </x:c>
      <x:c r="K209" s="64" t="str">
        <x:v>PASS — parsed source date equals cleaned date</x:v>
      </x:c>
      <x:c r="L209" s="64" t="str">
        <x:v>High</x:v>
      </x:c>
      <x:c r="M209" s="64" t="str">
        <x:v>Instructor Approved</x:v>
      </x:c>
    </x:row>
    <x:row r="210">
      <x:c r="A210" s="64" t="str">
        <x:v>AUD-0209</x:v>
      </x:c>
      <x:c r="B210" s="64" t="n">
        <x:v>210</x:v>
      </x:c>
      <x:c r="C210" s="64" t="str">
        <x:v>PO-2025-0209</x:v>
      </x:c>
      <x:c r="D210" s="64" t="str">
        <x:v>PO-2025-0209</x:v>
      </x:c>
      <x:c r="E210" s="64" t="str">
        <x:v>B210</x:v>
      </x:c>
      <x:c r="F210" s="64" t="str">
        <x:v>PO_Date</x:v>
      </x:c>
      <x:c r="G210" s="64" t="str">
        <x:v>09/09/2025</x:v>
      </x:c>
      <x:c r="H210" s="64" t="str">
        <x:v>2025-09-09</x:v>
      </x:c>
      <x:c r="I210" s="64" t="str">
        <x:v>standardization</x:v>
      </x:c>
      <x:c r="J210" s="64" t="str">
        <x:v>Converted the source text date to a true spreadsheet date and standardized its display without changing the calendar date.</x:v>
      </x:c>
      <x:c r="K210" s="64" t="str">
        <x:v>PASS — parsed source date equals cleaned date</x:v>
      </x:c>
      <x:c r="L210" s="64" t="str">
        <x:v>High</x:v>
      </x:c>
      <x:c r="M210" s="64" t="str">
        <x:v>Instructor Approved</x:v>
      </x:c>
    </x:row>
    <x:row r="211">
      <x:c r="A211" s="64" t="str">
        <x:v>AUD-0210</x:v>
      </x:c>
      <x:c r="B211" s="64" t="n">
        <x:v>211</x:v>
      </x:c>
      <x:c r="C211" s="64" t="str">
        <x:v>PO-2025-0210</x:v>
      </x:c>
      <x:c r="D211" s="64" t="str">
        <x:v>PO-2025-0210</x:v>
      </x:c>
      <x:c r="E211" s="64" t="str">
        <x:v>B211</x:v>
      </x:c>
      <x:c r="F211" s="64" t="str">
        <x:v>PO_Date</x:v>
      </x:c>
      <x:c r="G211" s="64" t="str">
        <x:v>20/03/2025</x:v>
      </x:c>
      <x:c r="H211" s="64" t="str">
        <x:v>2025-03-20</x:v>
      </x:c>
      <x:c r="I211" s="64" t="str">
        <x:v>standardization</x:v>
      </x:c>
      <x:c r="J211" s="64" t="str">
        <x:v>Converted the source text date to a true spreadsheet date and standardized its display without changing the calendar date.</x:v>
      </x:c>
      <x:c r="K211" s="64" t="str">
        <x:v>PASS — parsed source date equals cleaned date</x:v>
      </x:c>
      <x:c r="L211" s="64" t="str">
        <x:v>High</x:v>
      </x:c>
      <x:c r="M211" s="64" t="str">
        <x:v>Instructor Approved</x:v>
      </x:c>
    </x:row>
    <x:row r="212">
      <x:c r="A212" s="64" t="str">
        <x:v>AUD-0211</x:v>
      </x:c>
      <x:c r="B212" s="64" t="n">
        <x:v>212</x:v>
      </x:c>
      <x:c r="C212" s="64" t="str">
        <x:v>PO-2025-0211</x:v>
      </x:c>
      <x:c r="D212" s="64" t="str">
        <x:v>PO-2025-0211</x:v>
      </x:c>
      <x:c r="E212" s="64" t="str">
        <x:v>B212</x:v>
      </x:c>
      <x:c r="F212" s="64" t="str">
        <x:v>PO_Date</x:v>
      </x:c>
      <x:c r="G212" s="64" t="str">
        <x:v>14/01/2025</x:v>
      </x:c>
      <x:c r="H212" s="64" t="str">
        <x:v>2025-01-14</x:v>
      </x:c>
      <x:c r="I212" s="64" t="str">
        <x:v>standardization</x:v>
      </x:c>
      <x:c r="J212" s="64" t="str">
        <x:v>Converted the source text date to a true spreadsheet date and standardized its display without changing the calendar date.</x:v>
      </x:c>
      <x:c r="K212" s="64" t="str">
        <x:v>PASS — parsed source date equals cleaned date</x:v>
      </x:c>
      <x:c r="L212" s="64" t="str">
        <x:v>High</x:v>
      </x:c>
      <x:c r="M212" s="64" t="str">
        <x:v>Instructor Approved</x:v>
      </x:c>
    </x:row>
    <x:row r="213">
      <x:c r="A213" s="64" t="str">
        <x:v>AUD-0212</x:v>
      </x:c>
      <x:c r="B213" s="64" t="n">
        <x:v>213</x:v>
      </x:c>
      <x:c r="C213" s="64" t="str">
        <x:v>PO-2025-0212</x:v>
      </x:c>
      <x:c r="D213" s="64" t="str">
        <x:v>PO-2025-0212</x:v>
      </x:c>
      <x:c r="E213" s="64" t="str">
        <x:v>B213</x:v>
      </x:c>
      <x:c r="F213" s="64" t="str">
        <x:v>PO_Date</x:v>
      </x:c>
      <x:c r="G213" s="64" t="str">
        <x:v>26/01/2025</x:v>
      </x:c>
      <x:c r="H213" s="64" t="str">
        <x:v>2025-01-26</x:v>
      </x:c>
      <x:c r="I213" s="64" t="str">
        <x:v>standardization</x:v>
      </x:c>
      <x:c r="J213" s="64" t="str">
        <x:v>Converted the source text date to a true spreadsheet date and standardized its display without changing the calendar date.</x:v>
      </x:c>
      <x:c r="K213" s="64" t="str">
        <x:v>PASS — parsed source date equals cleaned date</x:v>
      </x:c>
      <x:c r="L213" s="64" t="str">
        <x:v>High</x:v>
      </x:c>
      <x:c r="M213" s="64" t="str">
        <x:v>Instructor Approved</x:v>
      </x:c>
    </x:row>
    <x:row r="214">
      <x:c r="A214" s="64" t="str">
        <x:v>AUD-0213</x:v>
      </x:c>
      <x:c r="B214" s="64" t="n">
        <x:v>214</x:v>
      </x:c>
      <x:c r="C214" s="64" t="str">
        <x:v>PO-2025-0213</x:v>
      </x:c>
      <x:c r="D214" s="64" t="str">
        <x:v>PO-2025-0213</x:v>
      </x:c>
      <x:c r="E214" s="64" t="str">
        <x:v>B214</x:v>
      </x:c>
      <x:c r="F214" s="64" t="str">
        <x:v>PO_Date</x:v>
      </x:c>
      <x:c r="G214" s="64" t="str">
        <x:v>30/09/2025</x:v>
      </x:c>
      <x:c r="H214" s="64" t="str">
        <x:v>2025-09-30</x:v>
      </x:c>
      <x:c r="I214" s="64" t="str">
        <x:v>standardization</x:v>
      </x:c>
      <x:c r="J214" s="64" t="str">
        <x:v>Converted the source text date to a true spreadsheet date and standardized its display without changing the calendar date.</x:v>
      </x:c>
      <x:c r="K214" s="64" t="str">
        <x:v>PASS — parsed source date equals cleaned date</x:v>
      </x:c>
      <x:c r="L214" s="64" t="str">
        <x:v>High</x:v>
      </x:c>
      <x:c r="M214" s="64" t="str">
        <x:v>Instructor Approved</x:v>
      </x:c>
    </x:row>
    <x:row r="215">
      <x:c r="A215" s="64" t="str">
        <x:v>AUD-0214</x:v>
      </x:c>
      <x:c r="B215" s="64" t="n">
        <x:v>215</x:v>
      </x:c>
      <x:c r="C215" s="64" t="str">
        <x:v>PO-2025-0214</x:v>
      </x:c>
      <x:c r="D215" s="64" t="str">
        <x:v>PO-2025-0214</x:v>
      </x:c>
      <x:c r="E215" s="64" t="str">
        <x:v>B215</x:v>
      </x:c>
      <x:c r="F215" s="64" t="str">
        <x:v>PO_Date</x:v>
      </x:c>
      <x:c r="G215" s="64" t="str">
        <x:v>14/09/2025</x:v>
      </x:c>
      <x:c r="H215" s="64" t="str">
        <x:v>2025-09-14</x:v>
      </x:c>
      <x:c r="I215" s="64" t="str">
        <x:v>standardization</x:v>
      </x:c>
      <x:c r="J215" s="64" t="str">
        <x:v>Converted the source text date to a true spreadsheet date and standardized its display without changing the calendar date.</x:v>
      </x:c>
      <x:c r="K215" s="64" t="str">
        <x:v>PASS — parsed source date equals cleaned date</x:v>
      </x:c>
      <x:c r="L215" s="64" t="str">
        <x:v>High</x:v>
      </x:c>
      <x:c r="M215" s="64" t="str">
        <x:v>Instructor Approved</x:v>
      </x:c>
    </x:row>
    <x:row r="216">
      <x:c r="A216" s="64" t="str">
        <x:v>AUD-0215</x:v>
      </x:c>
      <x:c r="B216" s="64" t="n">
        <x:v>216</x:v>
      </x:c>
      <x:c r="C216" s="64" t="str">
        <x:v>PO-2025-0215</x:v>
      </x:c>
      <x:c r="D216" s="64" t="str">
        <x:v>PO-2025-0215</x:v>
      </x:c>
      <x:c r="E216" s="64" t="str">
        <x:v>B216</x:v>
      </x:c>
      <x:c r="F216" s="64" t="str">
        <x:v>PO_Date</x:v>
      </x:c>
      <x:c r="G216" s="64" t="str">
        <x:v>27/10/2025</x:v>
      </x:c>
      <x:c r="H216" s="64" t="str">
        <x:v>2025-10-27</x:v>
      </x:c>
      <x:c r="I216" s="64" t="str">
        <x:v>standardization</x:v>
      </x:c>
      <x:c r="J216" s="64" t="str">
        <x:v>Converted the source text date to a true spreadsheet date and standardized its display without changing the calendar date.</x:v>
      </x:c>
      <x:c r="K216" s="64" t="str">
        <x:v>PASS — parsed source date equals cleaned date</x:v>
      </x:c>
      <x:c r="L216" s="64" t="str">
        <x:v>High</x:v>
      </x:c>
      <x:c r="M216" s="64" t="str">
        <x:v>Instructor Approved</x:v>
      </x:c>
    </x:row>
    <x:row r="217">
      <x:c r="A217" s="64" t="str">
        <x:v>AUD-0216</x:v>
      </x:c>
      <x:c r="B217" s="64" t="n">
        <x:v>217</x:v>
      </x:c>
      <x:c r="C217" s="64" t="str">
        <x:v>PO-2025-0216</x:v>
      </x:c>
      <x:c r="D217" s="64" t="str">
        <x:v>PO-2025-0216</x:v>
      </x:c>
      <x:c r="E217" s="64" t="str">
        <x:v>B217</x:v>
      </x:c>
      <x:c r="F217" s="64" t="str">
        <x:v>PO_Date</x:v>
      </x:c>
      <x:c r="G217" s="64" t="str">
        <x:v>09/10/2025</x:v>
      </x:c>
      <x:c r="H217" s="64" t="str">
        <x:v>2025-10-09</x:v>
      </x:c>
      <x:c r="I217" s="64" t="str">
        <x:v>standardization</x:v>
      </x:c>
      <x:c r="J217" s="64" t="str">
        <x:v>Converted the source text date to a true spreadsheet date and standardized its display without changing the calendar date.</x:v>
      </x:c>
      <x:c r="K217" s="64" t="str">
        <x:v>PASS — parsed source date equals cleaned date</x:v>
      </x:c>
      <x:c r="L217" s="64" t="str">
        <x:v>High</x:v>
      </x:c>
      <x:c r="M217" s="64" t="str">
        <x:v>Instructor Approved</x:v>
      </x:c>
    </x:row>
    <x:row r="218">
      <x:c r="A218" s="64" t="str">
        <x:v>AUD-0217</x:v>
      </x:c>
      <x:c r="B218" s="64" t="n">
        <x:v>218</x:v>
      </x:c>
      <x:c r="C218" s="64" t="str">
        <x:v>PO-2025-0217</x:v>
      </x:c>
      <x:c r="D218" s="64" t="str">
        <x:v>PO-2025-0217</x:v>
      </x:c>
      <x:c r="E218" s="64" t="str">
        <x:v>B218</x:v>
      </x:c>
      <x:c r="F218" s="64" t="str">
        <x:v>PO_Date</x:v>
      </x:c>
      <x:c r="G218" s="64" t="str">
        <x:v>12/11/2025</x:v>
      </x:c>
      <x:c r="H218" s="64" t="str">
        <x:v>2025-11-12</x:v>
      </x:c>
      <x:c r="I218" s="64" t="str">
        <x:v>standardization</x:v>
      </x:c>
      <x:c r="J218" s="64" t="str">
        <x:v>Converted the source text date to a true spreadsheet date and standardized its display without changing the calendar date.</x:v>
      </x:c>
      <x:c r="K218" s="64" t="str">
        <x:v>PASS — parsed source date equals cleaned date</x:v>
      </x:c>
      <x:c r="L218" s="64" t="str">
        <x:v>High</x:v>
      </x:c>
      <x:c r="M218" s="64" t="str">
        <x:v>Instructor Approved</x:v>
      </x:c>
    </x:row>
    <x:row r="219">
      <x:c r="A219" s="64" t="str">
        <x:v>AUD-0218</x:v>
      </x:c>
      <x:c r="B219" s="64" t="n">
        <x:v>219</x:v>
      </x:c>
      <x:c r="C219" s="64" t="str">
        <x:v>PO-2025-0218</x:v>
      </x:c>
      <x:c r="D219" s="64" t="str">
        <x:v>PO-2025-0218</x:v>
      </x:c>
      <x:c r="E219" s="64" t="str">
        <x:v>B219</x:v>
      </x:c>
      <x:c r="F219" s="64" t="str">
        <x:v>PO_Date</x:v>
      </x:c>
      <x:c r="G219" s="64" t="str">
        <x:v>28/08/2025</x:v>
      </x:c>
      <x:c r="H219" s="64" t="str">
        <x:v>2025-08-28</x:v>
      </x:c>
      <x:c r="I219" s="64" t="str">
        <x:v>standardization</x:v>
      </x:c>
      <x:c r="J219" s="64" t="str">
        <x:v>Converted the source text date to a true spreadsheet date and standardized its display without changing the calendar date.</x:v>
      </x:c>
      <x:c r="K219" s="64" t="str">
        <x:v>PASS — parsed source date equals cleaned date</x:v>
      </x:c>
      <x:c r="L219" s="64" t="str">
        <x:v>High</x:v>
      </x:c>
      <x:c r="M219" s="64" t="str">
        <x:v>Instructor Approved</x:v>
      </x:c>
    </x:row>
    <x:row r="220">
      <x:c r="A220" s="64" t="str">
        <x:v>AUD-0219</x:v>
      </x:c>
      <x:c r="B220" s="64" t="n">
        <x:v>220</x:v>
      </x:c>
      <x:c r="C220" s="64" t="str">
        <x:v>PO-2025-0219</x:v>
      </x:c>
      <x:c r="D220" s="64" t="str">
        <x:v>PO-2025-0219</x:v>
      </x:c>
      <x:c r="E220" s="64" t="str">
        <x:v>B220</x:v>
      </x:c>
      <x:c r="F220" s="64" t="str">
        <x:v>PO_Date</x:v>
      </x:c>
      <x:c r="G220" s="64" t="str">
        <x:v>24/07/2025</x:v>
      </x:c>
      <x:c r="H220" s="64" t="str">
        <x:v>2025-07-24</x:v>
      </x:c>
      <x:c r="I220" s="64" t="str">
        <x:v>standardization</x:v>
      </x:c>
      <x:c r="J220" s="64" t="str">
        <x:v>Converted the source text date to a true spreadsheet date and standardized its display without changing the calendar date.</x:v>
      </x:c>
      <x:c r="K220" s="64" t="str">
        <x:v>PASS — parsed source date equals cleaned date</x:v>
      </x:c>
      <x:c r="L220" s="64" t="str">
        <x:v>High</x:v>
      </x:c>
      <x:c r="M220" s="64" t="str">
        <x:v>Instructor Approved</x:v>
      </x:c>
    </x:row>
    <x:row r="221">
      <x:c r="A221" s="64" t="str">
        <x:v>AUD-0220</x:v>
      </x:c>
      <x:c r="B221" s="64" t="n">
        <x:v>221</x:v>
      </x:c>
      <x:c r="C221" s="64" t="str">
        <x:v>PO-2025-0220</x:v>
      </x:c>
      <x:c r="D221" s="64" t="str">
        <x:v>PO-2025-0220</x:v>
      </x:c>
      <x:c r="E221" s="64" t="str">
        <x:v>B221</x:v>
      </x:c>
      <x:c r="F221" s="64" t="str">
        <x:v>PO_Date</x:v>
      </x:c>
      <x:c r="G221" s="64" t="str">
        <x:v>12/01/2025</x:v>
      </x:c>
      <x:c r="H221" s="64" t="str">
        <x:v>2025-01-12</x:v>
      </x:c>
      <x:c r="I221" s="64" t="str">
        <x:v>standardization</x:v>
      </x:c>
      <x:c r="J221" s="64" t="str">
        <x:v>Converted the source text date to a true spreadsheet date and standardized its display without changing the calendar date.</x:v>
      </x:c>
      <x:c r="K221" s="64" t="str">
        <x:v>PASS — parsed source date equals cleaned date</x:v>
      </x:c>
      <x:c r="L221" s="64" t="str">
        <x:v>High</x:v>
      </x:c>
      <x:c r="M221" s="64" t="str">
        <x:v>Instructor Approved</x:v>
      </x:c>
    </x:row>
    <x:row r="222">
      <x:c r="A222" s="64" t="str">
        <x:v>AUD-0221</x:v>
      </x:c>
      <x:c r="B222" s="64" t="n">
        <x:v>222</x:v>
      </x:c>
      <x:c r="C222" s="64" t="str">
        <x:v>PO-2025-0221</x:v>
      </x:c>
      <x:c r="D222" s="64" t="str">
        <x:v>PO-2025-0221</x:v>
      </x:c>
      <x:c r="E222" s="64" t="str">
        <x:v>B222</x:v>
      </x:c>
      <x:c r="F222" s="64" t="str">
        <x:v>PO_Date</x:v>
      </x:c>
      <x:c r="G222" s="64" t="str">
        <x:v>08/02/2025</x:v>
      </x:c>
      <x:c r="H222" s="64" t="str">
        <x:v>2025-02-08</x:v>
      </x:c>
      <x:c r="I222" s="64" t="str">
        <x:v>standardization</x:v>
      </x:c>
      <x:c r="J222" s="64" t="str">
        <x:v>Converted the source text date to a true spreadsheet date and standardized its display without changing the calendar date.</x:v>
      </x:c>
      <x:c r="K222" s="64" t="str">
        <x:v>PASS — parsed source date equals cleaned date</x:v>
      </x:c>
      <x:c r="L222" s="64" t="str">
        <x:v>High</x:v>
      </x:c>
      <x:c r="M222" s="64" t="str">
        <x:v>Instructor Approved</x:v>
      </x:c>
    </x:row>
    <x:row r="223">
      <x:c r="A223" s="64" t="str">
        <x:v>AUD-0222</x:v>
      </x:c>
      <x:c r="B223" s="64" t="n">
        <x:v>223</x:v>
      </x:c>
      <x:c r="C223" s="64" t="str">
        <x:v>PO-2025-0222</x:v>
      </x:c>
      <x:c r="D223" s="64" t="str">
        <x:v>PO-2025-0222</x:v>
      </x:c>
      <x:c r="E223" s="64" t="str">
        <x:v>B223</x:v>
      </x:c>
      <x:c r="F223" s="64" t="str">
        <x:v>PO_Date</x:v>
      </x:c>
      <x:c r="G223" s="64" t="str">
        <x:v>24/06/2025</x:v>
      </x:c>
      <x:c r="H223" s="64" t="str">
        <x:v>2025-06-24</x:v>
      </x:c>
      <x:c r="I223" s="64" t="str">
        <x:v>standardization</x:v>
      </x:c>
      <x:c r="J223" s="64" t="str">
        <x:v>Converted the source text date to a true spreadsheet date and standardized its display without changing the calendar date.</x:v>
      </x:c>
      <x:c r="K223" s="64" t="str">
        <x:v>PASS — parsed source date equals cleaned date</x:v>
      </x:c>
      <x:c r="L223" s="64" t="str">
        <x:v>High</x:v>
      </x:c>
      <x:c r="M223" s="64" t="str">
        <x:v>Instructor Approved</x:v>
      </x:c>
    </x:row>
    <x:row r="224">
      <x:c r="A224" s="64" t="str">
        <x:v>AUD-0223</x:v>
      </x:c>
      <x:c r="B224" s="64" t="n">
        <x:v>224</x:v>
      </x:c>
      <x:c r="C224" s="64" t="str">
        <x:v>PO-2025-0223</x:v>
      </x:c>
      <x:c r="D224" s="64" t="str">
        <x:v>PO-2025-0223</x:v>
      </x:c>
      <x:c r="E224" s="64" t="str">
        <x:v>B224</x:v>
      </x:c>
      <x:c r="F224" s="64" t="str">
        <x:v>PO_Date</x:v>
      </x:c>
      <x:c r="G224" s="64" t="str">
        <x:v>11/08/2025</x:v>
      </x:c>
      <x:c r="H224" s="64" t="str">
        <x:v>2025-08-11</x:v>
      </x:c>
      <x:c r="I224" s="64" t="str">
        <x:v>standardization</x:v>
      </x:c>
      <x:c r="J224" s="64" t="str">
        <x:v>Converted the source text date to a true spreadsheet date and standardized its display without changing the calendar date.</x:v>
      </x:c>
      <x:c r="K224" s="64" t="str">
        <x:v>PASS — parsed source date equals cleaned date</x:v>
      </x:c>
      <x:c r="L224" s="64" t="str">
        <x:v>High</x:v>
      </x:c>
      <x:c r="M224" s="64" t="str">
        <x:v>Instructor Approved</x:v>
      </x:c>
    </x:row>
    <x:row r="225">
      <x:c r="A225" s="64" t="str">
        <x:v>AUD-0224</x:v>
      </x:c>
      <x:c r="B225" s="64" t="n">
        <x:v>225</x:v>
      </x:c>
      <x:c r="C225" s="64" t="str">
        <x:v>PO-2025-0224</x:v>
      </x:c>
      <x:c r="D225" s="64" t="str">
        <x:v>PO-2025-0224</x:v>
      </x:c>
      <x:c r="E225" s="64" t="str">
        <x:v>B225</x:v>
      </x:c>
      <x:c r="F225" s="64" t="str">
        <x:v>PO_Date</x:v>
      </x:c>
      <x:c r="G225" s="64" t="str">
        <x:v>02/09/2025</x:v>
      </x:c>
      <x:c r="H225" s="64" t="str">
        <x:v>2025-09-02</x:v>
      </x:c>
      <x:c r="I225" s="64" t="str">
        <x:v>standardization</x:v>
      </x:c>
      <x:c r="J225" s="64" t="str">
        <x:v>Converted the source text date to a true spreadsheet date and standardized its display without changing the calendar date.</x:v>
      </x:c>
      <x:c r="K225" s="64" t="str">
        <x:v>PASS — parsed source date equals cleaned date</x:v>
      </x:c>
      <x:c r="L225" s="64" t="str">
        <x:v>High</x:v>
      </x:c>
      <x:c r="M225" s="64" t="str">
        <x:v>Instructor Approved</x:v>
      </x:c>
    </x:row>
    <x:row r="226">
      <x:c r="A226" s="64" t="str">
        <x:v>AUD-0225</x:v>
      </x:c>
      <x:c r="B226" s="64" t="n">
        <x:v>226</x:v>
      </x:c>
      <x:c r="C226" s="64" t="str">
        <x:v>PO-2025-0225</x:v>
      </x:c>
      <x:c r="D226" s="64" t="str">
        <x:v>PO-2025-0225</x:v>
      </x:c>
      <x:c r="E226" s="64" t="str">
        <x:v>B226</x:v>
      </x:c>
      <x:c r="F226" s="64" t="str">
        <x:v>PO_Date</x:v>
      </x:c>
      <x:c r="G226" s="64" t="str">
        <x:v>18/10/2025</x:v>
      </x:c>
      <x:c r="H226" s="64" t="str">
        <x:v>2025-10-18</x:v>
      </x:c>
      <x:c r="I226" s="64" t="str">
        <x:v>standardization</x:v>
      </x:c>
      <x:c r="J226" s="64" t="str">
        <x:v>Converted the source text date to a true spreadsheet date and standardized its display without changing the calendar date.</x:v>
      </x:c>
      <x:c r="K226" s="64" t="str">
        <x:v>PASS — parsed source date equals cleaned date</x:v>
      </x:c>
      <x:c r="L226" s="64" t="str">
        <x:v>High</x:v>
      </x:c>
      <x:c r="M226" s="64" t="str">
        <x:v>Instructor Approved</x:v>
      </x:c>
    </x:row>
    <x:row r="227">
      <x:c r="A227" s="64" t="str">
        <x:v>AUD-0226</x:v>
      </x:c>
      <x:c r="B227" s="64" t="n">
        <x:v>227</x:v>
      </x:c>
      <x:c r="C227" s="64" t="str">
        <x:v>PO-2025-0226</x:v>
      </x:c>
      <x:c r="D227" s="64" t="str">
        <x:v>PO-2025-0226</x:v>
      </x:c>
      <x:c r="E227" s="64" t="str">
        <x:v>B227</x:v>
      </x:c>
      <x:c r="F227" s="64" t="str">
        <x:v>PO_Date</x:v>
      </x:c>
      <x:c r="G227" s="64" t="str">
        <x:v>25/08/2025</x:v>
      </x:c>
      <x:c r="H227" s="64" t="str">
        <x:v>2025-08-25</x:v>
      </x:c>
      <x:c r="I227" s="64" t="str">
        <x:v>standardization</x:v>
      </x:c>
      <x:c r="J227" s="64" t="str">
        <x:v>Converted the source text date to a true spreadsheet date and standardized its display without changing the calendar date.</x:v>
      </x:c>
      <x:c r="K227" s="64" t="str">
        <x:v>PASS — parsed source date equals cleaned date</x:v>
      </x:c>
      <x:c r="L227" s="64" t="str">
        <x:v>High</x:v>
      </x:c>
      <x:c r="M227" s="64" t="str">
        <x:v>Instructor Approved</x:v>
      </x:c>
    </x:row>
    <x:row r="228">
      <x:c r="A228" s="64" t="str">
        <x:v>AUD-0227</x:v>
      </x:c>
      <x:c r="B228" s="64" t="n">
        <x:v>228</x:v>
      </x:c>
      <x:c r="C228" s="64" t="str">
        <x:v>PO-2025-0227</x:v>
      </x:c>
      <x:c r="D228" s="64" t="str">
        <x:v>PO-2025-0227</x:v>
      </x:c>
      <x:c r="E228" s="64" t="str">
        <x:v>B228</x:v>
      </x:c>
      <x:c r="F228" s="64" t="str">
        <x:v>PO_Date</x:v>
      </x:c>
      <x:c r="G228" s="64" t="str">
        <x:v>06/07/2025</x:v>
      </x:c>
      <x:c r="H228" s="64" t="str">
        <x:v>2025-07-06</x:v>
      </x:c>
      <x:c r="I228" s="64" t="str">
        <x:v>standardization</x:v>
      </x:c>
      <x:c r="J228" s="64" t="str">
        <x:v>Converted the source text date to a true spreadsheet date and standardized its display without changing the calendar date.</x:v>
      </x:c>
      <x:c r="K228" s="64" t="str">
        <x:v>PASS — parsed source date equals cleaned date</x:v>
      </x:c>
      <x:c r="L228" s="64" t="str">
        <x:v>High</x:v>
      </x:c>
      <x:c r="M228" s="64" t="str">
        <x:v>Instructor Approved</x:v>
      </x:c>
    </x:row>
    <x:row r="229">
      <x:c r="A229" s="64" t="str">
        <x:v>AUD-0228</x:v>
      </x:c>
      <x:c r="B229" s="64" t="n">
        <x:v>229</x:v>
      </x:c>
      <x:c r="C229" s="64" t="str">
        <x:v>PO-2025-0228</x:v>
      </x:c>
      <x:c r="D229" s="64" t="str">
        <x:v>PO-2025-0228</x:v>
      </x:c>
      <x:c r="E229" s="64" t="str">
        <x:v>B229</x:v>
      </x:c>
      <x:c r="F229" s="64" t="str">
        <x:v>PO_Date</x:v>
      </x:c>
      <x:c r="G229" s="64" t="str">
        <x:v>09/06/2025</x:v>
      </x:c>
      <x:c r="H229" s="64" t="str">
        <x:v>2025-06-09</x:v>
      </x:c>
      <x:c r="I229" s="64" t="str">
        <x:v>standardization</x:v>
      </x:c>
      <x:c r="J229" s="64" t="str">
        <x:v>Converted the source text date to a true spreadsheet date and standardized its display without changing the calendar date.</x:v>
      </x:c>
      <x:c r="K229" s="64" t="str">
        <x:v>PASS — parsed source date equals cleaned date</x:v>
      </x:c>
      <x:c r="L229" s="64" t="str">
        <x:v>High</x:v>
      </x:c>
      <x:c r="M229" s="64" t="str">
        <x:v>Instructor Approved</x:v>
      </x:c>
    </x:row>
    <x:row r="230">
      <x:c r="A230" s="64" t="str">
        <x:v>AUD-0229</x:v>
      </x:c>
      <x:c r="B230" s="64" t="n">
        <x:v>230</x:v>
      </x:c>
      <x:c r="C230" s="64" t="str">
        <x:v>PO-2025-0229</x:v>
      </x:c>
      <x:c r="D230" s="64" t="str">
        <x:v>PO-2025-0229</x:v>
      </x:c>
      <x:c r="E230" s="64" t="str">
        <x:v>B230</x:v>
      </x:c>
      <x:c r="F230" s="64" t="str">
        <x:v>PO_Date</x:v>
      </x:c>
      <x:c r="G230" s="64" t="str">
        <x:v>26/10/2025</x:v>
      </x:c>
      <x:c r="H230" s="64" t="str">
        <x:v>2025-10-26</x:v>
      </x:c>
      <x:c r="I230" s="64" t="str">
        <x:v>standardization</x:v>
      </x:c>
      <x:c r="J230" s="64" t="str">
        <x:v>Converted the source text date to a true spreadsheet date and standardized its display without changing the calendar date.</x:v>
      </x:c>
      <x:c r="K230" s="64" t="str">
        <x:v>PASS — parsed source date equals cleaned date</x:v>
      </x:c>
      <x:c r="L230" s="64" t="str">
        <x:v>High</x:v>
      </x:c>
      <x:c r="M230" s="64" t="str">
        <x:v>Instructor Approved</x:v>
      </x:c>
    </x:row>
    <x:row r="231">
      <x:c r="A231" s="64" t="str">
        <x:v>AUD-0230</x:v>
      </x:c>
      <x:c r="B231" s="64" t="n">
        <x:v>231</x:v>
      </x:c>
      <x:c r="C231" s="64" t="str">
        <x:v>PO-2025-0230</x:v>
      </x:c>
      <x:c r="D231" s="64" t="str">
        <x:v>PO-2025-0230</x:v>
      </x:c>
      <x:c r="E231" s="64" t="str">
        <x:v>B231</x:v>
      </x:c>
      <x:c r="F231" s="64" t="str">
        <x:v>PO_Date</x:v>
      </x:c>
      <x:c r="G231" s="64" t="str">
        <x:v>15/08/2025</x:v>
      </x:c>
      <x:c r="H231" s="64" t="str">
        <x:v>2025-08-15</x:v>
      </x:c>
      <x:c r="I231" s="64" t="str">
        <x:v>standardization</x:v>
      </x:c>
      <x:c r="J231" s="64" t="str">
        <x:v>Converted the source text date to a true spreadsheet date and standardized its display without changing the calendar date.</x:v>
      </x:c>
      <x:c r="K231" s="64" t="str">
        <x:v>PASS — parsed source date equals cleaned date</x:v>
      </x:c>
      <x:c r="L231" s="64" t="str">
        <x:v>High</x:v>
      </x:c>
      <x:c r="M231" s="64" t="str">
        <x:v>Instructor Approved</x:v>
      </x:c>
    </x:row>
    <x:row r="232">
      <x:c r="A232" s="64" t="str">
        <x:v>AUD-0231</x:v>
      </x:c>
      <x:c r="B232" s="64" t="n">
        <x:v>232</x:v>
      </x:c>
      <x:c r="C232" s="64" t="str">
        <x:v>PO-2025-0231</x:v>
      </x:c>
      <x:c r="D232" s="64" t="str">
        <x:v>PO-2025-0231</x:v>
      </x:c>
      <x:c r="E232" s="64" t="str">
        <x:v>B232</x:v>
      </x:c>
      <x:c r="F232" s="64" t="str">
        <x:v>PO_Date</x:v>
      </x:c>
      <x:c r="G232" s="64" t="str">
        <x:v>31/03/2025</x:v>
      </x:c>
      <x:c r="H232" s="64" t="str">
        <x:v>2025-03-31</x:v>
      </x:c>
      <x:c r="I232" s="64" t="str">
        <x:v>standardization</x:v>
      </x:c>
      <x:c r="J232" s="64" t="str">
        <x:v>Converted the source text date to a true spreadsheet date and standardized its display without changing the calendar date.</x:v>
      </x:c>
      <x:c r="K232" s="64" t="str">
        <x:v>PASS — parsed source date equals cleaned date</x:v>
      </x:c>
      <x:c r="L232" s="64" t="str">
        <x:v>High</x:v>
      </x:c>
      <x:c r="M232" s="64" t="str">
        <x:v>Instructor Approved</x:v>
      </x:c>
    </x:row>
    <x:row r="233">
      <x:c r="A233" s="64" t="str">
        <x:v>AUD-0232</x:v>
      </x:c>
      <x:c r="B233" s="64" t="n">
        <x:v>233</x:v>
      </x:c>
      <x:c r="C233" s="64" t="str">
        <x:v>PO-2025-0232</x:v>
      </x:c>
      <x:c r="D233" s="64" t="str">
        <x:v>PO-2025-0232</x:v>
      </x:c>
      <x:c r="E233" s="64" t="str">
        <x:v>B233</x:v>
      </x:c>
      <x:c r="F233" s="64" t="str">
        <x:v>PO_Date</x:v>
      </x:c>
      <x:c r="G233" s="64" t="str">
        <x:v>25/01/2025</x:v>
      </x:c>
      <x:c r="H233" s="64" t="str">
        <x:v>2025-01-25</x:v>
      </x:c>
      <x:c r="I233" s="64" t="str">
        <x:v>standardization</x:v>
      </x:c>
      <x:c r="J233" s="64" t="str">
        <x:v>Converted the source text date to a true spreadsheet date and standardized its display without changing the calendar date.</x:v>
      </x:c>
      <x:c r="K233" s="64" t="str">
        <x:v>PASS — parsed source date equals cleaned date</x:v>
      </x:c>
      <x:c r="L233" s="64" t="str">
        <x:v>High</x:v>
      </x:c>
      <x:c r="M233" s="64" t="str">
        <x:v>Instructor Approved</x:v>
      </x:c>
    </x:row>
    <x:row r="234">
      <x:c r="A234" s="64" t="str">
        <x:v>AUD-0233</x:v>
      </x:c>
      <x:c r="B234" s="64" t="n">
        <x:v>234</x:v>
      </x:c>
      <x:c r="C234" s="64" t="str">
        <x:v>PO-2025-0233</x:v>
      </x:c>
      <x:c r="D234" s="64" t="str">
        <x:v>PO-2025-0233</x:v>
      </x:c>
      <x:c r="E234" s="64" t="str">
        <x:v>B234</x:v>
      </x:c>
      <x:c r="F234" s="64" t="str">
        <x:v>PO_Date</x:v>
      </x:c>
      <x:c r="G234" s="64" t="str">
        <x:v>11/11/2025</x:v>
      </x:c>
      <x:c r="H234" s="64" t="str">
        <x:v>2025-11-11</x:v>
      </x:c>
      <x:c r="I234" s="64" t="str">
        <x:v>standardization</x:v>
      </x:c>
      <x:c r="J234" s="64" t="str">
        <x:v>Converted the source text date to a true spreadsheet date and standardized its display without changing the calendar date.</x:v>
      </x:c>
      <x:c r="K234" s="64" t="str">
        <x:v>PASS — parsed source date equals cleaned date</x:v>
      </x:c>
      <x:c r="L234" s="64" t="str">
        <x:v>High</x:v>
      </x:c>
      <x:c r="M234" s="64" t="str">
        <x:v>Instructor Approved</x:v>
      </x:c>
    </x:row>
    <x:row r="235">
      <x:c r="A235" s="64" t="str">
        <x:v>AUD-0234</x:v>
      </x:c>
      <x:c r="B235" s="64" t="n">
        <x:v>235</x:v>
      </x:c>
      <x:c r="C235" s="64" t="str">
        <x:v>PO-2025-0234</x:v>
      </x:c>
      <x:c r="D235" s="64" t="str">
        <x:v>PO-2025-0234</x:v>
      </x:c>
      <x:c r="E235" s="64" t="str">
        <x:v>B235</x:v>
      </x:c>
      <x:c r="F235" s="64" t="str">
        <x:v>PO_Date</x:v>
      </x:c>
      <x:c r="G235" s="64" t="str">
        <x:v>08/05/2025</x:v>
      </x:c>
      <x:c r="H235" s="64" t="str">
        <x:v>2025-05-08</x:v>
      </x:c>
      <x:c r="I235" s="64" t="str">
        <x:v>standardization</x:v>
      </x:c>
      <x:c r="J235" s="64" t="str">
        <x:v>Converted the source text date to a true spreadsheet date and standardized its display without changing the calendar date.</x:v>
      </x:c>
      <x:c r="K235" s="64" t="str">
        <x:v>PASS — parsed source date equals cleaned date</x:v>
      </x:c>
      <x:c r="L235" s="64" t="str">
        <x:v>High</x:v>
      </x:c>
      <x:c r="M235" s="64" t="str">
        <x:v>Instructor Approved</x:v>
      </x:c>
    </x:row>
    <x:row r="236">
      <x:c r="A236" s="64" t="str">
        <x:v>AUD-0235</x:v>
      </x:c>
      <x:c r="B236" s="64" t="n">
        <x:v>236</x:v>
      </x:c>
      <x:c r="C236" s="64" t="str">
        <x:v>PO-2025-0235</x:v>
      </x:c>
      <x:c r="D236" s="64" t="str">
        <x:v>PO-2025-0235</x:v>
      </x:c>
      <x:c r="E236" s="64" t="str">
        <x:v>B236</x:v>
      </x:c>
      <x:c r="F236" s="64" t="str">
        <x:v>PO_Date</x:v>
      </x:c>
      <x:c r="G236" s="64" t="str">
        <x:v>29/08/2025</x:v>
      </x:c>
      <x:c r="H236" s="64" t="str">
        <x:v>2025-08-29</x:v>
      </x:c>
      <x:c r="I236" s="64" t="str">
        <x:v>standardization</x:v>
      </x:c>
      <x:c r="J236" s="64" t="str">
        <x:v>Converted the source text date to a true spreadsheet date and standardized its display without changing the calendar date.</x:v>
      </x:c>
      <x:c r="K236" s="64" t="str">
        <x:v>PASS — parsed source date equals cleaned date</x:v>
      </x:c>
      <x:c r="L236" s="64" t="str">
        <x:v>High</x:v>
      </x:c>
      <x:c r="M236" s="64" t="str">
        <x:v>Instructor Approved</x:v>
      </x:c>
    </x:row>
    <x:row r="237">
      <x:c r="A237" s="64" t="str">
        <x:v>AUD-0236</x:v>
      </x:c>
      <x:c r="B237" s="64" t="n">
        <x:v>237</x:v>
      </x:c>
      <x:c r="C237" s="64" t="str">
        <x:v>PO-2025-0236</x:v>
      </x:c>
      <x:c r="D237" s="64" t="str">
        <x:v>PO-2025-0236</x:v>
      </x:c>
      <x:c r="E237" s="64" t="str">
        <x:v>B237</x:v>
      </x:c>
      <x:c r="F237" s="64" t="str">
        <x:v>PO_Date</x:v>
      </x:c>
      <x:c r="G237" s="64" t="str">
        <x:v>30/09/2025</x:v>
      </x:c>
      <x:c r="H237" s="64" t="str">
        <x:v>2025-09-30</x:v>
      </x:c>
      <x:c r="I237" s="64" t="str">
        <x:v>standardization</x:v>
      </x:c>
      <x:c r="J237" s="64" t="str">
        <x:v>Converted the source text date to a true spreadsheet date and standardized its display without changing the calendar date.</x:v>
      </x:c>
      <x:c r="K237" s="64" t="str">
        <x:v>PASS — parsed source date equals cleaned date</x:v>
      </x:c>
      <x:c r="L237" s="64" t="str">
        <x:v>High</x:v>
      </x:c>
      <x:c r="M237" s="64" t="str">
        <x:v>Instructor Approved</x:v>
      </x:c>
    </x:row>
    <x:row r="238">
      <x:c r="A238" s="64" t="str">
        <x:v>AUD-0237</x:v>
      </x:c>
      <x:c r="B238" s="64" t="n">
        <x:v>238</x:v>
      </x:c>
      <x:c r="C238" s="64" t="str">
        <x:v>PO-2025-0237</x:v>
      </x:c>
      <x:c r="D238" s="64" t="str">
        <x:v>PO-2025-0237</x:v>
      </x:c>
      <x:c r="E238" s="64" t="str">
        <x:v>B238</x:v>
      </x:c>
      <x:c r="F238" s="64" t="str">
        <x:v>PO_Date</x:v>
      </x:c>
      <x:c r="G238" s="64" t="str">
        <x:v>13/10/2025</x:v>
      </x:c>
      <x:c r="H238" s="64" t="str">
        <x:v>2025-10-13</x:v>
      </x:c>
      <x:c r="I238" s="64" t="str">
        <x:v>standardization</x:v>
      </x:c>
      <x:c r="J238" s="64" t="str">
        <x:v>Converted the source text date to a true spreadsheet date and standardized its display without changing the calendar date.</x:v>
      </x:c>
      <x:c r="K238" s="64" t="str">
        <x:v>PASS — parsed source date equals cleaned date</x:v>
      </x:c>
      <x:c r="L238" s="64" t="str">
        <x:v>High</x:v>
      </x:c>
      <x:c r="M238" s="64" t="str">
        <x:v>Instructor Approved</x:v>
      </x:c>
    </x:row>
    <x:row r="239">
      <x:c r="A239" s="64" t="str">
        <x:v>AUD-0238</x:v>
      </x:c>
      <x:c r="B239" s="64" t="n">
        <x:v>239</x:v>
      </x:c>
      <x:c r="C239" s="64" t="str">
        <x:v>PO-2025-0238</x:v>
      </x:c>
      <x:c r="D239" s="64" t="str">
        <x:v>PO-2025-0238</x:v>
      </x:c>
      <x:c r="E239" s="64" t="str">
        <x:v>B239</x:v>
      </x:c>
      <x:c r="F239" s="64" t="str">
        <x:v>PO_Date</x:v>
      </x:c>
      <x:c r="G239" s="64" t="str">
        <x:v>01/10/2025</x:v>
      </x:c>
      <x:c r="H239" s="64" t="str">
        <x:v>2025-10-01</x:v>
      </x:c>
      <x:c r="I239" s="64" t="str">
        <x:v>standardization</x:v>
      </x:c>
      <x:c r="J239" s="64" t="str">
        <x:v>Converted the source text date to a true spreadsheet date and standardized its display without changing the calendar date.</x:v>
      </x:c>
      <x:c r="K239" s="64" t="str">
        <x:v>PASS — parsed source date equals cleaned date</x:v>
      </x:c>
      <x:c r="L239" s="64" t="str">
        <x:v>High</x:v>
      </x:c>
      <x:c r="M239" s="64" t="str">
        <x:v>Instructor Approved</x:v>
      </x:c>
    </x:row>
    <x:row r="240">
      <x:c r="A240" s="64" t="str">
        <x:v>AUD-0239</x:v>
      </x:c>
      <x:c r="B240" s="64" t="n">
        <x:v>240</x:v>
      </x:c>
      <x:c r="C240" s="64" t="str">
        <x:v>PO-2025-0239</x:v>
      </x:c>
      <x:c r="D240" s="64" t="str">
        <x:v>PO-2025-0239</x:v>
      </x:c>
      <x:c r="E240" s="64" t="str">
        <x:v>B240</x:v>
      </x:c>
      <x:c r="F240" s="64" t="str">
        <x:v>PO_Date</x:v>
      </x:c>
      <x:c r="G240" s="64" t="str">
        <x:v>19/07/2025</x:v>
      </x:c>
      <x:c r="H240" s="64" t="str">
        <x:v>2025-07-19</x:v>
      </x:c>
      <x:c r="I240" s="64" t="str">
        <x:v>standardization</x:v>
      </x:c>
      <x:c r="J240" s="64" t="str">
        <x:v>Converted the source text date to a true spreadsheet date and standardized its display without changing the calendar date.</x:v>
      </x:c>
      <x:c r="K240" s="64" t="str">
        <x:v>PASS — parsed source date equals cleaned date</x:v>
      </x:c>
      <x:c r="L240" s="64" t="str">
        <x:v>High</x:v>
      </x:c>
      <x:c r="M240" s="64" t="str">
        <x:v>Instructor Approved</x:v>
      </x:c>
    </x:row>
    <x:row r="241">
      <x:c r="A241" s="64" t="str">
        <x:v>AUD-0240</x:v>
      </x:c>
      <x:c r="B241" s="64" t="n">
        <x:v>241</x:v>
      </x:c>
      <x:c r="C241" s="64" t="str">
        <x:v>PO-2025-0240</x:v>
      </x:c>
      <x:c r="D241" s="64" t="str">
        <x:v>PO-2025-0240</x:v>
      </x:c>
      <x:c r="E241" s="64" t="str">
        <x:v>B241</x:v>
      </x:c>
      <x:c r="F241" s="64" t="str">
        <x:v>PO_Date</x:v>
      </x:c>
      <x:c r="G241" s="64" t="str">
        <x:v>30/11/2025</x:v>
      </x:c>
      <x:c r="H241" s="64" t="str">
        <x:v>2025-11-30</x:v>
      </x:c>
      <x:c r="I241" s="64" t="str">
        <x:v>standardization</x:v>
      </x:c>
      <x:c r="J241" s="64" t="str">
        <x:v>Converted the source text date to a true spreadsheet date and standardized its display without changing the calendar date.</x:v>
      </x:c>
      <x:c r="K241" s="64" t="str">
        <x:v>PASS — parsed source date equals cleaned date</x:v>
      </x:c>
      <x:c r="L241" s="64" t="str">
        <x:v>High</x:v>
      </x:c>
      <x:c r="M241" s="64" t="str">
        <x:v>Instructor Approved</x:v>
      </x:c>
    </x:row>
    <x:row r="242">
      <x:c r="A242" s="64" t="str">
        <x:v>AUD-0241</x:v>
      </x:c>
      <x:c r="B242" s="64" t="n">
        <x:v>242</x:v>
      </x:c>
      <x:c r="C242" s="64" t="str">
        <x:v>PO-2025-0241</x:v>
      </x:c>
      <x:c r="D242" s="64" t="str">
        <x:v>PO-2025-0241</x:v>
      </x:c>
      <x:c r="E242" s="64" t="str">
        <x:v>B242</x:v>
      </x:c>
      <x:c r="F242" s="64" t="str">
        <x:v>PO_Date</x:v>
      </x:c>
      <x:c r="G242" s="64" t="str">
        <x:v>20/06/2025</x:v>
      </x:c>
      <x:c r="H242" s="64" t="str">
        <x:v>2025-06-20</x:v>
      </x:c>
      <x:c r="I242" s="64" t="str">
        <x:v>standardization</x:v>
      </x:c>
      <x:c r="J242" s="64" t="str">
        <x:v>Converted the source text date to a true spreadsheet date and standardized its display without changing the calendar date.</x:v>
      </x:c>
      <x:c r="K242" s="64" t="str">
        <x:v>PASS — parsed source date equals cleaned date</x:v>
      </x:c>
      <x:c r="L242" s="64" t="str">
        <x:v>High</x:v>
      </x:c>
      <x:c r="M242" s="64" t="str">
        <x:v>Instructor Approved</x:v>
      </x:c>
    </x:row>
    <x:row r="243">
      <x:c r="A243" s="64" t="str">
        <x:v>AUD-0242</x:v>
      </x:c>
      <x:c r="B243" s="64" t="n">
        <x:v>243</x:v>
      </x:c>
      <x:c r="C243" s="64" t="str">
        <x:v>PO-2025-0242</x:v>
      </x:c>
      <x:c r="D243" s="64" t="str">
        <x:v>PO-2025-0242</x:v>
      </x:c>
      <x:c r="E243" s="64" t="str">
        <x:v>B243</x:v>
      </x:c>
      <x:c r="F243" s="64" t="str">
        <x:v>PO_Date</x:v>
      </x:c>
      <x:c r="G243" s="64" t="str">
        <x:v>16/01/2025</x:v>
      </x:c>
      <x:c r="H243" s="64" t="str">
        <x:v>2025-01-16</x:v>
      </x:c>
      <x:c r="I243" s="64" t="str">
        <x:v>standardization</x:v>
      </x:c>
      <x:c r="J243" s="64" t="str">
        <x:v>Converted the source text date to a true spreadsheet date and standardized its display without changing the calendar date.</x:v>
      </x:c>
      <x:c r="K243" s="64" t="str">
        <x:v>PASS — parsed source date equals cleaned date</x:v>
      </x:c>
      <x:c r="L243" s="64" t="str">
        <x:v>High</x:v>
      </x:c>
      <x:c r="M243" s="64" t="str">
        <x:v>Instructor Approved</x:v>
      </x:c>
    </x:row>
    <x:row r="244">
      <x:c r="A244" s="64" t="str">
        <x:v>AUD-0243</x:v>
      </x:c>
      <x:c r="B244" s="64" t="n">
        <x:v>244</x:v>
      </x:c>
      <x:c r="C244" s="64" t="str">
        <x:v>PO-2025-0243</x:v>
      </x:c>
      <x:c r="D244" s="64" t="str">
        <x:v>PO-2025-0243</x:v>
      </x:c>
      <x:c r="E244" s="64" t="str">
        <x:v>B244</x:v>
      </x:c>
      <x:c r="F244" s="64" t="str">
        <x:v>PO_Date</x:v>
      </x:c>
      <x:c r="G244" s="64" t="str">
        <x:v>16/07/2025</x:v>
      </x:c>
      <x:c r="H244" s="64" t="str">
        <x:v>2025-07-16</x:v>
      </x:c>
      <x:c r="I244" s="64" t="str">
        <x:v>standardization</x:v>
      </x:c>
      <x:c r="J244" s="64" t="str">
        <x:v>Converted the source text date to a true spreadsheet date and standardized its display without changing the calendar date.</x:v>
      </x:c>
      <x:c r="K244" s="64" t="str">
        <x:v>PASS — parsed source date equals cleaned date</x:v>
      </x:c>
      <x:c r="L244" s="64" t="str">
        <x:v>High</x:v>
      </x:c>
      <x:c r="M244" s="64" t="str">
        <x:v>Instructor Approved</x:v>
      </x:c>
    </x:row>
    <x:row r="245">
      <x:c r="A245" s="64" t="str">
        <x:v>AUD-0244</x:v>
      </x:c>
      <x:c r="B245" s="64" t="n">
        <x:v>245</x:v>
      </x:c>
      <x:c r="C245" s="64" t="str">
        <x:v>PO-2025-0244</x:v>
      </x:c>
      <x:c r="D245" s="64" t="str">
        <x:v>PO-2025-0244</x:v>
      </x:c>
      <x:c r="E245" s="64" t="str">
        <x:v>B245</x:v>
      </x:c>
      <x:c r="F245" s="64" t="str">
        <x:v>PO_Date</x:v>
      </x:c>
      <x:c r="G245" s="64" t="str">
        <x:v>09/05/2025</x:v>
      </x:c>
      <x:c r="H245" s="64" t="str">
        <x:v>2025-05-09</x:v>
      </x:c>
      <x:c r="I245" s="64" t="str">
        <x:v>standardization</x:v>
      </x:c>
      <x:c r="J245" s="64" t="str">
        <x:v>Converted the source text date to a true spreadsheet date and standardized its display without changing the calendar date.</x:v>
      </x:c>
      <x:c r="K245" s="64" t="str">
        <x:v>PASS — parsed source date equals cleaned date</x:v>
      </x:c>
      <x:c r="L245" s="64" t="str">
        <x:v>High</x:v>
      </x:c>
      <x:c r="M245" s="64" t="str">
        <x:v>Instructor Approved</x:v>
      </x:c>
    </x:row>
    <x:row r="246">
      <x:c r="A246" s="64" t="str">
        <x:v>AUD-0245</x:v>
      </x:c>
      <x:c r="B246" s="64" t="n">
        <x:v>246</x:v>
      </x:c>
      <x:c r="C246" s="64" t="str">
        <x:v>PO-2025-0245</x:v>
      </x:c>
      <x:c r="D246" s="64" t="str">
        <x:v>PO-2025-0245</x:v>
      </x:c>
      <x:c r="E246" s="64" t="str">
        <x:v>B246</x:v>
      </x:c>
      <x:c r="F246" s="64" t="str">
        <x:v>PO_Date</x:v>
      </x:c>
      <x:c r="G246" s="64" t="str">
        <x:v>10/05/2025</x:v>
      </x:c>
      <x:c r="H246" s="64" t="str">
        <x:v>2025-05-10</x:v>
      </x:c>
      <x:c r="I246" s="64" t="str">
        <x:v>standardization</x:v>
      </x:c>
      <x:c r="J246" s="64" t="str">
        <x:v>Converted the source text date to a true spreadsheet date and standardized its display without changing the calendar date.</x:v>
      </x:c>
      <x:c r="K246" s="64" t="str">
        <x:v>PASS — parsed source date equals cleaned date</x:v>
      </x:c>
      <x:c r="L246" s="64" t="str">
        <x:v>High</x:v>
      </x:c>
      <x:c r="M246" s="64" t="str">
        <x:v>Instructor Approved</x:v>
      </x:c>
    </x:row>
    <x:row r="247">
      <x:c r="A247" s="64" t="str">
        <x:v>AUD-0246</x:v>
      </x:c>
      <x:c r="B247" s="64" t="n">
        <x:v>247</x:v>
      </x:c>
      <x:c r="C247" s="64" t="str">
        <x:v>PO-2025-0246</x:v>
      </x:c>
      <x:c r="D247" s="64" t="str">
        <x:v>PO-2025-0246</x:v>
      </x:c>
      <x:c r="E247" s="64" t="str">
        <x:v>B247</x:v>
      </x:c>
      <x:c r="F247" s="64" t="str">
        <x:v>PO_Date</x:v>
      </x:c>
      <x:c r="G247" s="64" t="str">
        <x:v>06/01/2025</x:v>
      </x:c>
      <x:c r="H247" s="64" t="str">
        <x:v>2025-01-06</x:v>
      </x:c>
      <x:c r="I247" s="64" t="str">
        <x:v>standardization</x:v>
      </x:c>
      <x:c r="J247" s="64" t="str">
        <x:v>Converted the source text date to a true spreadsheet date and standardized its display without changing the calendar date.</x:v>
      </x:c>
      <x:c r="K247" s="64" t="str">
        <x:v>PASS — parsed source date equals cleaned date</x:v>
      </x:c>
      <x:c r="L247" s="64" t="str">
        <x:v>High</x:v>
      </x:c>
      <x:c r="M247" s="64" t="str">
        <x:v>Instructor Approved</x:v>
      </x:c>
    </x:row>
    <x:row r="248">
      <x:c r="A248" s="64" t="str">
        <x:v>AUD-0247</x:v>
      </x:c>
      <x:c r="B248" s="64" t="n">
        <x:v>248</x:v>
      </x:c>
      <x:c r="C248" s="64" t="str">
        <x:v>PO-2025-0247</x:v>
      </x:c>
      <x:c r="D248" s="64" t="str">
        <x:v>PO-2025-0247</x:v>
      </x:c>
      <x:c r="E248" s="64" t="str">
        <x:v>B248</x:v>
      </x:c>
      <x:c r="F248" s="64" t="str">
        <x:v>PO_Date</x:v>
      </x:c>
      <x:c r="G248" s="64" t="str">
        <x:v>14/11/2025</x:v>
      </x:c>
      <x:c r="H248" s="64" t="str">
        <x:v>2025-11-14</x:v>
      </x:c>
      <x:c r="I248" s="64" t="str">
        <x:v>standardization</x:v>
      </x:c>
      <x:c r="J248" s="64" t="str">
        <x:v>Converted the source text date to a true spreadsheet date and standardized its display without changing the calendar date.</x:v>
      </x:c>
      <x:c r="K248" s="64" t="str">
        <x:v>PASS — parsed source date equals cleaned date</x:v>
      </x:c>
      <x:c r="L248" s="64" t="str">
        <x:v>High</x:v>
      </x:c>
      <x:c r="M248" s="64" t="str">
        <x:v>Instructor Approved</x:v>
      </x:c>
    </x:row>
    <x:row r="249">
      <x:c r="A249" s="64" t="str">
        <x:v>AUD-0248</x:v>
      </x:c>
      <x:c r="B249" s="64" t="n">
        <x:v>249</x:v>
      </x:c>
      <x:c r="C249" s="64" t="str">
        <x:v>PO-2025-0248</x:v>
      </x:c>
      <x:c r="D249" s="64" t="str">
        <x:v>PO-2025-0248</x:v>
      </x:c>
      <x:c r="E249" s="64" t="str">
        <x:v>B249</x:v>
      </x:c>
      <x:c r="F249" s="64" t="str">
        <x:v>PO_Date</x:v>
      </x:c>
      <x:c r="G249" s="64" t="str">
        <x:v>15/07/2025</x:v>
      </x:c>
      <x:c r="H249" s="64" t="str">
        <x:v>2025-07-15</x:v>
      </x:c>
      <x:c r="I249" s="64" t="str">
        <x:v>standardization</x:v>
      </x:c>
      <x:c r="J249" s="64" t="str">
        <x:v>Converted the source text date to a true spreadsheet date and standardized its display without changing the calendar date.</x:v>
      </x:c>
      <x:c r="K249" s="64" t="str">
        <x:v>PASS — parsed source date equals cleaned date</x:v>
      </x:c>
      <x:c r="L249" s="64" t="str">
        <x:v>High</x:v>
      </x:c>
      <x:c r="M249" s="64" t="str">
        <x:v>Instructor Approved</x:v>
      </x:c>
    </x:row>
    <x:row r="250">
      <x:c r="A250" s="64" t="str">
        <x:v>AUD-0249</x:v>
      </x:c>
      <x:c r="B250" s="64" t="n">
        <x:v>250</x:v>
      </x:c>
      <x:c r="C250" s="64" t="str">
        <x:v>PO-2025-0249</x:v>
      </x:c>
      <x:c r="D250" s="64" t="str">
        <x:v>PO-2025-0249</x:v>
      </x:c>
      <x:c r="E250" s="64" t="str">
        <x:v>B250</x:v>
      </x:c>
      <x:c r="F250" s="64" t="str">
        <x:v>PO_Date</x:v>
      </x:c>
      <x:c r="G250" s="64" t="str">
        <x:v>08/04/2025</x:v>
      </x:c>
      <x:c r="H250" s="64" t="str">
        <x:v>2025-04-08</x:v>
      </x:c>
      <x:c r="I250" s="64" t="str">
        <x:v>standardization</x:v>
      </x:c>
      <x:c r="J250" s="64" t="str">
        <x:v>Converted the source text date to a true spreadsheet date and standardized its display without changing the calendar date.</x:v>
      </x:c>
      <x:c r="K250" s="64" t="str">
        <x:v>PASS — parsed source date equals cleaned date</x:v>
      </x:c>
      <x:c r="L250" s="64" t="str">
        <x:v>High</x:v>
      </x:c>
      <x:c r="M250" s="64" t="str">
        <x:v>Instructor Approved</x:v>
      </x:c>
    </x:row>
    <x:row r="251">
      <x:c r="A251" s="64" t="str">
        <x:v>AUD-0250</x:v>
      </x:c>
      <x:c r="B251" s="64" t="n">
        <x:v>251</x:v>
      </x:c>
      <x:c r="C251" s="64" t="str">
        <x:v>PO-2025-0250</x:v>
      </x:c>
      <x:c r="D251" s="64" t="str">
        <x:v>PO-2025-0250</x:v>
      </x:c>
      <x:c r="E251" s="64" t="str">
        <x:v>B251</x:v>
      </x:c>
      <x:c r="F251" s="64" t="str">
        <x:v>PO_Date</x:v>
      </x:c>
      <x:c r="G251" s="64" t="str">
        <x:v>18/09/2025</x:v>
      </x:c>
      <x:c r="H251" s="64" t="str">
        <x:v>2025-09-18</x:v>
      </x:c>
      <x:c r="I251" s="64" t="str">
        <x:v>standardization</x:v>
      </x:c>
      <x:c r="J251" s="64" t="str">
        <x:v>Converted the source text date to a true spreadsheet date and standardized its display without changing the calendar date.</x:v>
      </x:c>
      <x:c r="K251" s="64" t="str">
        <x:v>PASS — parsed source date equals cleaned date</x:v>
      </x:c>
      <x:c r="L251" s="64" t="str">
        <x:v>High</x:v>
      </x:c>
      <x:c r="M251" s="64" t="str">
        <x:v>Instructor Approved</x:v>
      </x:c>
    </x:row>
    <x:row r="252">
      <x:c r="A252" s="64" t="str">
        <x:v>AUD-0251</x:v>
      </x:c>
      <x:c r="B252" s="64" t="n">
        <x:v>252</x:v>
      </x:c>
      <x:c r="C252" s="64" t="str">
        <x:v>PO-2025-0251</x:v>
      </x:c>
      <x:c r="D252" s="64" t="str">
        <x:v>PO-2025-0251</x:v>
      </x:c>
      <x:c r="E252" s="64" t="str">
        <x:v>B252</x:v>
      </x:c>
      <x:c r="F252" s="64" t="str">
        <x:v>PO_Date</x:v>
      </x:c>
      <x:c r="G252" s="64" t="str">
        <x:v>20/07/2025</x:v>
      </x:c>
      <x:c r="H252" s="64" t="str">
        <x:v>2025-07-20</x:v>
      </x:c>
      <x:c r="I252" s="64" t="str">
        <x:v>standardization</x:v>
      </x:c>
      <x:c r="J252" s="64" t="str">
        <x:v>Converted the source text date to a true spreadsheet date and standardized its display without changing the calendar date.</x:v>
      </x:c>
      <x:c r="K252" s="64" t="str">
        <x:v>PASS — parsed source date equals cleaned date</x:v>
      </x:c>
      <x:c r="L252" s="64" t="str">
        <x:v>High</x:v>
      </x:c>
      <x:c r="M252" s="64" t="str">
        <x:v>Instructor Approved</x:v>
      </x:c>
    </x:row>
    <x:row r="253">
      <x:c r="A253" s="64" t="str">
        <x:v>AUD-0252</x:v>
      </x:c>
      <x:c r="B253" s="64" t="n">
        <x:v>253</x:v>
      </x:c>
      <x:c r="C253" s="64" t="str">
        <x:v>PO-2025-0252</x:v>
      </x:c>
      <x:c r="D253" s="64" t="str">
        <x:v>PO-2025-0252</x:v>
      </x:c>
      <x:c r="E253" s="64" t="str">
        <x:v>B253</x:v>
      </x:c>
      <x:c r="F253" s="64" t="str">
        <x:v>PO_Date</x:v>
      </x:c>
      <x:c r="G253" s="64" t="str">
        <x:v>30/05/2025</x:v>
      </x:c>
      <x:c r="H253" s="64" t="str">
        <x:v>2025-05-30</x:v>
      </x:c>
      <x:c r="I253" s="64" t="str">
        <x:v>standardization</x:v>
      </x:c>
      <x:c r="J253" s="64" t="str">
        <x:v>Converted the source text date to a true spreadsheet date and standardized its display without changing the calendar date.</x:v>
      </x:c>
      <x:c r="K253" s="64" t="str">
        <x:v>PASS — parsed source date equals cleaned date</x:v>
      </x:c>
      <x:c r="L253" s="64" t="str">
        <x:v>High</x:v>
      </x:c>
      <x:c r="M253" s="64" t="str">
        <x:v>Instructor Approved</x:v>
      </x:c>
    </x:row>
    <x:row r="254">
      <x:c r="A254" s="64" t="str">
        <x:v>AUD-0253</x:v>
      </x:c>
      <x:c r="B254" s="64" t="n">
        <x:v>254</x:v>
      </x:c>
      <x:c r="C254" s="64" t="str">
        <x:v>PO-2025-0253</x:v>
      </x:c>
      <x:c r="D254" s="64" t="str">
        <x:v>PO-2025-0253</x:v>
      </x:c>
      <x:c r="E254" s="64" t="str">
        <x:v>B254</x:v>
      </x:c>
      <x:c r="F254" s="64" t="str">
        <x:v>PO_Date</x:v>
      </x:c>
      <x:c r="G254" s="64" t="str">
        <x:v>23/10/2025</x:v>
      </x:c>
      <x:c r="H254" s="64" t="str">
        <x:v>2025-10-23</x:v>
      </x:c>
      <x:c r="I254" s="64" t="str">
        <x:v>standardization</x:v>
      </x:c>
      <x:c r="J254" s="64" t="str">
        <x:v>Converted the source text date to a true spreadsheet date and standardized its display without changing the calendar date.</x:v>
      </x:c>
      <x:c r="K254" s="64" t="str">
        <x:v>PASS — parsed source date equals cleaned date</x:v>
      </x:c>
      <x:c r="L254" s="64" t="str">
        <x:v>High</x:v>
      </x:c>
      <x:c r="M254" s="64" t="str">
        <x:v>Instructor Approved</x:v>
      </x:c>
    </x:row>
    <x:row r="255">
      <x:c r="A255" s="64" t="str">
        <x:v>AUD-0254</x:v>
      </x:c>
      <x:c r="B255" s="64" t="n">
        <x:v>255</x:v>
      </x:c>
      <x:c r="C255" s="64" t="str">
        <x:v>PO-2025-0254</x:v>
      </x:c>
      <x:c r="D255" s="64" t="str">
        <x:v>PO-2025-0254</x:v>
      </x:c>
      <x:c r="E255" s="64" t="str">
        <x:v>B255</x:v>
      </x:c>
      <x:c r="F255" s="64" t="str">
        <x:v>PO_Date</x:v>
      </x:c>
      <x:c r="G255" s="64" t="str">
        <x:v>24/05/2025</x:v>
      </x:c>
      <x:c r="H255" s="64" t="str">
        <x:v>2025-05-24</x:v>
      </x:c>
      <x:c r="I255" s="64" t="str">
        <x:v>standardization</x:v>
      </x:c>
      <x:c r="J255" s="64" t="str">
        <x:v>Converted the source text date to a true spreadsheet date and standardized its display without changing the calendar date.</x:v>
      </x:c>
      <x:c r="K255" s="64" t="str">
        <x:v>PASS — parsed source date equals cleaned date</x:v>
      </x:c>
      <x:c r="L255" s="64" t="str">
        <x:v>High</x:v>
      </x:c>
      <x:c r="M255" s="64" t="str">
        <x:v>Instructor Approved</x:v>
      </x:c>
    </x:row>
    <x:row r="256">
      <x:c r="A256" s="64" t="str">
        <x:v>AUD-0255</x:v>
      </x:c>
      <x:c r="B256" s="64" t="n">
        <x:v>256</x:v>
      </x:c>
      <x:c r="C256" s="64" t="str">
        <x:v>PO-2025-0255</x:v>
      </x:c>
      <x:c r="D256" s="64" t="str">
        <x:v>PO-2025-0255</x:v>
      </x:c>
      <x:c r="E256" s="64" t="str">
        <x:v>B256</x:v>
      </x:c>
      <x:c r="F256" s="64" t="str">
        <x:v>PO_Date</x:v>
      </x:c>
      <x:c r="G256" s="64" t="str">
        <x:v>07/11/2025</x:v>
      </x:c>
      <x:c r="H256" s="64" t="str">
        <x:v>2025-11-07</x:v>
      </x:c>
      <x:c r="I256" s="64" t="str">
        <x:v>standardization</x:v>
      </x:c>
      <x:c r="J256" s="64" t="str">
        <x:v>Converted the source text date to a true spreadsheet date and standardized its display without changing the calendar date.</x:v>
      </x:c>
      <x:c r="K256" s="64" t="str">
        <x:v>PASS — parsed source date equals cleaned date</x:v>
      </x:c>
      <x:c r="L256" s="64" t="str">
        <x:v>High</x:v>
      </x:c>
      <x:c r="M256" s="64" t="str">
        <x:v>Instructor Approved</x:v>
      </x:c>
    </x:row>
    <x:row r="257">
      <x:c r="A257" s="64" t="str">
        <x:v>AUD-0256</x:v>
      </x:c>
      <x:c r="B257" s="64" t="n">
        <x:v>257</x:v>
      </x:c>
      <x:c r="C257" s="64" t="str">
        <x:v>PO-2025-0256</x:v>
      </x:c>
      <x:c r="D257" s="64" t="str">
        <x:v>PO-2025-0256</x:v>
      </x:c>
      <x:c r="E257" s="64" t="str">
        <x:v>B257</x:v>
      </x:c>
      <x:c r="F257" s="64" t="str">
        <x:v>PO_Date</x:v>
      </x:c>
      <x:c r="G257" s="64" t="str">
        <x:v>23/11/2025</x:v>
      </x:c>
      <x:c r="H257" s="64" t="str">
        <x:v>2025-11-23</x:v>
      </x:c>
      <x:c r="I257" s="64" t="str">
        <x:v>standardization</x:v>
      </x:c>
      <x:c r="J257" s="64" t="str">
        <x:v>Converted the source text date to a true spreadsheet date and standardized its display without changing the calendar date.</x:v>
      </x:c>
      <x:c r="K257" s="64" t="str">
        <x:v>PASS — parsed source date equals cleaned date</x:v>
      </x:c>
      <x:c r="L257" s="64" t="str">
        <x:v>High</x:v>
      </x:c>
      <x:c r="M257" s="64" t="str">
        <x:v>Instructor Approved</x:v>
      </x:c>
    </x:row>
    <x:row r="258">
      <x:c r="A258" s="64" t="str">
        <x:v>AUD-0257</x:v>
      </x:c>
      <x:c r="B258" s="64" t="n">
        <x:v>258</x:v>
      </x:c>
      <x:c r="C258" s="64" t="str">
        <x:v>PO-2025-0257</x:v>
      </x:c>
      <x:c r="D258" s="64" t="str">
        <x:v>PO-2025-0257</x:v>
      </x:c>
      <x:c r="E258" s="64" t="str">
        <x:v>B258</x:v>
      </x:c>
      <x:c r="F258" s="64" t="str">
        <x:v>PO_Date</x:v>
      </x:c>
      <x:c r="G258" s="64" t="str">
        <x:v>04/05/2025</x:v>
      </x:c>
      <x:c r="H258" s="64" t="str">
        <x:v>2025-05-04</x:v>
      </x:c>
      <x:c r="I258" s="64" t="str">
        <x:v>standardization</x:v>
      </x:c>
      <x:c r="J258" s="64" t="str">
        <x:v>Converted the source text date to a true spreadsheet date and standardized its display without changing the calendar date.</x:v>
      </x:c>
      <x:c r="K258" s="64" t="str">
        <x:v>PASS — parsed source date equals cleaned date</x:v>
      </x:c>
      <x:c r="L258" s="64" t="str">
        <x:v>High</x:v>
      </x:c>
      <x:c r="M258" s="64" t="str">
        <x:v>Instructor Approved</x:v>
      </x:c>
    </x:row>
    <x:row r="259">
      <x:c r="A259" s="64" t="str">
        <x:v>AUD-0258</x:v>
      </x:c>
      <x:c r="B259" s="64" t="n">
        <x:v>259</x:v>
      </x:c>
      <x:c r="C259" s="64" t="str">
        <x:v>PO-2025-0258</x:v>
      </x:c>
      <x:c r="D259" s="64" t="str">
        <x:v>PO-2025-0258</x:v>
      </x:c>
      <x:c r="E259" s="64" t="str">
        <x:v>B259</x:v>
      </x:c>
      <x:c r="F259" s="64" t="str">
        <x:v>PO_Date</x:v>
      </x:c>
      <x:c r="G259" s="64" t="str">
        <x:v>07/10/2025</x:v>
      </x:c>
      <x:c r="H259" s="64" t="str">
        <x:v>2025-10-07</x:v>
      </x:c>
      <x:c r="I259" s="64" t="str">
        <x:v>standardization</x:v>
      </x:c>
      <x:c r="J259" s="64" t="str">
        <x:v>Converted the source text date to a true spreadsheet date and standardized its display without changing the calendar date.</x:v>
      </x:c>
      <x:c r="K259" s="64" t="str">
        <x:v>PASS — parsed source date equals cleaned date</x:v>
      </x:c>
      <x:c r="L259" s="64" t="str">
        <x:v>High</x:v>
      </x:c>
      <x:c r="M259" s="64" t="str">
        <x:v>Instructor Approved</x:v>
      </x:c>
    </x:row>
    <x:row r="260">
      <x:c r="A260" s="64" t="str">
        <x:v>AUD-0259</x:v>
      </x:c>
      <x:c r="B260" s="64" t="n">
        <x:v>260</x:v>
      </x:c>
      <x:c r="C260" s="64" t="str">
        <x:v>PO-2025-0259</x:v>
      </x:c>
      <x:c r="D260" s="64" t="str">
        <x:v>PO-2025-0259</x:v>
      </x:c>
      <x:c r="E260" s="64" t="str">
        <x:v>B260</x:v>
      </x:c>
      <x:c r="F260" s="64" t="str">
        <x:v>PO_Date</x:v>
      </x:c>
      <x:c r="G260" s="64" t="str">
        <x:v>27/02/2025</x:v>
      </x:c>
      <x:c r="H260" s="64" t="str">
        <x:v>2025-02-27</x:v>
      </x:c>
      <x:c r="I260" s="64" t="str">
        <x:v>standardization</x:v>
      </x:c>
      <x:c r="J260" s="64" t="str">
        <x:v>Converted the source text date to a true spreadsheet date and standardized its display without changing the calendar date.</x:v>
      </x:c>
      <x:c r="K260" s="64" t="str">
        <x:v>PASS — parsed source date equals cleaned date</x:v>
      </x:c>
      <x:c r="L260" s="64" t="str">
        <x:v>High</x:v>
      </x:c>
      <x:c r="M260" s="64" t="str">
        <x:v>Instructor Approved</x:v>
      </x:c>
    </x:row>
    <x:row r="261">
      <x:c r="A261" s="64" t="str">
        <x:v>AUD-0260</x:v>
      </x:c>
      <x:c r="B261" s="64" t="n">
        <x:v>261</x:v>
      </x:c>
      <x:c r="C261" s="64" t="str">
        <x:v>PO-2025-0260</x:v>
      </x:c>
      <x:c r="D261" s="64" t="str">
        <x:v>PO-2025-0260</x:v>
      </x:c>
      <x:c r="E261" s="64" t="str">
        <x:v>B261</x:v>
      </x:c>
      <x:c r="F261" s="64" t="str">
        <x:v>PO_Date</x:v>
      </x:c>
      <x:c r="G261" s="64" t="str">
        <x:v>26/06/2025</x:v>
      </x:c>
      <x:c r="H261" s="64" t="str">
        <x:v>2025-06-26</x:v>
      </x:c>
      <x:c r="I261" s="64" t="str">
        <x:v>standardization</x:v>
      </x:c>
      <x:c r="J261" s="64" t="str">
        <x:v>Converted the source text date to a true spreadsheet date and standardized its display without changing the calendar date.</x:v>
      </x:c>
      <x:c r="K261" s="64" t="str">
        <x:v>PASS — parsed source date equals cleaned date</x:v>
      </x:c>
      <x:c r="L261" s="64" t="str">
        <x:v>High</x:v>
      </x:c>
      <x:c r="M261" s="64" t="str">
        <x:v>Instructor Approved</x:v>
      </x:c>
    </x:row>
    <x:row r="262">
      <x:c r="A262" s="64" t="str">
        <x:v>AUD-0261</x:v>
      </x:c>
      <x:c r="B262" s="64" t="n">
        <x:v>262</x:v>
      </x:c>
      <x:c r="C262" s="64" t="str">
        <x:v>PO-2025-0261</x:v>
      </x:c>
      <x:c r="D262" s="64" t="str">
        <x:v>PO-2025-0261</x:v>
      </x:c>
      <x:c r="E262" s="64" t="str">
        <x:v>B262</x:v>
      </x:c>
      <x:c r="F262" s="64" t="str">
        <x:v>PO_Date</x:v>
      </x:c>
      <x:c r="G262" s="64" t="str">
        <x:v>19/04/2025</x:v>
      </x:c>
      <x:c r="H262" s="64" t="str">
        <x:v>2025-04-19</x:v>
      </x:c>
      <x:c r="I262" s="64" t="str">
        <x:v>standardization</x:v>
      </x:c>
      <x:c r="J262" s="64" t="str">
        <x:v>Converted the source text date to a true spreadsheet date and standardized its display without changing the calendar date.</x:v>
      </x:c>
      <x:c r="K262" s="64" t="str">
        <x:v>PASS — parsed source date equals cleaned date</x:v>
      </x:c>
      <x:c r="L262" s="64" t="str">
        <x:v>High</x:v>
      </x:c>
      <x:c r="M262" s="64" t="str">
        <x:v>Instructor Approved</x:v>
      </x:c>
    </x:row>
    <x:row r="263">
      <x:c r="A263" s="64" t="str">
        <x:v>AUD-0262</x:v>
      </x:c>
      <x:c r="B263" s="64" t="n">
        <x:v>263</x:v>
      </x:c>
      <x:c r="C263" s="64" t="str">
        <x:v>PO-2025-0262</x:v>
      </x:c>
      <x:c r="D263" s="64" t="str">
        <x:v>PO-2025-0262</x:v>
      </x:c>
      <x:c r="E263" s="64" t="str">
        <x:v>B263</x:v>
      </x:c>
      <x:c r="F263" s="64" t="str">
        <x:v>PO_Date</x:v>
      </x:c>
      <x:c r="G263" s="64" t="str">
        <x:v>29/05/2025</x:v>
      </x:c>
      <x:c r="H263" s="64" t="str">
        <x:v>2025-05-29</x:v>
      </x:c>
      <x:c r="I263" s="64" t="str">
        <x:v>standardization</x:v>
      </x:c>
      <x:c r="J263" s="64" t="str">
        <x:v>Converted the source text date to a true spreadsheet date and standardized its display without changing the calendar date.</x:v>
      </x:c>
      <x:c r="K263" s="64" t="str">
        <x:v>PASS — parsed source date equals cleaned date</x:v>
      </x:c>
      <x:c r="L263" s="64" t="str">
        <x:v>High</x:v>
      </x:c>
      <x:c r="M263" s="64" t="str">
        <x:v>Instructor Approved</x:v>
      </x:c>
    </x:row>
    <x:row r="264">
      <x:c r="A264" s="64" t="str">
        <x:v>AUD-0263</x:v>
      </x:c>
      <x:c r="B264" s="64" t="n">
        <x:v>264</x:v>
      </x:c>
      <x:c r="C264" s="64" t="str">
        <x:v>PO-2025-0263</x:v>
      </x:c>
      <x:c r="D264" s="64" t="str">
        <x:v>PO-2025-0263</x:v>
      </x:c>
      <x:c r="E264" s="64" t="str">
        <x:v>B264</x:v>
      </x:c>
      <x:c r="F264" s="64" t="str">
        <x:v>PO_Date</x:v>
      </x:c>
      <x:c r="G264" s="64" t="str">
        <x:v>11/02/2025</x:v>
      </x:c>
      <x:c r="H264" s="64" t="str">
        <x:v>2025-02-11</x:v>
      </x:c>
      <x:c r="I264" s="64" t="str">
        <x:v>standardization</x:v>
      </x:c>
      <x:c r="J264" s="64" t="str">
        <x:v>Converted the source text date to a true spreadsheet date and standardized its display without changing the calendar date.</x:v>
      </x:c>
      <x:c r="K264" s="64" t="str">
        <x:v>PASS — parsed source date equals cleaned date</x:v>
      </x:c>
      <x:c r="L264" s="64" t="str">
        <x:v>High</x:v>
      </x:c>
      <x:c r="M264" s="64" t="str">
        <x:v>Instructor Approved</x:v>
      </x:c>
    </x:row>
    <x:row r="265">
      <x:c r="A265" s="64" t="str">
        <x:v>AUD-0264</x:v>
      </x:c>
      <x:c r="B265" s="64" t="n">
        <x:v>265</x:v>
      </x:c>
      <x:c r="C265" s="64" t="str">
        <x:v>PO-2025-0264</x:v>
      </x:c>
      <x:c r="D265" s="64" t="str">
        <x:v>PO-2025-0264</x:v>
      </x:c>
      <x:c r="E265" s="64" t="str">
        <x:v>B265</x:v>
      </x:c>
      <x:c r="F265" s="64" t="str">
        <x:v>PO_Date</x:v>
      </x:c>
      <x:c r="G265" s="64" t="str">
        <x:v>29/11/2025</x:v>
      </x:c>
      <x:c r="H265" s="64" t="str">
        <x:v>2025-11-29</x:v>
      </x:c>
      <x:c r="I265" s="64" t="str">
        <x:v>standardization</x:v>
      </x:c>
      <x:c r="J265" s="64" t="str">
        <x:v>Converted the source text date to a true spreadsheet date and standardized its display without changing the calendar date.</x:v>
      </x:c>
      <x:c r="K265" s="64" t="str">
        <x:v>PASS — parsed source date equals cleaned date</x:v>
      </x:c>
      <x:c r="L265" s="64" t="str">
        <x:v>High</x:v>
      </x:c>
      <x:c r="M265" s="64" t="str">
        <x:v>Instructor Approved</x:v>
      </x:c>
    </x:row>
    <x:row r="266">
      <x:c r="A266" s="64" t="str">
        <x:v>AUD-0265</x:v>
      </x:c>
      <x:c r="B266" s="64" t="n">
        <x:v>266</x:v>
      </x:c>
      <x:c r="C266" s="64" t="str">
        <x:v>PO-2025-0265</x:v>
      </x:c>
      <x:c r="D266" s="64" t="str">
        <x:v>PO-2025-0265</x:v>
      </x:c>
      <x:c r="E266" s="64" t="str">
        <x:v>B266</x:v>
      </x:c>
      <x:c r="F266" s="64" t="str">
        <x:v>PO_Date</x:v>
      </x:c>
      <x:c r="G266" s="64" t="str">
        <x:v>02/02/2025</x:v>
      </x:c>
      <x:c r="H266" s="64" t="str">
        <x:v>2025-02-02</x:v>
      </x:c>
      <x:c r="I266" s="64" t="str">
        <x:v>standardization</x:v>
      </x:c>
      <x:c r="J266" s="64" t="str">
        <x:v>Converted the source text date to a true spreadsheet date and standardized its display without changing the calendar date.</x:v>
      </x:c>
      <x:c r="K266" s="64" t="str">
        <x:v>PASS — parsed source date equals cleaned date</x:v>
      </x:c>
      <x:c r="L266" s="64" t="str">
        <x:v>High</x:v>
      </x:c>
      <x:c r="M266" s="64" t="str">
        <x:v>Instructor Approved</x:v>
      </x:c>
    </x:row>
    <x:row r="267">
      <x:c r="A267" s="64" t="str">
        <x:v>AUD-0266</x:v>
      </x:c>
      <x:c r="B267" s="64" t="n">
        <x:v>267</x:v>
      </x:c>
      <x:c r="C267" s="64" t="str">
        <x:v>PO-2025-0266</x:v>
      </x:c>
      <x:c r="D267" s="64" t="str">
        <x:v>PO-2025-0266</x:v>
      </x:c>
      <x:c r="E267" s="64" t="str">
        <x:v>B267</x:v>
      </x:c>
      <x:c r="F267" s="64" t="str">
        <x:v>PO_Date</x:v>
      </x:c>
      <x:c r="G267" s="64" t="str">
        <x:v>08/02/2025</x:v>
      </x:c>
      <x:c r="H267" s="64" t="str">
        <x:v>2025-02-08</x:v>
      </x:c>
      <x:c r="I267" s="64" t="str">
        <x:v>standardization</x:v>
      </x:c>
      <x:c r="J267" s="64" t="str">
        <x:v>Converted the source text date to a true spreadsheet date and standardized its display without changing the calendar date.</x:v>
      </x:c>
      <x:c r="K267" s="64" t="str">
        <x:v>PASS — parsed source date equals cleaned date</x:v>
      </x:c>
      <x:c r="L267" s="64" t="str">
        <x:v>High</x:v>
      </x:c>
      <x:c r="M267" s="64" t="str">
        <x:v>Instructor Approved</x:v>
      </x:c>
    </x:row>
    <x:row r="268">
      <x:c r="A268" s="64" t="str">
        <x:v>AUD-0267</x:v>
      </x:c>
      <x:c r="B268" s="64" t="n">
        <x:v>268</x:v>
      </x:c>
      <x:c r="C268" s="64" t="str">
        <x:v>PO-2025-0267</x:v>
      </x:c>
      <x:c r="D268" s="64" t="str">
        <x:v>PO-2025-0267</x:v>
      </x:c>
      <x:c r="E268" s="64" t="str">
        <x:v>B268</x:v>
      </x:c>
      <x:c r="F268" s="64" t="str">
        <x:v>PO_Date</x:v>
      </x:c>
      <x:c r="G268" s="64" t="str">
        <x:v>02/08/2025</x:v>
      </x:c>
      <x:c r="H268" s="64" t="str">
        <x:v>2025-08-02</x:v>
      </x:c>
      <x:c r="I268" s="64" t="str">
        <x:v>standardization</x:v>
      </x:c>
      <x:c r="J268" s="64" t="str">
        <x:v>Converted the source text date to a true spreadsheet date and standardized its display without changing the calendar date.</x:v>
      </x:c>
      <x:c r="K268" s="64" t="str">
        <x:v>PASS — parsed source date equals cleaned date</x:v>
      </x:c>
      <x:c r="L268" s="64" t="str">
        <x:v>High</x:v>
      </x:c>
      <x:c r="M268" s="64" t="str">
        <x:v>Instructor Approved</x:v>
      </x:c>
    </x:row>
    <x:row r="269">
      <x:c r="A269" s="64" t="str">
        <x:v>AUD-0268</x:v>
      </x:c>
      <x:c r="B269" s="64" t="n">
        <x:v>269</x:v>
      </x:c>
      <x:c r="C269" s="64" t="str">
        <x:v>PO-2025-0268</x:v>
      </x:c>
      <x:c r="D269" s="64" t="str">
        <x:v>PO-2025-0268</x:v>
      </x:c>
      <x:c r="E269" s="64" t="str">
        <x:v>B269</x:v>
      </x:c>
      <x:c r="F269" s="64" t="str">
        <x:v>PO_Date</x:v>
      </x:c>
      <x:c r="G269" s="64" t="str">
        <x:v>13/03/2025</x:v>
      </x:c>
      <x:c r="H269" s="64" t="str">
        <x:v>2025-03-13</x:v>
      </x:c>
      <x:c r="I269" s="64" t="str">
        <x:v>standardization</x:v>
      </x:c>
      <x:c r="J269" s="64" t="str">
        <x:v>Converted the source text date to a true spreadsheet date and standardized its display without changing the calendar date.</x:v>
      </x:c>
      <x:c r="K269" s="64" t="str">
        <x:v>PASS — parsed source date equals cleaned date</x:v>
      </x:c>
      <x:c r="L269" s="64" t="str">
        <x:v>High</x:v>
      </x:c>
      <x:c r="M269" s="64" t="str">
        <x:v>Instructor Approved</x:v>
      </x:c>
    </x:row>
    <x:row r="270">
      <x:c r="A270" s="64" t="str">
        <x:v>AUD-0269</x:v>
      </x:c>
      <x:c r="B270" s="64" t="n">
        <x:v>270</x:v>
      </x:c>
      <x:c r="C270" s="64" t="str">
        <x:v>PO-2025-0269</x:v>
      </x:c>
      <x:c r="D270" s="64" t="str">
        <x:v>PO-2025-0269</x:v>
      </x:c>
      <x:c r="E270" s="64" t="str">
        <x:v>B270</x:v>
      </x:c>
      <x:c r="F270" s="64" t="str">
        <x:v>PO_Date</x:v>
      </x:c>
      <x:c r="G270" s="64" t="str">
        <x:v>25/04/2025</x:v>
      </x:c>
      <x:c r="H270" s="64" t="str">
        <x:v>2025-04-25</x:v>
      </x:c>
      <x:c r="I270" s="64" t="str">
        <x:v>standardization</x:v>
      </x:c>
      <x:c r="J270" s="64" t="str">
        <x:v>Converted the source text date to a true spreadsheet date and standardized its display without changing the calendar date.</x:v>
      </x:c>
      <x:c r="K270" s="64" t="str">
        <x:v>PASS — parsed source date equals cleaned date</x:v>
      </x:c>
      <x:c r="L270" s="64" t="str">
        <x:v>High</x:v>
      </x:c>
      <x:c r="M270" s="64" t="str">
        <x:v>Instructor Approved</x:v>
      </x:c>
    </x:row>
    <x:row r="271">
      <x:c r="A271" s="64" t="str">
        <x:v>AUD-0270</x:v>
      </x:c>
      <x:c r="B271" s="64" t="n">
        <x:v>271</x:v>
      </x:c>
      <x:c r="C271" s="64" t="str">
        <x:v>PO-2025-0270</x:v>
      </x:c>
      <x:c r="D271" s="64" t="str">
        <x:v>PO-2025-0270</x:v>
      </x:c>
      <x:c r="E271" s="64" t="str">
        <x:v>B271</x:v>
      </x:c>
      <x:c r="F271" s="64" t="str">
        <x:v>PO_Date</x:v>
      </x:c>
      <x:c r="G271" s="64" t="str">
        <x:v>09/02/2025</x:v>
      </x:c>
      <x:c r="H271" s="64" t="str">
        <x:v>2025-02-09</x:v>
      </x:c>
      <x:c r="I271" s="64" t="str">
        <x:v>standardization</x:v>
      </x:c>
      <x:c r="J271" s="64" t="str">
        <x:v>Converted the source text date to a true spreadsheet date and standardized its display without changing the calendar date.</x:v>
      </x:c>
      <x:c r="K271" s="64" t="str">
        <x:v>PASS — parsed source date equals cleaned date</x:v>
      </x:c>
      <x:c r="L271" s="64" t="str">
        <x:v>High</x:v>
      </x:c>
      <x:c r="M271" s="64" t="str">
        <x:v>Instructor Approved</x:v>
      </x:c>
    </x:row>
    <x:row r="272">
      <x:c r="A272" s="64" t="str">
        <x:v>AUD-0271</x:v>
      </x:c>
      <x:c r="B272" s="64" t="n">
        <x:v>272</x:v>
      </x:c>
      <x:c r="C272" s="64" t="str">
        <x:v>PO-2025-0271</x:v>
      </x:c>
      <x:c r="D272" s="64" t="str">
        <x:v>PO-2025-0271</x:v>
      </x:c>
      <x:c r="E272" s="64" t="str">
        <x:v>B272</x:v>
      </x:c>
      <x:c r="F272" s="64" t="str">
        <x:v>PO_Date</x:v>
      </x:c>
      <x:c r="G272" s="64" t="str">
        <x:v>28/07/2025</x:v>
      </x:c>
      <x:c r="H272" s="64" t="str">
        <x:v>2025-07-28</x:v>
      </x:c>
      <x:c r="I272" s="64" t="str">
        <x:v>standardization</x:v>
      </x:c>
      <x:c r="J272" s="64" t="str">
        <x:v>Converted the source text date to a true spreadsheet date and standardized its display without changing the calendar date.</x:v>
      </x:c>
      <x:c r="K272" s="64" t="str">
        <x:v>PASS — parsed source date equals cleaned date</x:v>
      </x:c>
      <x:c r="L272" s="64" t="str">
        <x:v>High</x:v>
      </x:c>
      <x:c r="M272" s="64" t="str">
        <x:v>Instructor Approved</x:v>
      </x:c>
    </x:row>
    <x:row r="273">
      <x:c r="A273" s="64" t="str">
        <x:v>AUD-0272</x:v>
      </x:c>
      <x:c r="B273" s="64" t="n">
        <x:v>273</x:v>
      </x:c>
      <x:c r="C273" s="64" t="str">
        <x:v>PO-2025-0272</x:v>
      </x:c>
      <x:c r="D273" s="64" t="str">
        <x:v>PO-2025-0272</x:v>
      </x:c>
      <x:c r="E273" s="64" t="str">
        <x:v>B273</x:v>
      </x:c>
      <x:c r="F273" s="64" t="str">
        <x:v>PO_Date</x:v>
      </x:c>
      <x:c r="G273" s="64" t="str">
        <x:v>26/11/2025</x:v>
      </x:c>
      <x:c r="H273" s="64" t="str">
        <x:v>2025-11-26</x:v>
      </x:c>
      <x:c r="I273" s="64" t="str">
        <x:v>standardization</x:v>
      </x:c>
      <x:c r="J273" s="64" t="str">
        <x:v>Converted the source text date to a true spreadsheet date and standardized its display without changing the calendar date.</x:v>
      </x:c>
      <x:c r="K273" s="64" t="str">
        <x:v>PASS — parsed source date equals cleaned date</x:v>
      </x:c>
      <x:c r="L273" s="64" t="str">
        <x:v>High</x:v>
      </x:c>
      <x:c r="M273" s="64" t="str">
        <x:v>Instructor Approved</x:v>
      </x:c>
    </x:row>
    <x:row r="274">
      <x:c r="A274" s="64" t="str">
        <x:v>AUD-0273</x:v>
      </x:c>
      <x:c r="B274" s="64" t="n">
        <x:v>274</x:v>
      </x:c>
      <x:c r="C274" s="64" t="str">
        <x:v>PO-2025-0273</x:v>
      </x:c>
      <x:c r="D274" s="64" t="str">
        <x:v>PO-2025-0273</x:v>
      </x:c>
      <x:c r="E274" s="64" t="str">
        <x:v>B274</x:v>
      </x:c>
      <x:c r="F274" s="64" t="str">
        <x:v>PO_Date</x:v>
      </x:c>
      <x:c r="G274" s="64" t="str">
        <x:v>19/11/2025</x:v>
      </x:c>
      <x:c r="H274" s="64" t="str">
        <x:v>2025-11-19</x:v>
      </x:c>
      <x:c r="I274" s="64" t="str">
        <x:v>standardization</x:v>
      </x:c>
      <x:c r="J274" s="64" t="str">
        <x:v>Converted the source text date to a true spreadsheet date and standardized its display without changing the calendar date.</x:v>
      </x:c>
      <x:c r="K274" s="64" t="str">
        <x:v>PASS — parsed source date equals cleaned date</x:v>
      </x:c>
      <x:c r="L274" s="64" t="str">
        <x:v>High</x:v>
      </x:c>
      <x:c r="M274" s="64" t="str">
        <x:v>Instructor Approved</x:v>
      </x:c>
    </x:row>
    <x:row r="275">
      <x:c r="A275" s="64" t="str">
        <x:v>AUD-0274</x:v>
      </x:c>
      <x:c r="B275" s="64" t="n">
        <x:v>275</x:v>
      </x:c>
      <x:c r="C275" s="64" t="str">
        <x:v>PO-2025-0274</x:v>
      </x:c>
      <x:c r="D275" s="64" t="str">
        <x:v>PO-2025-0274</x:v>
      </x:c>
      <x:c r="E275" s="64" t="str">
        <x:v>B275</x:v>
      </x:c>
      <x:c r="F275" s="64" t="str">
        <x:v>PO_Date</x:v>
      </x:c>
      <x:c r="G275" s="64" t="str">
        <x:v>03/09/2025</x:v>
      </x:c>
      <x:c r="H275" s="64" t="str">
        <x:v>2025-09-03</x:v>
      </x:c>
      <x:c r="I275" s="64" t="str">
        <x:v>standardization</x:v>
      </x:c>
      <x:c r="J275" s="64" t="str">
        <x:v>Converted the source text date to a true spreadsheet date and standardized its display without changing the calendar date.</x:v>
      </x:c>
      <x:c r="K275" s="64" t="str">
        <x:v>PASS — parsed source date equals cleaned date</x:v>
      </x:c>
      <x:c r="L275" s="64" t="str">
        <x:v>High</x:v>
      </x:c>
      <x:c r="M275" s="64" t="str">
        <x:v>Instructor Approved</x:v>
      </x:c>
    </x:row>
    <x:row r="276">
      <x:c r="A276" s="64" t="str">
        <x:v>AUD-0275</x:v>
      </x:c>
      <x:c r="B276" s="64" t="n">
        <x:v>276</x:v>
      </x:c>
      <x:c r="C276" s="64" t="str">
        <x:v>PO-2025-0275</x:v>
      </x:c>
      <x:c r="D276" s="64" t="str">
        <x:v>PO-2025-0275</x:v>
      </x:c>
      <x:c r="E276" s="64" t="str">
        <x:v>B276</x:v>
      </x:c>
      <x:c r="F276" s="64" t="str">
        <x:v>PO_Date</x:v>
      </x:c>
      <x:c r="G276" s="64" t="str">
        <x:v>21/08/2025</x:v>
      </x:c>
      <x:c r="H276" s="64" t="str">
        <x:v>2025-08-21</x:v>
      </x:c>
      <x:c r="I276" s="64" t="str">
        <x:v>standardization</x:v>
      </x:c>
      <x:c r="J276" s="64" t="str">
        <x:v>Converted the source text date to a true spreadsheet date and standardized its display without changing the calendar date.</x:v>
      </x:c>
      <x:c r="K276" s="64" t="str">
        <x:v>PASS — parsed source date equals cleaned date</x:v>
      </x:c>
      <x:c r="L276" s="64" t="str">
        <x:v>High</x:v>
      </x:c>
      <x:c r="M276" s="64" t="str">
        <x:v>Instructor Approved</x:v>
      </x:c>
    </x:row>
    <x:row r="277">
      <x:c r="A277" s="64" t="str">
        <x:v>AUD-0276</x:v>
      </x:c>
      <x:c r="B277" s="64" t="n">
        <x:v>277</x:v>
      </x:c>
      <x:c r="C277" s="64" t="str">
        <x:v>PO-2025-0276</x:v>
      </x:c>
      <x:c r="D277" s="64" t="str">
        <x:v>PO-2025-0276</x:v>
      </x:c>
      <x:c r="E277" s="64" t="str">
        <x:v>B277</x:v>
      </x:c>
      <x:c r="F277" s="64" t="str">
        <x:v>PO_Date</x:v>
      </x:c>
      <x:c r="G277" s="64" t="str">
        <x:v>19/11/2025</x:v>
      </x:c>
      <x:c r="H277" s="64" t="str">
        <x:v>2025-11-19</x:v>
      </x:c>
      <x:c r="I277" s="64" t="str">
        <x:v>standardization</x:v>
      </x:c>
      <x:c r="J277" s="64" t="str">
        <x:v>Converted the source text date to a true spreadsheet date and standardized its display without changing the calendar date.</x:v>
      </x:c>
      <x:c r="K277" s="64" t="str">
        <x:v>PASS — parsed source date equals cleaned date</x:v>
      </x:c>
      <x:c r="L277" s="64" t="str">
        <x:v>High</x:v>
      </x:c>
      <x:c r="M277" s="64" t="str">
        <x:v>Instructor Approved</x:v>
      </x:c>
    </x:row>
    <x:row r="278">
      <x:c r="A278" s="64" t="str">
        <x:v>AUD-0277</x:v>
      </x:c>
      <x:c r="B278" s="64" t="n">
        <x:v>278</x:v>
      </x:c>
      <x:c r="C278" s="64" t="str">
        <x:v>PO-2025-0277</x:v>
      </x:c>
      <x:c r="D278" s="64" t="str">
        <x:v>PO-2025-0277</x:v>
      </x:c>
      <x:c r="E278" s="64" t="str">
        <x:v>B278</x:v>
      </x:c>
      <x:c r="F278" s="64" t="str">
        <x:v>PO_Date</x:v>
      </x:c>
      <x:c r="G278" s="64" t="str">
        <x:v>10/02/2025</x:v>
      </x:c>
      <x:c r="H278" s="64" t="str">
        <x:v>2025-02-10</x:v>
      </x:c>
      <x:c r="I278" s="64" t="str">
        <x:v>standardization</x:v>
      </x:c>
      <x:c r="J278" s="64" t="str">
        <x:v>Converted the source text date to a true spreadsheet date and standardized its display without changing the calendar date.</x:v>
      </x:c>
      <x:c r="K278" s="64" t="str">
        <x:v>PASS — parsed source date equals cleaned date</x:v>
      </x:c>
      <x:c r="L278" s="64" t="str">
        <x:v>High</x:v>
      </x:c>
      <x:c r="M278" s="64" t="str">
        <x:v>Instructor Approved</x:v>
      </x:c>
    </x:row>
    <x:row r="279">
      <x:c r="A279" s="64" t="str">
        <x:v>AUD-0278</x:v>
      </x:c>
      <x:c r="B279" s="64" t="n">
        <x:v>279</x:v>
      </x:c>
      <x:c r="C279" s="64" t="str">
        <x:v>PO-2025-0278</x:v>
      </x:c>
      <x:c r="D279" s="64" t="str">
        <x:v>PO-2025-0278</x:v>
      </x:c>
      <x:c r="E279" s="64" t="str">
        <x:v>B279</x:v>
      </x:c>
      <x:c r="F279" s="64" t="str">
        <x:v>PO_Date</x:v>
      </x:c>
      <x:c r="G279" s="64" t="str">
        <x:v>08/11/2025</x:v>
      </x:c>
      <x:c r="H279" s="64" t="str">
        <x:v>2025-11-08</x:v>
      </x:c>
      <x:c r="I279" s="64" t="str">
        <x:v>standardization</x:v>
      </x:c>
      <x:c r="J279" s="64" t="str">
        <x:v>Converted the source text date to a true spreadsheet date and standardized its display without changing the calendar date.</x:v>
      </x:c>
      <x:c r="K279" s="64" t="str">
        <x:v>PASS — parsed source date equals cleaned date</x:v>
      </x:c>
      <x:c r="L279" s="64" t="str">
        <x:v>High</x:v>
      </x:c>
      <x:c r="M279" s="64" t="str">
        <x:v>Instructor Approved</x:v>
      </x:c>
    </x:row>
    <x:row r="280">
      <x:c r="A280" s="64" t="str">
        <x:v>AUD-0279</x:v>
      </x:c>
      <x:c r="B280" s="64" t="n">
        <x:v>280</x:v>
      </x:c>
      <x:c r="C280" s="64" t="str">
        <x:v>PO-2025-0279</x:v>
      </x:c>
      <x:c r="D280" s="64" t="str">
        <x:v>PO-2025-0279</x:v>
      </x:c>
      <x:c r="E280" s="64" t="str">
        <x:v>B280</x:v>
      </x:c>
      <x:c r="F280" s="64" t="str">
        <x:v>PO_Date</x:v>
      </x:c>
      <x:c r="G280" s="64" t="str">
        <x:v>09/11/2025</x:v>
      </x:c>
      <x:c r="H280" s="64" t="str">
        <x:v>2025-11-09</x:v>
      </x:c>
      <x:c r="I280" s="64" t="str">
        <x:v>standardization</x:v>
      </x:c>
      <x:c r="J280" s="64" t="str">
        <x:v>Converted the source text date to a true spreadsheet date and standardized its display without changing the calendar date.</x:v>
      </x:c>
      <x:c r="K280" s="64" t="str">
        <x:v>PASS — parsed source date equals cleaned date</x:v>
      </x:c>
      <x:c r="L280" s="64" t="str">
        <x:v>High</x:v>
      </x:c>
      <x:c r="M280" s="64" t="str">
        <x:v>Instructor Approved</x:v>
      </x:c>
    </x:row>
    <x:row r="281">
      <x:c r="A281" s="64" t="str">
        <x:v>AUD-0280</x:v>
      </x:c>
      <x:c r="B281" s="64" t="n">
        <x:v>281</x:v>
      </x:c>
      <x:c r="C281" s="64" t="str">
        <x:v>PO-2025-0280</x:v>
      </x:c>
      <x:c r="D281" s="64" t="str">
        <x:v>PO-2025-0280</x:v>
      </x:c>
      <x:c r="E281" s="64" t="str">
        <x:v>B281</x:v>
      </x:c>
      <x:c r="F281" s="64" t="str">
        <x:v>PO_Date</x:v>
      </x:c>
      <x:c r="G281" s="64" t="str">
        <x:v>30/10/2025</x:v>
      </x:c>
      <x:c r="H281" s="64" t="str">
        <x:v>2025-10-30</x:v>
      </x:c>
      <x:c r="I281" s="64" t="str">
        <x:v>standardization</x:v>
      </x:c>
      <x:c r="J281" s="64" t="str">
        <x:v>Converted the source text date to a true spreadsheet date and standardized its display without changing the calendar date.</x:v>
      </x:c>
      <x:c r="K281" s="64" t="str">
        <x:v>PASS — parsed source date equals cleaned date</x:v>
      </x:c>
      <x:c r="L281" s="64" t="str">
        <x:v>High</x:v>
      </x:c>
      <x:c r="M281" s="64" t="str">
        <x:v>Instructor Approved</x:v>
      </x:c>
    </x:row>
    <x:row r="282">
      <x:c r="A282" s="64" t="str">
        <x:v>AUD-0281</x:v>
      </x:c>
      <x:c r="B282" s="64" t="n">
        <x:v>282</x:v>
      </x:c>
      <x:c r="C282" s="64" t="str">
        <x:v>PO-2025-0281</x:v>
      </x:c>
      <x:c r="D282" s="64" t="str">
        <x:v>PO-2025-0281</x:v>
      </x:c>
      <x:c r="E282" s="64" t="str">
        <x:v>B282</x:v>
      </x:c>
      <x:c r="F282" s="64" t="str">
        <x:v>PO_Date</x:v>
      </x:c>
      <x:c r="G282" s="64" t="str">
        <x:v>12/04/2025</x:v>
      </x:c>
      <x:c r="H282" s="64" t="str">
        <x:v>2025-04-12</x:v>
      </x:c>
      <x:c r="I282" s="64" t="str">
        <x:v>standardization</x:v>
      </x:c>
      <x:c r="J282" s="64" t="str">
        <x:v>Converted the source text date to a true spreadsheet date and standardized its display without changing the calendar date.</x:v>
      </x:c>
      <x:c r="K282" s="64" t="str">
        <x:v>PASS — parsed source date equals cleaned date</x:v>
      </x:c>
      <x:c r="L282" s="64" t="str">
        <x:v>High</x:v>
      </x:c>
      <x:c r="M282" s="64" t="str">
        <x:v>Instructor Approved</x:v>
      </x:c>
    </x:row>
    <x:row r="283">
      <x:c r="A283" s="64" t="str">
        <x:v>AUD-0282</x:v>
      </x:c>
      <x:c r="B283" s="64" t="n">
        <x:v>283</x:v>
      </x:c>
      <x:c r="C283" s="64" t="str">
        <x:v>PO-2025-0282</x:v>
      </x:c>
      <x:c r="D283" s="64" t="str">
        <x:v>PO-2025-0282</x:v>
      </x:c>
      <x:c r="E283" s="64" t="str">
        <x:v>B283</x:v>
      </x:c>
      <x:c r="F283" s="64" t="str">
        <x:v>PO_Date</x:v>
      </x:c>
      <x:c r="G283" s="64" t="str">
        <x:v>27/11/2025</x:v>
      </x:c>
      <x:c r="H283" s="64" t="str">
        <x:v>2025-11-27</x:v>
      </x:c>
      <x:c r="I283" s="64" t="str">
        <x:v>standardization</x:v>
      </x:c>
      <x:c r="J283" s="64" t="str">
        <x:v>Converted the source text date to a true spreadsheet date and standardized its display without changing the calendar date.</x:v>
      </x:c>
      <x:c r="K283" s="64" t="str">
        <x:v>PASS — parsed source date equals cleaned date</x:v>
      </x:c>
      <x:c r="L283" s="64" t="str">
        <x:v>High</x:v>
      </x:c>
      <x:c r="M283" s="64" t="str">
        <x:v>Instructor Approved</x:v>
      </x:c>
    </x:row>
    <x:row r="284">
      <x:c r="A284" s="64" t="str">
        <x:v>AUD-0283</x:v>
      </x:c>
      <x:c r="B284" s="64" t="n">
        <x:v>284</x:v>
      </x:c>
      <x:c r="C284" s="64" t="str">
        <x:v>PO-2025-0283</x:v>
      </x:c>
      <x:c r="D284" s="64" t="str">
        <x:v>PO-2025-0283</x:v>
      </x:c>
      <x:c r="E284" s="64" t="str">
        <x:v>B284</x:v>
      </x:c>
      <x:c r="F284" s="64" t="str">
        <x:v>PO_Date</x:v>
      </x:c>
      <x:c r="G284" s="64" t="str">
        <x:v>03/10/2025</x:v>
      </x:c>
      <x:c r="H284" s="64" t="str">
        <x:v>2025-10-03</x:v>
      </x:c>
      <x:c r="I284" s="64" t="str">
        <x:v>standardization</x:v>
      </x:c>
      <x:c r="J284" s="64" t="str">
        <x:v>Converted the source text date to a true spreadsheet date and standardized its display without changing the calendar date.</x:v>
      </x:c>
      <x:c r="K284" s="64" t="str">
        <x:v>PASS — parsed source date equals cleaned date</x:v>
      </x:c>
      <x:c r="L284" s="64" t="str">
        <x:v>High</x:v>
      </x:c>
      <x:c r="M284" s="64" t="str">
        <x:v>Instructor Approved</x:v>
      </x:c>
    </x:row>
    <x:row r="285">
      <x:c r="A285" s="64" t="str">
        <x:v>AUD-0284</x:v>
      </x:c>
      <x:c r="B285" s="64" t="n">
        <x:v>285</x:v>
      </x:c>
      <x:c r="C285" s="64" t="str">
        <x:v>PO-2025-0284</x:v>
      </x:c>
      <x:c r="D285" s="64" t="str">
        <x:v>PO-2025-0284</x:v>
      </x:c>
      <x:c r="E285" s="64" t="str">
        <x:v>B285</x:v>
      </x:c>
      <x:c r="F285" s="64" t="str">
        <x:v>PO_Date</x:v>
      </x:c>
      <x:c r="G285" s="64" t="str">
        <x:v>24/01/2025</x:v>
      </x:c>
      <x:c r="H285" s="64" t="str">
        <x:v>2025-01-24</x:v>
      </x:c>
      <x:c r="I285" s="64" t="str">
        <x:v>standardization</x:v>
      </x:c>
      <x:c r="J285" s="64" t="str">
        <x:v>Converted the source text date to a true spreadsheet date and standardized its display without changing the calendar date.</x:v>
      </x:c>
      <x:c r="K285" s="64" t="str">
        <x:v>PASS — parsed source date equals cleaned date</x:v>
      </x:c>
      <x:c r="L285" s="64" t="str">
        <x:v>High</x:v>
      </x:c>
      <x:c r="M285" s="64" t="str">
        <x:v>Instructor Approved</x:v>
      </x:c>
    </x:row>
    <x:row r="286">
      <x:c r="A286" s="64" t="str">
        <x:v>AUD-0285</x:v>
      </x:c>
      <x:c r="B286" s="64" t="n">
        <x:v>286</x:v>
      </x:c>
      <x:c r="C286" s="64" t="str">
        <x:v>PO-2025-0285</x:v>
      </x:c>
      <x:c r="D286" s="64" t="str">
        <x:v>PO-2025-0285</x:v>
      </x:c>
      <x:c r="E286" s="64" t="str">
        <x:v>B286</x:v>
      </x:c>
      <x:c r="F286" s="64" t="str">
        <x:v>PO_Date</x:v>
      </x:c>
      <x:c r="G286" s="64" t="str">
        <x:v>08/07/2025</x:v>
      </x:c>
      <x:c r="H286" s="64" t="str">
        <x:v>2025-07-08</x:v>
      </x:c>
      <x:c r="I286" s="64" t="str">
        <x:v>standardization</x:v>
      </x:c>
      <x:c r="J286" s="64" t="str">
        <x:v>Converted the source text date to a true spreadsheet date and standardized its display without changing the calendar date.</x:v>
      </x:c>
      <x:c r="K286" s="64" t="str">
        <x:v>PASS — parsed source date equals cleaned date</x:v>
      </x:c>
      <x:c r="L286" s="64" t="str">
        <x:v>High</x:v>
      </x:c>
      <x:c r="M286" s="64" t="str">
        <x:v>Instructor Approved</x:v>
      </x:c>
    </x:row>
    <x:row r="287">
      <x:c r="A287" s="64" t="str">
        <x:v>AUD-0286</x:v>
      </x:c>
      <x:c r="B287" s="64" t="n">
        <x:v>287</x:v>
      </x:c>
      <x:c r="C287" s="64" t="str">
        <x:v>PO-2025-0286</x:v>
      </x:c>
      <x:c r="D287" s="64" t="str">
        <x:v>PO-2025-0286</x:v>
      </x:c>
      <x:c r="E287" s="64" t="str">
        <x:v>B287</x:v>
      </x:c>
      <x:c r="F287" s="64" t="str">
        <x:v>PO_Date</x:v>
      </x:c>
      <x:c r="G287" s="64" t="str">
        <x:v>13/04/2025</x:v>
      </x:c>
      <x:c r="H287" s="64" t="str">
        <x:v>2025-04-13</x:v>
      </x:c>
      <x:c r="I287" s="64" t="str">
        <x:v>standardization</x:v>
      </x:c>
      <x:c r="J287" s="64" t="str">
        <x:v>Converted the source text date to a true spreadsheet date and standardized its display without changing the calendar date.</x:v>
      </x:c>
      <x:c r="K287" s="64" t="str">
        <x:v>PASS — parsed source date equals cleaned date</x:v>
      </x:c>
      <x:c r="L287" s="64" t="str">
        <x:v>High</x:v>
      </x:c>
      <x:c r="M287" s="64" t="str">
        <x:v>Instructor Approved</x:v>
      </x:c>
    </x:row>
    <x:row r="288">
      <x:c r="A288" s="64" t="str">
        <x:v>AUD-0287</x:v>
      </x:c>
      <x:c r="B288" s="64" t="n">
        <x:v>288</x:v>
      </x:c>
      <x:c r="C288" s="64" t="str">
        <x:v>PO-2025-0287</x:v>
      </x:c>
      <x:c r="D288" s="64" t="str">
        <x:v>PO-2025-0287</x:v>
      </x:c>
      <x:c r="E288" s="64" t="str">
        <x:v>B288</x:v>
      </x:c>
      <x:c r="F288" s="64" t="str">
        <x:v>PO_Date</x:v>
      </x:c>
      <x:c r="G288" s="64" t="str">
        <x:v>02/02/2025</x:v>
      </x:c>
      <x:c r="H288" s="64" t="str">
        <x:v>2025-02-02</x:v>
      </x:c>
      <x:c r="I288" s="64" t="str">
        <x:v>standardization</x:v>
      </x:c>
      <x:c r="J288" s="64" t="str">
        <x:v>Converted the source text date to a true spreadsheet date and standardized its display without changing the calendar date.</x:v>
      </x:c>
      <x:c r="K288" s="64" t="str">
        <x:v>PASS — parsed source date equals cleaned date</x:v>
      </x:c>
      <x:c r="L288" s="64" t="str">
        <x:v>High</x:v>
      </x:c>
      <x:c r="M288" s="64" t="str">
        <x:v>Instructor Approved</x:v>
      </x:c>
    </x:row>
    <x:row r="289">
      <x:c r="A289" s="64" t="str">
        <x:v>AUD-0288</x:v>
      </x:c>
      <x:c r="B289" s="64" t="n">
        <x:v>289</x:v>
      </x:c>
      <x:c r="C289" s="64" t="str">
        <x:v>PO-2025-0288</x:v>
      </x:c>
      <x:c r="D289" s="64" t="str">
        <x:v>PO-2025-0288</x:v>
      </x:c>
      <x:c r="E289" s="64" t="str">
        <x:v>B289</x:v>
      </x:c>
      <x:c r="F289" s="64" t="str">
        <x:v>PO_Date</x:v>
      </x:c>
      <x:c r="G289" s="64" t="str">
        <x:v>28/10/2025</x:v>
      </x:c>
      <x:c r="H289" s="64" t="str">
        <x:v>2025-10-28</x:v>
      </x:c>
      <x:c r="I289" s="64" t="str">
        <x:v>standardization</x:v>
      </x:c>
      <x:c r="J289" s="64" t="str">
        <x:v>Converted the source text date to a true spreadsheet date and standardized its display without changing the calendar date.</x:v>
      </x:c>
      <x:c r="K289" s="64" t="str">
        <x:v>PASS — parsed source date equals cleaned date</x:v>
      </x:c>
      <x:c r="L289" s="64" t="str">
        <x:v>High</x:v>
      </x:c>
      <x:c r="M289" s="64" t="str">
        <x:v>Instructor Approved</x:v>
      </x:c>
    </x:row>
    <x:row r="290">
      <x:c r="A290" s="64" t="str">
        <x:v>AUD-0289</x:v>
      </x:c>
      <x:c r="B290" s="64" t="n">
        <x:v>290</x:v>
      </x:c>
      <x:c r="C290" s="64" t="str">
        <x:v>PO-2025-0289</x:v>
      </x:c>
      <x:c r="D290" s="64" t="str">
        <x:v>PO-2025-0289</x:v>
      </x:c>
      <x:c r="E290" s="64" t="str">
        <x:v>B290</x:v>
      </x:c>
      <x:c r="F290" s="64" t="str">
        <x:v>PO_Date</x:v>
      </x:c>
      <x:c r="G290" s="64" t="str">
        <x:v>01/08/2025</x:v>
      </x:c>
      <x:c r="H290" s="64" t="str">
        <x:v>2025-08-01</x:v>
      </x:c>
      <x:c r="I290" s="64" t="str">
        <x:v>standardization</x:v>
      </x:c>
      <x:c r="J290" s="64" t="str">
        <x:v>Converted the source text date to a true spreadsheet date and standardized its display without changing the calendar date.</x:v>
      </x:c>
      <x:c r="K290" s="64" t="str">
        <x:v>PASS — parsed source date equals cleaned date</x:v>
      </x:c>
      <x:c r="L290" s="64" t="str">
        <x:v>High</x:v>
      </x:c>
      <x:c r="M290" s="64" t="str">
        <x:v>Instructor Approved</x:v>
      </x:c>
    </x:row>
    <x:row r="291">
      <x:c r="A291" s="64" t="str">
        <x:v>AUD-0290</x:v>
      </x:c>
      <x:c r="B291" s="64" t="n">
        <x:v>291</x:v>
      </x:c>
      <x:c r="C291" s="64" t="str">
        <x:v>PO-2025-0290</x:v>
      </x:c>
      <x:c r="D291" s="64" t="str">
        <x:v>PO-2025-0290</x:v>
      </x:c>
      <x:c r="E291" s="64" t="str">
        <x:v>B291</x:v>
      </x:c>
      <x:c r="F291" s="64" t="str">
        <x:v>PO_Date</x:v>
      </x:c>
      <x:c r="G291" s="64" t="str">
        <x:v>24/07/2025</x:v>
      </x:c>
      <x:c r="H291" s="64" t="str">
        <x:v>2025-07-24</x:v>
      </x:c>
      <x:c r="I291" s="64" t="str">
        <x:v>standardization</x:v>
      </x:c>
      <x:c r="J291" s="64" t="str">
        <x:v>Converted the source text date to a true spreadsheet date and standardized its display without changing the calendar date.</x:v>
      </x:c>
      <x:c r="K291" s="64" t="str">
        <x:v>PASS — parsed source date equals cleaned date</x:v>
      </x:c>
      <x:c r="L291" s="64" t="str">
        <x:v>High</x:v>
      </x:c>
      <x:c r="M291" s="64" t="str">
        <x:v>Instructor Approved</x:v>
      </x:c>
    </x:row>
    <x:row r="292">
      <x:c r="A292" s="64" t="str">
        <x:v>AUD-0291</x:v>
      </x:c>
      <x:c r="B292" s="64" t="n">
        <x:v>292</x:v>
      </x:c>
      <x:c r="C292" s="64" t="str">
        <x:v>PO-2025-0291</x:v>
      </x:c>
      <x:c r="D292" s="64" t="str">
        <x:v>PO-2025-0291</x:v>
      </x:c>
      <x:c r="E292" s="64" t="str">
        <x:v>B292</x:v>
      </x:c>
      <x:c r="F292" s="64" t="str">
        <x:v>PO_Date</x:v>
      </x:c>
      <x:c r="G292" s="64" t="str">
        <x:v>01/06/2025</x:v>
      </x:c>
      <x:c r="H292" s="64" t="str">
        <x:v>2025-06-01</x:v>
      </x:c>
      <x:c r="I292" s="64" t="str">
        <x:v>standardization</x:v>
      </x:c>
      <x:c r="J292" s="64" t="str">
        <x:v>Converted the source text date to a true spreadsheet date and standardized its display without changing the calendar date.</x:v>
      </x:c>
      <x:c r="K292" s="64" t="str">
        <x:v>PASS — parsed source date equals cleaned date</x:v>
      </x:c>
      <x:c r="L292" s="64" t="str">
        <x:v>High</x:v>
      </x:c>
      <x:c r="M292" s="64" t="str">
        <x:v>Instructor Approved</x:v>
      </x:c>
    </x:row>
    <x:row r="293">
      <x:c r="A293" s="64" t="str">
        <x:v>AUD-0292</x:v>
      </x:c>
      <x:c r="B293" s="64" t="n">
        <x:v>293</x:v>
      </x:c>
      <x:c r="C293" s="64" t="str">
        <x:v>PO-2025-0292</x:v>
      </x:c>
      <x:c r="D293" s="64" t="str">
        <x:v>PO-2025-0292</x:v>
      </x:c>
      <x:c r="E293" s="64" t="str">
        <x:v>B293</x:v>
      </x:c>
      <x:c r="F293" s="64" t="str">
        <x:v>PO_Date</x:v>
      </x:c>
      <x:c r="G293" s="64" t="str">
        <x:v>25/03/2025</x:v>
      </x:c>
      <x:c r="H293" s="64" t="str">
        <x:v>2025-03-25</x:v>
      </x:c>
      <x:c r="I293" s="64" t="str">
        <x:v>standardization</x:v>
      </x:c>
      <x:c r="J293" s="64" t="str">
        <x:v>Converted the source text date to a true spreadsheet date and standardized its display without changing the calendar date.</x:v>
      </x:c>
      <x:c r="K293" s="64" t="str">
        <x:v>PASS — parsed source date equals cleaned date</x:v>
      </x:c>
      <x:c r="L293" s="64" t="str">
        <x:v>High</x:v>
      </x:c>
      <x:c r="M293" s="64" t="str">
        <x:v>Instructor Approved</x:v>
      </x:c>
    </x:row>
    <x:row r="294">
      <x:c r="A294" s="64" t="str">
        <x:v>AUD-0293</x:v>
      </x:c>
      <x:c r="B294" s="64" t="n">
        <x:v>294</x:v>
      </x:c>
      <x:c r="C294" s="64" t="str">
        <x:v>PO-2025-0293</x:v>
      </x:c>
      <x:c r="D294" s="64" t="str">
        <x:v>PO-2025-0293</x:v>
      </x:c>
      <x:c r="E294" s="64" t="str">
        <x:v>B294</x:v>
      </x:c>
      <x:c r="F294" s="64" t="str">
        <x:v>PO_Date</x:v>
      </x:c>
      <x:c r="G294" s="64" t="str">
        <x:v>01/10/2025</x:v>
      </x:c>
      <x:c r="H294" s="64" t="str">
        <x:v>2025-10-01</x:v>
      </x:c>
      <x:c r="I294" s="64" t="str">
        <x:v>standardization</x:v>
      </x:c>
      <x:c r="J294" s="64" t="str">
        <x:v>Converted the source text date to a true spreadsheet date and standardized its display without changing the calendar date.</x:v>
      </x:c>
      <x:c r="K294" s="64" t="str">
        <x:v>PASS — parsed source date equals cleaned date</x:v>
      </x:c>
      <x:c r="L294" s="64" t="str">
        <x:v>High</x:v>
      </x:c>
      <x:c r="M294" s="64" t="str">
        <x:v>Instructor Approved</x:v>
      </x:c>
    </x:row>
    <x:row r="295">
      <x:c r="A295" s="64" t="str">
        <x:v>AUD-0294</x:v>
      </x:c>
      <x:c r="B295" s="64" t="n">
        <x:v>295</x:v>
      </x:c>
      <x:c r="C295" s="64" t="str">
        <x:v>PO-2025-0294</x:v>
      </x:c>
      <x:c r="D295" s="64" t="str">
        <x:v>PO-2025-0294</x:v>
      </x:c>
      <x:c r="E295" s="64" t="str">
        <x:v>B295</x:v>
      </x:c>
      <x:c r="F295" s="64" t="str">
        <x:v>PO_Date</x:v>
      </x:c>
      <x:c r="G295" s="64" t="str">
        <x:v>27/02/2025</x:v>
      </x:c>
      <x:c r="H295" s="64" t="str">
        <x:v>2025-02-27</x:v>
      </x:c>
      <x:c r="I295" s="64" t="str">
        <x:v>standardization</x:v>
      </x:c>
      <x:c r="J295" s="64" t="str">
        <x:v>Converted the source text date to a true spreadsheet date and standardized its display without changing the calendar date.</x:v>
      </x:c>
      <x:c r="K295" s="64" t="str">
        <x:v>PASS — parsed source date equals cleaned date</x:v>
      </x:c>
      <x:c r="L295" s="64" t="str">
        <x:v>High</x:v>
      </x:c>
      <x:c r="M295" s="64" t="str">
        <x:v>Instructor Approved</x:v>
      </x:c>
    </x:row>
    <x:row r="296">
      <x:c r="A296" s="64" t="str">
        <x:v>AUD-0295</x:v>
      </x:c>
      <x:c r="B296" s="64" t="n">
        <x:v>296</x:v>
      </x:c>
      <x:c r="C296" s="64" t="str">
        <x:v>PO-2025-0295</x:v>
      </x:c>
      <x:c r="D296" s="64" t="str">
        <x:v>PO-2025-0295</x:v>
      </x:c>
      <x:c r="E296" s="64" t="str">
        <x:v>B296</x:v>
      </x:c>
      <x:c r="F296" s="64" t="str">
        <x:v>PO_Date</x:v>
      </x:c>
      <x:c r="G296" s="64" t="str">
        <x:v>28/09/2025</x:v>
      </x:c>
      <x:c r="H296" s="64" t="str">
        <x:v>2025-09-28</x:v>
      </x:c>
      <x:c r="I296" s="64" t="str">
        <x:v>standardization</x:v>
      </x:c>
      <x:c r="J296" s="64" t="str">
        <x:v>Converted the source text date to a true spreadsheet date and standardized its display without changing the calendar date.</x:v>
      </x:c>
      <x:c r="K296" s="64" t="str">
        <x:v>PASS — parsed source date equals cleaned date</x:v>
      </x:c>
      <x:c r="L296" s="64" t="str">
        <x:v>High</x:v>
      </x:c>
      <x:c r="M296" s="64" t="str">
        <x:v>Instructor Approved</x:v>
      </x:c>
    </x:row>
    <x:row r="297">
      <x:c r="A297" s="64" t="str">
        <x:v>AUD-0296</x:v>
      </x:c>
      <x:c r="B297" s="64" t="n">
        <x:v>297</x:v>
      </x:c>
      <x:c r="C297" s="64" t="str">
        <x:v>PO-2025-0296</x:v>
      </x:c>
      <x:c r="D297" s="64" t="str">
        <x:v>PO-2025-0296</x:v>
      </x:c>
      <x:c r="E297" s="64" t="str">
        <x:v>B297</x:v>
      </x:c>
      <x:c r="F297" s="64" t="str">
        <x:v>PO_Date</x:v>
      </x:c>
      <x:c r="G297" s="64" t="str">
        <x:v>06/03/2025</x:v>
      </x:c>
      <x:c r="H297" s="64" t="str">
        <x:v>2025-03-06</x:v>
      </x:c>
      <x:c r="I297" s="64" t="str">
        <x:v>standardization</x:v>
      </x:c>
      <x:c r="J297" s="64" t="str">
        <x:v>Converted the source text date to a true spreadsheet date and standardized its display without changing the calendar date.</x:v>
      </x:c>
      <x:c r="K297" s="64" t="str">
        <x:v>PASS — parsed source date equals cleaned date</x:v>
      </x:c>
      <x:c r="L297" s="64" t="str">
        <x:v>High</x:v>
      </x:c>
      <x:c r="M297" s="64" t="str">
        <x:v>Instructor Approved</x:v>
      </x:c>
    </x:row>
    <x:row r="298">
      <x:c r="A298" s="64" t="str">
        <x:v>AUD-0297</x:v>
      </x:c>
      <x:c r="B298" s="64" t="n">
        <x:v>298</x:v>
      </x:c>
      <x:c r="C298" s="64" t="str">
        <x:v>PO-2025-0297</x:v>
      </x:c>
      <x:c r="D298" s="64" t="str">
        <x:v>PO-2025-0297</x:v>
      </x:c>
      <x:c r="E298" s="64" t="str">
        <x:v>B298</x:v>
      </x:c>
      <x:c r="F298" s="64" t="str">
        <x:v>PO_Date</x:v>
      </x:c>
      <x:c r="G298" s="64" t="str">
        <x:v>29/09/2025</x:v>
      </x:c>
      <x:c r="H298" s="64" t="str">
        <x:v>2025-09-29</x:v>
      </x:c>
      <x:c r="I298" s="64" t="str">
        <x:v>standardization</x:v>
      </x:c>
      <x:c r="J298" s="64" t="str">
        <x:v>Converted the source text date to a true spreadsheet date and standardized its display without changing the calendar date.</x:v>
      </x:c>
      <x:c r="K298" s="64" t="str">
        <x:v>PASS — parsed source date equals cleaned date</x:v>
      </x:c>
      <x:c r="L298" s="64" t="str">
        <x:v>High</x:v>
      </x:c>
      <x:c r="M298" s="64" t="str">
        <x:v>Instructor Approved</x:v>
      </x:c>
    </x:row>
    <x:row r="299">
      <x:c r="A299" s="64" t="str">
        <x:v>AUD-0298</x:v>
      </x:c>
      <x:c r="B299" s="64" t="n">
        <x:v>299</x:v>
      </x:c>
      <x:c r="C299" s="64" t="str">
        <x:v>PO-2025-0298</x:v>
      </x:c>
      <x:c r="D299" s="64" t="str">
        <x:v>PO-2025-0298</x:v>
      </x:c>
      <x:c r="E299" s="64" t="str">
        <x:v>B299</x:v>
      </x:c>
      <x:c r="F299" s="64" t="str">
        <x:v>PO_Date</x:v>
      </x:c>
      <x:c r="G299" s="64" t="str">
        <x:v>02/05/2025</x:v>
      </x:c>
      <x:c r="H299" s="64" t="str">
        <x:v>2025-05-02</x:v>
      </x:c>
      <x:c r="I299" s="64" t="str">
        <x:v>standardization</x:v>
      </x:c>
      <x:c r="J299" s="64" t="str">
        <x:v>Converted the source text date to a true spreadsheet date and standardized its display without changing the calendar date.</x:v>
      </x:c>
      <x:c r="K299" s="64" t="str">
        <x:v>PASS — parsed source date equals cleaned date</x:v>
      </x:c>
      <x:c r="L299" s="64" t="str">
        <x:v>High</x:v>
      </x:c>
      <x:c r="M299" s="64" t="str">
        <x:v>Instructor Approved</x:v>
      </x:c>
    </x:row>
    <x:row r="300">
      <x:c r="A300" s="64" t="str">
        <x:v>AUD-0299</x:v>
      </x:c>
      <x:c r="B300" s="64" t="n">
        <x:v>300</x:v>
      </x:c>
      <x:c r="C300" s="64" t="str">
        <x:v>PO-2025-0299</x:v>
      </x:c>
      <x:c r="D300" s="64" t="str">
        <x:v>PO-2025-0299</x:v>
      </x:c>
      <x:c r="E300" s="64" t="str">
        <x:v>B300</x:v>
      </x:c>
      <x:c r="F300" s="64" t="str">
        <x:v>PO_Date</x:v>
      </x:c>
      <x:c r="G300" s="64" t="str">
        <x:v>18/09/2025</x:v>
      </x:c>
      <x:c r="H300" s="64" t="str">
        <x:v>2025-09-18</x:v>
      </x:c>
      <x:c r="I300" s="64" t="str">
        <x:v>standardization</x:v>
      </x:c>
      <x:c r="J300" s="64" t="str">
        <x:v>Converted the source text date to a true spreadsheet date and standardized its display without changing the calendar date.</x:v>
      </x:c>
      <x:c r="K300" s="64" t="str">
        <x:v>PASS — parsed source date equals cleaned date</x:v>
      </x:c>
      <x:c r="L300" s="64" t="str">
        <x:v>High</x:v>
      </x:c>
      <x:c r="M300" s="64" t="str">
        <x:v>Instructor Approved</x:v>
      </x:c>
    </x:row>
    <x:row r="301">
      <x:c r="A301" s="64" t="str">
        <x:v>AUD-0300</x:v>
      </x:c>
      <x:c r="B301" s="64" t="n">
        <x:v>301</x:v>
      </x:c>
      <x:c r="C301" s="64" t="str">
        <x:v>PO-2025-0300</x:v>
      </x:c>
      <x:c r="D301" s="64" t="str">
        <x:v>PO-2025-0300</x:v>
      </x:c>
      <x:c r="E301" s="64" t="str">
        <x:v>B301</x:v>
      </x:c>
      <x:c r="F301" s="64" t="str">
        <x:v>PO_Date</x:v>
      </x:c>
      <x:c r="G301" s="64" t="str">
        <x:v>02/12/2025</x:v>
      </x:c>
      <x:c r="H301" s="64" t="str">
        <x:v>2025-12-02</x:v>
      </x:c>
      <x:c r="I301" s="64" t="str">
        <x:v>standardization</x:v>
      </x:c>
      <x:c r="J301" s="64" t="str">
        <x:v>Converted the source text date to a true spreadsheet date and standardized its display without changing the calendar date.</x:v>
      </x:c>
      <x:c r="K301" s="64" t="str">
        <x:v>PASS — parsed source date equals cleaned date</x:v>
      </x:c>
      <x:c r="L301" s="64" t="str">
        <x:v>High</x:v>
      </x:c>
      <x:c r="M301" s="64" t="str">
        <x:v>Instructor Approved</x:v>
      </x:c>
    </x:row>
    <x:row r="302">
      <x:c r="A302" s="64" t="str">
        <x:v>AUD-0301</x:v>
      </x:c>
      <x:c r="B302" s="64" t="n">
        <x:v>302</x:v>
      </x:c>
      <x:c r="C302" s="64" t="str">
        <x:v>PO-2025-0301</x:v>
      </x:c>
      <x:c r="D302" s="64" t="str">
        <x:v>PO-2025-0301</x:v>
      </x:c>
      <x:c r="E302" s="64" t="str">
        <x:v>B302</x:v>
      </x:c>
      <x:c r="F302" s="64" t="str">
        <x:v>PO_Date</x:v>
      </x:c>
      <x:c r="G302" s="64" t="str">
        <x:v>13/04/2025</x:v>
      </x:c>
      <x:c r="H302" s="64" t="str">
        <x:v>2025-04-13</x:v>
      </x:c>
      <x:c r="I302" s="64" t="str">
        <x:v>standardization</x:v>
      </x:c>
      <x:c r="J302" s="64" t="str">
        <x:v>Converted the source text date to a true spreadsheet date and standardized its display without changing the calendar date.</x:v>
      </x:c>
      <x:c r="K302" s="64" t="str">
        <x:v>PASS — parsed source date equals cleaned date</x:v>
      </x:c>
      <x:c r="L302" s="64" t="str">
        <x:v>High</x:v>
      </x:c>
      <x:c r="M302" s="64" t="str">
        <x:v>Instructor Approved</x:v>
      </x:c>
    </x:row>
    <x:row r="303">
      <x:c r="A303" s="64" t="str">
        <x:v>AUD-0302</x:v>
      </x:c>
      <x:c r="B303" s="64" t="n">
        <x:v>303</x:v>
      </x:c>
      <x:c r="C303" s="64" t="str">
        <x:v>PO-2025-0302</x:v>
      </x:c>
      <x:c r="D303" s="64" t="str">
        <x:v>PO-2025-0302</x:v>
      </x:c>
      <x:c r="E303" s="64" t="str">
        <x:v>B303</x:v>
      </x:c>
      <x:c r="F303" s="64" t="str">
        <x:v>PO_Date</x:v>
      </x:c>
      <x:c r="G303" s="64" t="str">
        <x:v>25/02/2025</x:v>
      </x:c>
      <x:c r="H303" s="64" t="str">
        <x:v>2025-02-25</x:v>
      </x:c>
      <x:c r="I303" s="64" t="str">
        <x:v>standardization</x:v>
      </x:c>
      <x:c r="J303" s="64" t="str">
        <x:v>Converted the source text date to a true spreadsheet date and standardized its display without changing the calendar date.</x:v>
      </x:c>
      <x:c r="K303" s="64" t="str">
        <x:v>PASS — parsed source date equals cleaned date</x:v>
      </x:c>
      <x:c r="L303" s="64" t="str">
        <x:v>High</x:v>
      </x:c>
      <x:c r="M303" s="64" t="str">
        <x:v>Instructor Approved</x:v>
      </x:c>
    </x:row>
    <x:row r="304">
      <x:c r="A304" s="64" t="str">
        <x:v>AUD-0303</x:v>
      </x:c>
      <x:c r="B304" s="64" t="n">
        <x:v>304</x:v>
      </x:c>
      <x:c r="C304" s="64" t="str">
        <x:v>PO-2025-0303</x:v>
      </x:c>
      <x:c r="D304" s="64" t="str">
        <x:v>PO-2025-0303</x:v>
      </x:c>
      <x:c r="E304" s="64" t="str">
        <x:v>B304</x:v>
      </x:c>
      <x:c r="F304" s="64" t="str">
        <x:v>PO_Date</x:v>
      </x:c>
      <x:c r="G304" s="64" t="str">
        <x:v>08/11/2025</x:v>
      </x:c>
      <x:c r="H304" s="64" t="str">
        <x:v>2025-11-08</x:v>
      </x:c>
      <x:c r="I304" s="64" t="str">
        <x:v>standardization</x:v>
      </x:c>
      <x:c r="J304" s="64" t="str">
        <x:v>Converted the source text date to a true spreadsheet date and standardized its display without changing the calendar date.</x:v>
      </x:c>
      <x:c r="K304" s="64" t="str">
        <x:v>PASS — parsed source date equals cleaned date</x:v>
      </x:c>
      <x:c r="L304" s="64" t="str">
        <x:v>High</x:v>
      </x:c>
      <x:c r="M304" s="64" t="str">
        <x:v>Instructor Approved</x:v>
      </x:c>
    </x:row>
    <x:row r="305">
      <x:c r="A305" s="64" t="str">
        <x:v>AUD-0304</x:v>
      </x:c>
      <x:c r="B305" s="64" t="n">
        <x:v>305</x:v>
      </x:c>
      <x:c r="C305" s="64" t="str">
        <x:v>PO-2025-0304</x:v>
      </x:c>
      <x:c r="D305" s="64" t="str">
        <x:v>PO-2025-0304</x:v>
      </x:c>
      <x:c r="E305" s="64" t="str">
        <x:v>B305</x:v>
      </x:c>
      <x:c r="F305" s="64" t="str">
        <x:v>PO_Date</x:v>
      </x:c>
      <x:c r="G305" s="64" t="str">
        <x:v>27/01/2025</x:v>
      </x:c>
      <x:c r="H305" s="64" t="str">
        <x:v>2025-01-27</x:v>
      </x:c>
      <x:c r="I305" s="64" t="str">
        <x:v>standardization</x:v>
      </x:c>
      <x:c r="J305" s="64" t="str">
        <x:v>Converted the source text date to a true spreadsheet date and standardized its display without changing the calendar date.</x:v>
      </x:c>
      <x:c r="K305" s="64" t="str">
        <x:v>PASS — parsed source date equals cleaned date</x:v>
      </x:c>
      <x:c r="L305" s="64" t="str">
        <x:v>High</x:v>
      </x:c>
      <x:c r="M305" s="64" t="str">
        <x:v>Instructor Approved</x:v>
      </x:c>
    </x:row>
    <x:row r="306">
      <x:c r="A306" s="64" t="str">
        <x:v>AUD-0305</x:v>
      </x:c>
      <x:c r="B306" s="64" t="n">
        <x:v>306</x:v>
      </x:c>
      <x:c r="C306" s="64" t="str">
        <x:v>PO-2025-0305</x:v>
      </x:c>
      <x:c r="D306" s="64" t="str">
        <x:v>PO-2025-0305</x:v>
      </x:c>
      <x:c r="E306" s="64" t="str">
        <x:v>B306</x:v>
      </x:c>
      <x:c r="F306" s="64" t="str">
        <x:v>PO_Date</x:v>
      </x:c>
      <x:c r="G306" s="64" t="str">
        <x:v>03/01/2025</x:v>
      </x:c>
      <x:c r="H306" s="64" t="str">
        <x:v>2025-01-03</x:v>
      </x:c>
      <x:c r="I306" s="64" t="str">
        <x:v>standardization</x:v>
      </x:c>
      <x:c r="J306" s="64" t="str">
        <x:v>Converted the source text date to a true spreadsheet date and standardized its display without changing the calendar date.</x:v>
      </x:c>
      <x:c r="K306" s="64" t="str">
        <x:v>PASS — parsed source date equals cleaned date</x:v>
      </x:c>
      <x:c r="L306" s="64" t="str">
        <x:v>High</x:v>
      </x:c>
      <x:c r="M306" s="64" t="str">
        <x:v>Instructor Approved</x:v>
      </x:c>
    </x:row>
    <x:row r="307">
      <x:c r="A307" s="64" t="str">
        <x:v>AUD-0306</x:v>
      </x:c>
      <x:c r="B307" s="64" t="n">
        <x:v>307</x:v>
      </x:c>
      <x:c r="C307" s="64" t="str">
        <x:v>PO-2025-0306</x:v>
      </x:c>
      <x:c r="D307" s="64" t="str">
        <x:v>PO-2025-0306</x:v>
      </x:c>
      <x:c r="E307" s="64" t="str">
        <x:v>B307</x:v>
      </x:c>
      <x:c r="F307" s="64" t="str">
        <x:v>PO_Date</x:v>
      </x:c>
      <x:c r="G307" s="64" t="str">
        <x:v>11/10/2025</x:v>
      </x:c>
      <x:c r="H307" s="64" t="str">
        <x:v>2025-10-11</x:v>
      </x:c>
      <x:c r="I307" s="64" t="str">
        <x:v>standardization</x:v>
      </x:c>
      <x:c r="J307" s="64" t="str">
        <x:v>Converted the source text date to a true spreadsheet date and standardized its display without changing the calendar date.</x:v>
      </x:c>
      <x:c r="K307" s="64" t="str">
        <x:v>PASS — parsed source date equals cleaned date</x:v>
      </x:c>
      <x:c r="L307" s="64" t="str">
        <x:v>High</x:v>
      </x:c>
      <x:c r="M307" s="64" t="str">
        <x:v>Instructor Approved</x:v>
      </x:c>
    </x:row>
    <x:row r="308">
      <x:c r="A308" s="64" t="str">
        <x:v>AUD-0307</x:v>
      </x:c>
      <x:c r="B308" s="64" t="n">
        <x:v>308</x:v>
      </x:c>
      <x:c r="C308" s="64" t="str">
        <x:v>PO-2025-0307</x:v>
      </x:c>
      <x:c r="D308" s="64" t="str">
        <x:v>PO-2025-0307</x:v>
      </x:c>
      <x:c r="E308" s="64" t="str">
        <x:v>B308</x:v>
      </x:c>
      <x:c r="F308" s="64" t="str">
        <x:v>PO_Date</x:v>
      </x:c>
      <x:c r="G308" s="64" t="str">
        <x:v>05/03/2025</x:v>
      </x:c>
      <x:c r="H308" s="64" t="str">
        <x:v>2025-03-05</x:v>
      </x:c>
      <x:c r="I308" s="64" t="str">
        <x:v>standardization</x:v>
      </x:c>
      <x:c r="J308" s="64" t="str">
        <x:v>Converted the source text date to a true spreadsheet date and standardized its display without changing the calendar date.</x:v>
      </x:c>
      <x:c r="K308" s="64" t="str">
        <x:v>PASS — parsed source date equals cleaned date</x:v>
      </x:c>
      <x:c r="L308" s="64" t="str">
        <x:v>High</x:v>
      </x:c>
      <x:c r="M308" s="64" t="str">
        <x:v>Instructor Approved</x:v>
      </x:c>
    </x:row>
    <x:row r="309">
      <x:c r="A309" s="64" t="str">
        <x:v>AUD-0308</x:v>
      </x:c>
      <x:c r="B309" s="64" t="n">
        <x:v>309</x:v>
      </x:c>
      <x:c r="C309" s="64" t="str">
        <x:v>PO-2025-0308</x:v>
      </x:c>
      <x:c r="D309" s="64" t="str">
        <x:v>PO-2025-0308</x:v>
      </x:c>
      <x:c r="E309" s="64" t="str">
        <x:v>B309</x:v>
      </x:c>
      <x:c r="F309" s="64" t="str">
        <x:v>PO_Date</x:v>
      </x:c>
      <x:c r="G309" s="64" t="str">
        <x:v>30/05/2025</x:v>
      </x:c>
      <x:c r="H309" s="64" t="str">
        <x:v>2025-05-30</x:v>
      </x:c>
      <x:c r="I309" s="64" t="str">
        <x:v>standardization</x:v>
      </x:c>
      <x:c r="J309" s="64" t="str">
        <x:v>Converted the source text date to a true spreadsheet date and standardized its display without changing the calendar date.</x:v>
      </x:c>
      <x:c r="K309" s="64" t="str">
        <x:v>PASS — parsed source date equals cleaned date</x:v>
      </x:c>
      <x:c r="L309" s="64" t="str">
        <x:v>High</x:v>
      </x:c>
      <x:c r="M309" s="64" t="str">
        <x:v>Instructor Approved</x:v>
      </x:c>
    </x:row>
    <x:row r="310">
      <x:c r="A310" s="64" t="str">
        <x:v>AUD-0309</x:v>
      </x:c>
      <x:c r="B310" s="64" t="n">
        <x:v>310</x:v>
      </x:c>
      <x:c r="C310" s="64" t="str">
        <x:v>PO-2025-0309</x:v>
      </x:c>
      <x:c r="D310" s="64" t="str">
        <x:v>PO-2025-0309</x:v>
      </x:c>
      <x:c r="E310" s="64" t="str">
        <x:v>B310</x:v>
      </x:c>
      <x:c r="F310" s="64" t="str">
        <x:v>PO_Date</x:v>
      </x:c>
      <x:c r="G310" s="64" t="str">
        <x:v>13/07/2025</x:v>
      </x:c>
      <x:c r="H310" s="64" t="str">
        <x:v>2025-07-13</x:v>
      </x:c>
      <x:c r="I310" s="64" t="str">
        <x:v>standardization</x:v>
      </x:c>
      <x:c r="J310" s="64" t="str">
        <x:v>Converted the source text date to a true spreadsheet date and standardized its display without changing the calendar date.</x:v>
      </x:c>
      <x:c r="K310" s="64" t="str">
        <x:v>PASS — parsed source date equals cleaned date</x:v>
      </x:c>
      <x:c r="L310" s="64" t="str">
        <x:v>High</x:v>
      </x:c>
      <x:c r="M310" s="64" t="str">
        <x:v>Instructor Approved</x:v>
      </x:c>
    </x:row>
    <x:row r="311">
      <x:c r="A311" s="64" t="str">
        <x:v>AUD-0310</x:v>
      </x:c>
      <x:c r="B311" s="64" t="n">
        <x:v>311</x:v>
      </x:c>
      <x:c r="C311" s="64" t="str">
        <x:v>PO-2025-0310</x:v>
      </x:c>
      <x:c r="D311" s="64" t="str">
        <x:v>PO-2025-0310</x:v>
      </x:c>
      <x:c r="E311" s="64" t="str">
        <x:v>B311</x:v>
      </x:c>
      <x:c r="F311" s="64" t="str">
        <x:v>PO_Date</x:v>
      </x:c>
      <x:c r="G311" s="64" t="str">
        <x:v>19/09/2025</x:v>
      </x:c>
      <x:c r="H311" s="64" t="str">
        <x:v>2025-09-19</x:v>
      </x:c>
      <x:c r="I311" s="64" t="str">
        <x:v>standardization</x:v>
      </x:c>
      <x:c r="J311" s="64" t="str">
        <x:v>Converted the source text date to a true spreadsheet date and standardized its display without changing the calendar date.</x:v>
      </x:c>
      <x:c r="K311" s="64" t="str">
        <x:v>PASS — parsed source date equals cleaned date</x:v>
      </x:c>
      <x:c r="L311" s="64" t="str">
        <x:v>High</x:v>
      </x:c>
      <x:c r="M311" s="64" t="str">
        <x:v>Instructor Approved</x:v>
      </x:c>
    </x:row>
    <x:row r="312">
      <x:c r="A312" s="64" t="str">
        <x:v>AUD-0311</x:v>
      </x:c>
      <x:c r="B312" s="64" t="n">
        <x:v>312</x:v>
      </x:c>
      <x:c r="C312" s="64" t="str">
        <x:v>PO-2025-0311</x:v>
      </x:c>
      <x:c r="D312" s="64" t="str">
        <x:v>PO-2025-0311</x:v>
      </x:c>
      <x:c r="E312" s="64" t="str">
        <x:v>B312</x:v>
      </x:c>
      <x:c r="F312" s="64" t="str">
        <x:v>PO_Date</x:v>
      </x:c>
      <x:c r="G312" s="64" t="str">
        <x:v>15/10/2025</x:v>
      </x:c>
      <x:c r="H312" s="64" t="str">
        <x:v>2025-10-15</x:v>
      </x:c>
      <x:c r="I312" s="64" t="str">
        <x:v>standardization</x:v>
      </x:c>
      <x:c r="J312" s="64" t="str">
        <x:v>Converted the source text date to a true spreadsheet date and standardized its display without changing the calendar date.</x:v>
      </x:c>
      <x:c r="K312" s="64" t="str">
        <x:v>PASS — parsed source date equals cleaned date</x:v>
      </x:c>
      <x:c r="L312" s="64" t="str">
        <x:v>High</x:v>
      </x:c>
      <x:c r="M312" s="64" t="str">
        <x:v>Instructor Approved</x:v>
      </x:c>
    </x:row>
    <x:row r="313">
      <x:c r="A313" s="64" t="str">
        <x:v>AUD-0312</x:v>
      </x:c>
      <x:c r="B313" s="64" t="n">
        <x:v>313</x:v>
      </x:c>
      <x:c r="C313" s="64" t="str">
        <x:v>PO-2025-0312</x:v>
      </x:c>
      <x:c r="D313" s="64" t="str">
        <x:v>PO-2025-0312</x:v>
      </x:c>
      <x:c r="E313" s="64" t="str">
        <x:v>B313</x:v>
      </x:c>
      <x:c r="F313" s="64" t="str">
        <x:v>PO_Date</x:v>
      </x:c>
      <x:c r="G313" s="64" t="str">
        <x:v>01/02/2025</x:v>
      </x:c>
      <x:c r="H313" s="64" t="str">
        <x:v>2025-02-01</x:v>
      </x:c>
      <x:c r="I313" s="64" t="str">
        <x:v>standardization</x:v>
      </x:c>
      <x:c r="J313" s="64" t="str">
        <x:v>Converted the source text date to a true spreadsheet date and standardized its display without changing the calendar date.</x:v>
      </x:c>
      <x:c r="K313" s="64" t="str">
        <x:v>PASS — parsed source date equals cleaned date</x:v>
      </x:c>
      <x:c r="L313" s="64" t="str">
        <x:v>High</x:v>
      </x:c>
      <x:c r="M313" s="64" t="str">
        <x:v>Instructor Approved</x:v>
      </x:c>
    </x:row>
    <x:row r="314">
      <x:c r="A314" s="64" t="str">
        <x:v>AUD-0313</x:v>
      </x:c>
      <x:c r="B314" s="64" t="n">
        <x:v>314</x:v>
      </x:c>
      <x:c r="C314" s="64" t="str">
        <x:v>PO-2025-0313</x:v>
      </x:c>
      <x:c r="D314" s="64" t="str">
        <x:v>PO-2025-0313</x:v>
      </x:c>
      <x:c r="E314" s="64" t="str">
        <x:v>B314</x:v>
      </x:c>
      <x:c r="F314" s="64" t="str">
        <x:v>PO_Date</x:v>
      </x:c>
      <x:c r="G314" s="64" t="str">
        <x:v>01/08/2025</x:v>
      </x:c>
      <x:c r="H314" s="64" t="str">
        <x:v>2025-08-01</x:v>
      </x:c>
      <x:c r="I314" s="64" t="str">
        <x:v>standardization</x:v>
      </x:c>
      <x:c r="J314" s="64" t="str">
        <x:v>Converted the source text date to a true spreadsheet date and standardized its display without changing the calendar date.</x:v>
      </x:c>
      <x:c r="K314" s="64" t="str">
        <x:v>PASS — parsed source date equals cleaned date</x:v>
      </x:c>
      <x:c r="L314" s="64" t="str">
        <x:v>High</x:v>
      </x:c>
      <x:c r="M314" s="64" t="str">
        <x:v>Instructor Approved</x:v>
      </x:c>
    </x:row>
    <x:row r="315">
      <x:c r="A315" s="64" t="str">
        <x:v>AUD-0314</x:v>
      </x:c>
      <x:c r="B315" s="64" t="n">
        <x:v>315</x:v>
      </x:c>
      <x:c r="C315" s="64" t="str">
        <x:v>PO-2025-0314</x:v>
      </x:c>
      <x:c r="D315" s="64" t="str">
        <x:v>PO-2025-0314</x:v>
      </x:c>
      <x:c r="E315" s="64" t="str">
        <x:v>B315</x:v>
      </x:c>
      <x:c r="F315" s="64" t="str">
        <x:v>PO_Date</x:v>
      </x:c>
      <x:c r="G315" s="64" t="str">
        <x:v>21/02/2025</x:v>
      </x:c>
      <x:c r="H315" s="64" t="str">
        <x:v>2025-02-21</x:v>
      </x:c>
      <x:c r="I315" s="64" t="str">
        <x:v>standardization</x:v>
      </x:c>
      <x:c r="J315" s="64" t="str">
        <x:v>Converted the source text date to a true spreadsheet date and standardized its display without changing the calendar date.</x:v>
      </x:c>
      <x:c r="K315" s="64" t="str">
        <x:v>PASS — parsed source date equals cleaned date</x:v>
      </x:c>
      <x:c r="L315" s="64" t="str">
        <x:v>High</x:v>
      </x:c>
      <x:c r="M315" s="64" t="str">
        <x:v>Instructor Approved</x:v>
      </x:c>
    </x:row>
    <x:row r="316">
      <x:c r="A316" s="64" t="str">
        <x:v>AUD-0315</x:v>
      </x:c>
      <x:c r="B316" s="64" t="n">
        <x:v>316</x:v>
      </x:c>
      <x:c r="C316" s="64" t="str">
        <x:v>PO-2025-0315</x:v>
      </x:c>
      <x:c r="D316" s="64" t="str">
        <x:v>PO-2025-0315</x:v>
      </x:c>
      <x:c r="E316" s="64" t="str">
        <x:v>B316</x:v>
      </x:c>
      <x:c r="F316" s="64" t="str">
        <x:v>PO_Date</x:v>
      </x:c>
      <x:c r="G316" s="64" t="str">
        <x:v>24/04/2025</x:v>
      </x:c>
      <x:c r="H316" s="64" t="str">
        <x:v>2025-04-24</x:v>
      </x:c>
      <x:c r="I316" s="64" t="str">
        <x:v>standardization</x:v>
      </x:c>
      <x:c r="J316" s="64" t="str">
        <x:v>Converted the source text date to a true spreadsheet date and standardized its display without changing the calendar date.</x:v>
      </x:c>
      <x:c r="K316" s="64" t="str">
        <x:v>PASS — parsed source date equals cleaned date</x:v>
      </x:c>
      <x:c r="L316" s="64" t="str">
        <x:v>High</x:v>
      </x:c>
      <x:c r="M316" s="64" t="str">
        <x:v>Instructor Approved</x:v>
      </x:c>
    </x:row>
    <x:row r="317">
      <x:c r="A317" s="64" t="str">
        <x:v>AUD-0316</x:v>
      </x:c>
      <x:c r="B317" s="64" t="n">
        <x:v>317</x:v>
      </x:c>
      <x:c r="C317" s="64" t="str">
        <x:v>PO-2025-0316</x:v>
      </x:c>
      <x:c r="D317" s="64" t="str">
        <x:v>PO-2025-0316</x:v>
      </x:c>
      <x:c r="E317" s="64" t="str">
        <x:v>B317</x:v>
      </x:c>
      <x:c r="F317" s="64" t="str">
        <x:v>PO_Date</x:v>
      </x:c>
      <x:c r="G317" s="64" t="str">
        <x:v>26/08/2025</x:v>
      </x:c>
      <x:c r="H317" s="64" t="str">
        <x:v>2025-08-26</x:v>
      </x:c>
      <x:c r="I317" s="64" t="str">
        <x:v>standardization</x:v>
      </x:c>
      <x:c r="J317" s="64" t="str">
        <x:v>Converted the source text date to a true spreadsheet date and standardized its display without changing the calendar date.</x:v>
      </x:c>
      <x:c r="K317" s="64" t="str">
        <x:v>PASS — parsed source date equals cleaned date</x:v>
      </x:c>
      <x:c r="L317" s="64" t="str">
        <x:v>High</x:v>
      </x:c>
      <x:c r="M317" s="64" t="str">
        <x:v>Instructor Approved</x:v>
      </x:c>
    </x:row>
    <x:row r="318">
      <x:c r="A318" s="64" t="str">
        <x:v>AUD-0317</x:v>
      </x:c>
      <x:c r="B318" s="64" t="n">
        <x:v>318</x:v>
      </x:c>
      <x:c r="C318" s="64" t="str">
        <x:v>PO-2025-0317</x:v>
      </x:c>
      <x:c r="D318" s="64" t="str">
        <x:v>PO-2025-0317</x:v>
      </x:c>
      <x:c r="E318" s="64" t="str">
        <x:v>B318</x:v>
      </x:c>
      <x:c r="F318" s="64" t="str">
        <x:v>PO_Date</x:v>
      </x:c>
      <x:c r="G318" s="64" t="str">
        <x:v>15/09/2025</x:v>
      </x:c>
      <x:c r="H318" s="64" t="str">
        <x:v>2025-09-15</x:v>
      </x:c>
      <x:c r="I318" s="64" t="str">
        <x:v>standardization</x:v>
      </x:c>
      <x:c r="J318" s="64" t="str">
        <x:v>Converted the source text date to a true spreadsheet date and standardized its display without changing the calendar date.</x:v>
      </x:c>
      <x:c r="K318" s="64" t="str">
        <x:v>PASS — parsed source date equals cleaned date</x:v>
      </x:c>
      <x:c r="L318" s="64" t="str">
        <x:v>High</x:v>
      </x:c>
      <x:c r="M318" s="64" t="str">
        <x:v>Instructor Approved</x:v>
      </x:c>
    </x:row>
    <x:row r="319">
      <x:c r="A319" s="64" t="str">
        <x:v>AUD-0318</x:v>
      </x:c>
      <x:c r="B319" s="64" t="n">
        <x:v>319</x:v>
      </x:c>
      <x:c r="C319" s="64" t="str">
        <x:v>PO-2025-0318</x:v>
      </x:c>
      <x:c r="D319" s="64" t="str">
        <x:v>PO-2025-0318</x:v>
      </x:c>
      <x:c r="E319" s="64" t="str">
        <x:v>B319</x:v>
      </x:c>
      <x:c r="F319" s="64" t="str">
        <x:v>PO_Date</x:v>
      </x:c>
      <x:c r="G319" s="64" t="str">
        <x:v>01/07/2025</x:v>
      </x:c>
      <x:c r="H319" s="64" t="str">
        <x:v>2025-07-01</x:v>
      </x:c>
      <x:c r="I319" s="64" t="str">
        <x:v>standardization</x:v>
      </x:c>
      <x:c r="J319" s="64" t="str">
        <x:v>Converted the source text date to a true spreadsheet date and standardized its display without changing the calendar date.</x:v>
      </x:c>
      <x:c r="K319" s="64" t="str">
        <x:v>PASS — parsed source date equals cleaned date</x:v>
      </x:c>
      <x:c r="L319" s="64" t="str">
        <x:v>High</x:v>
      </x:c>
      <x:c r="M319" s="64" t="str">
        <x:v>Instructor Approved</x:v>
      </x:c>
    </x:row>
    <x:row r="320">
      <x:c r="A320" s="64" t="str">
        <x:v>AUD-0319</x:v>
      </x:c>
      <x:c r="B320" s="64" t="n">
        <x:v>320</x:v>
      </x:c>
      <x:c r="C320" s="64" t="str">
        <x:v>PO-2025-0319</x:v>
      </x:c>
      <x:c r="D320" s="64" t="str">
        <x:v>PO-2025-0319</x:v>
      </x:c>
      <x:c r="E320" s="64" t="str">
        <x:v>B320</x:v>
      </x:c>
      <x:c r="F320" s="64" t="str">
        <x:v>PO_Date</x:v>
      </x:c>
      <x:c r="G320" s="64" t="str">
        <x:v>15/08/2025</x:v>
      </x:c>
      <x:c r="H320" s="64" t="str">
        <x:v>2025-08-15</x:v>
      </x:c>
      <x:c r="I320" s="64" t="str">
        <x:v>standardization</x:v>
      </x:c>
      <x:c r="J320" s="64" t="str">
        <x:v>Converted the source text date to a true spreadsheet date and standardized its display without changing the calendar date.</x:v>
      </x:c>
      <x:c r="K320" s="64" t="str">
        <x:v>PASS — parsed source date equals cleaned date</x:v>
      </x:c>
      <x:c r="L320" s="64" t="str">
        <x:v>High</x:v>
      </x:c>
      <x:c r="M320" s="64" t="str">
        <x:v>Instructor Approved</x:v>
      </x:c>
    </x:row>
    <x:row r="321">
      <x:c r="A321" s="64" t="str">
        <x:v>AUD-0320</x:v>
      </x:c>
      <x:c r="B321" s="64" t="n">
        <x:v>321</x:v>
      </x:c>
      <x:c r="C321" s="64" t="str">
        <x:v>PO-2025-0320</x:v>
      </x:c>
      <x:c r="D321" s="64" t="str">
        <x:v>PO-2025-0320</x:v>
      </x:c>
      <x:c r="E321" s="64" t="str">
        <x:v>B321</x:v>
      </x:c>
      <x:c r="F321" s="64" t="str">
        <x:v>PO_Date</x:v>
      </x:c>
      <x:c r="G321" s="64" t="str">
        <x:v>06/09/2025</x:v>
      </x:c>
      <x:c r="H321" s="64" t="str">
        <x:v>2025-09-06</x:v>
      </x:c>
      <x:c r="I321" s="64" t="str">
        <x:v>standardization</x:v>
      </x:c>
      <x:c r="J321" s="64" t="str">
        <x:v>Converted the source text date to a true spreadsheet date and standardized its display without changing the calendar date.</x:v>
      </x:c>
      <x:c r="K321" s="64" t="str">
        <x:v>PASS — parsed source date equals cleaned date</x:v>
      </x:c>
      <x:c r="L321" s="64" t="str">
        <x:v>High</x:v>
      </x:c>
      <x:c r="M321" s="64" t="str">
        <x:v>Instructor Approved</x:v>
      </x:c>
    </x:row>
    <x:row r="322">
      <x:c r="A322" s="64" t="str">
        <x:v>AUD-0321</x:v>
      </x:c>
      <x:c r="B322" s="64" t="n">
        <x:v>322</x:v>
      </x:c>
      <x:c r="C322" s="64" t="str">
        <x:v>PO-2025-0321</x:v>
      </x:c>
      <x:c r="D322" s="64" t="str">
        <x:v>PO-2025-0321</x:v>
      </x:c>
      <x:c r="E322" s="64" t="str">
        <x:v>B322</x:v>
      </x:c>
      <x:c r="F322" s="64" t="str">
        <x:v>PO_Date</x:v>
      </x:c>
      <x:c r="G322" s="64" t="str">
        <x:v>03/03/2025</x:v>
      </x:c>
      <x:c r="H322" s="64" t="str">
        <x:v>2025-03-03</x:v>
      </x:c>
      <x:c r="I322" s="64" t="str">
        <x:v>standardization</x:v>
      </x:c>
      <x:c r="J322" s="64" t="str">
        <x:v>Converted the source text date to a true spreadsheet date and standardized its display without changing the calendar date.</x:v>
      </x:c>
      <x:c r="K322" s="64" t="str">
        <x:v>PASS — parsed source date equals cleaned date</x:v>
      </x:c>
      <x:c r="L322" s="64" t="str">
        <x:v>High</x:v>
      </x:c>
      <x:c r="M322" s="64" t="str">
        <x:v>Instructor Approved</x:v>
      </x:c>
    </x:row>
    <x:row r="323">
      <x:c r="A323" s="64" t="str">
        <x:v>AUD-0322</x:v>
      </x:c>
      <x:c r="B323" s="64" t="n">
        <x:v>323</x:v>
      </x:c>
      <x:c r="C323" s="64" t="str">
        <x:v>PO-2025-0322</x:v>
      </x:c>
      <x:c r="D323" s="64" t="str">
        <x:v>PO-2025-0322</x:v>
      </x:c>
      <x:c r="E323" s="64" t="str">
        <x:v>B323</x:v>
      </x:c>
      <x:c r="F323" s="64" t="str">
        <x:v>PO_Date</x:v>
      </x:c>
      <x:c r="G323" s="64" t="str">
        <x:v>12/02/2025</x:v>
      </x:c>
      <x:c r="H323" s="64" t="str">
        <x:v>2025-02-12</x:v>
      </x:c>
      <x:c r="I323" s="64" t="str">
        <x:v>standardization</x:v>
      </x:c>
      <x:c r="J323" s="64" t="str">
        <x:v>Converted the source text date to a true spreadsheet date and standardized its display without changing the calendar date.</x:v>
      </x:c>
      <x:c r="K323" s="64" t="str">
        <x:v>PASS — parsed source date equals cleaned date</x:v>
      </x:c>
      <x:c r="L323" s="64" t="str">
        <x:v>High</x:v>
      </x:c>
      <x:c r="M323" s="64" t="str">
        <x:v>Instructor Approved</x:v>
      </x:c>
    </x:row>
    <x:row r="324">
      <x:c r="A324" s="64" t="str">
        <x:v>AUD-0323</x:v>
      </x:c>
      <x:c r="B324" s="64" t="n">
        <x:v>324</x:v>
      </x:c>
      <x:c r="C324" s="64" t="str">
        <x:v>PO-2025-0323</x:v>
      </x:c>
      <x:c r="D324" s="64" t="str">
        <x:v>PO-2025-0323</x:v>
      </x:c>
      <x:c r="E324" s="64" t="str">
        <x:v>B324</x:v>
      </x:c>
      <x:c r="F324" s="64" t="str">
        <x:v>PO_Date</x:v>
      </x:c>
      <x:c r="G324" s="64" t="str">
        <x:v>20/08/2025</x:v>
      </x:c>
      <x:c r="H324" s="64" t="str">
        <x:v>2025-08-20</x:v>
      </x:c>
      <x:c r="I324" s="64" t="str">
        <x:v>standardization</x:v>
      </x:c>
      <x:c r="J324" s="64" t="str">
        <x:v>Converted the source text date to a true spreadsheet date and standardized its display without changing the calendar date.</x:v>
      </x:c>
      <x:c r="K324" s="64" t="str">
        <x:v>PASS — parsed source date equals cleaned date</x:v>
      </x:c>
      <x:c r="L324" s="64" t="str">
        <x:v>High</x:v>
      </x:c>
      <x:c r="M324" s="64" t="str">
        <x:v>Instructor Approved</x:v>
      </x:c>
    </x:row>
    <x:row r="325">
      <x:c r="A325" s="64" t="str">
        <x:v>AUD-0324</x:v>
      </x:c>
      <x:c r="B325" s="64" t="n">
        <x:v>325</x:v>
      </x:c>
      <x:c r="C325" s="64" t="str">
        <x:v>PO-2025-0324</x:v>
      </x:c>
      <x:c r="D325" s="64" t="str">
        <x:v>PO-2025-0324</x:v>
      </x:c>
      <x:c r="E325" s="64" t="str">
        <x:v>B325</x:v>
      </x:c>
      <x:c r="F325" s="64" t="str">
        <x:v>PO_Date</x:v>
      </x:c>
      <x:c r="G325" s="64" t="str">
        <x:v>29/01/2025</x:v>
      </x:c>
      <x:c r="H325" s="64" t="str">
        <x:v>2025-01-29</x:v>
      </x:c>
      <x:c r="I325" s="64" t="str">
        <x:v>standardization</x:v>
      </x:c>
      <x:c r="J325" s="64" t="str">
        <x:v>Converted the source text date to a true spreadsheet date and standardized its display without changing the calendar date.</x:v>
      </x:c>
      <x:c r="K325" s="64" t="str">
        <x:v>PASS — parsed source date equals cleaned date</x:v>
      </x:c>
      <x:c r="L325" s="64" t="str">
        <x:v>High</x:v>
      </x:c>
      <x:c r="M325" s="64" t="str">
        <x:v>Instructor Approved</x:v>
      </x:c>
    </x:row>
    <x:row r="326">
      <x:c r="A326" s="64" t="str">
        <x:v>AUD-0325</x:v>
      </x:c>
      <x:c r="B326" s="64" t="n">
        <x:v>326</x:v>
      </x:c>
      <x:c r="C326" s="64" t="str">
        <x:v>PO-2025-0325</x:v>
      </x:c>
      <x:c r="D326" s="64" t="str">
        <x:v>PO-2025-0325</x:v>
      </x:c>
      <x:c r="E326" s="64" t="str">
        <x:v>B326</x:v>
      </x:c>
      <x:c r="F326" s="64" t="str">
        <x:v>PO_Date</x:v>
      </x:c>
      <x:c r="G326" s="64" t="str">
        <x:v>04/06/2025</x:v>
      </x:c>
      <x:c r="H326" s="64" t="str">
        <x:v>2025-06-04</x:v>
      </x:c>
      <x:c r="I326" s="64" t="str">
        <x:v>standardization</x:v>
      </x:c>
      <x:c r="J326" s="64" t="str">
        <x:v>Converted the source text date to a true spreadsheet date and standardized its display without changing the calendar date.</x:v>
      </x:c>
      <x:c r="K326" s="64" t="str">
        <x:v>PASS — parsed source date equals cleaned date</x:v>
      </x:c>
      <x:c r="L326" s="64" t="str">
        <x:v>High</x:v>
      </x:c>
      <x:c r="M326" s="64" t="str">
        <x:v>Instructor Approved</x:v>
      </x:c>
    </x:row>
    <x:row r="327">
      <x:c r="A327" s="64" t="str">
        <x:v>AUD-0326</x:v>
      </x:c>
      <x:c r="B327" s="64" t="n">
        <x:v>327</x:v>
      </x:c>
      <x:c r="C327" s="64" t="str">
        <x:v>PO-2025-0326</x:v>
      </x:c>
      <x:c r="D327" s="64" t="str">
        <x:v>PO-2025-0326</x:v>
      </x:c>
      <x:c r="E327" s="64" t="str">
        <x:v>B327</x:v>
      </x:c>
      <x:c r="F327" s="64" t="str">
        <x:v>PO_Date</x:v>
      </x:c>
      <x:c r="G327" s="64" t="str">
        <x:v>13/02/2025</x:v>
      </x:c>
      <x:c r="H327" s="64" t="str">
        <x:v>2025-02-13</x:v>
      </x:c>
      <x:c r="I327" s="64" t="str">
        <x:v>standardization</x:v>
      </x:c>
      <x:c r="J327" s="64" t="str">
        <x:v>Converted the source text date to a true spreadsheet date and standardized its display without changing the calendar date.</x:v>
      </x:c>
      <x:c r="K327" s="64" t="str">
        <x:v>PASS — parsed source date equals cleaned date</x:v>
      </x:c>
      <x:c r="L327" s="64" t="str">
        <x:v>High</x:v>
      </x:c>
      <x:c r="M327" s="64" t="str">
        <x:v>Instructor Approved</x:v>
      </x:c>
    </x:row>
    <x:row r="328">
      <x:c r="A328" s="64" t="str">
        <x:v>AUD-0327</x:v>
      </x:c>
      <x:c r="B328" s="64" t="n">
        <x:v>328</x:v>
      </x:c>
      <x:c r="C328" s="64" t="str">
        <x:v>PO-2025-0327</x:v>
      </x:c>
      <x:c r="D328" s="64" t="str">
        <x:v>PO-2025-0327</x:v>
      </x:c>
      <x:c r="E328" s="64" t="str">
        <x:v>B328</x:v>
      </x:c>
      <x:c r="F328" s="64" t="str">
        <x:v>PO_Date</x:v>
      </x:c>
      <x:c r="G328" s="64" t="str">
        <x:v>03/03/2025</x:v>
      </x:c>
      <x:c r="H328" s="64" t="str">
        <x:v>2025-03-03</x:v>
      </x:c>
      <x:c r="I328" s="64" t="str">
        <x:v>standardization</x:v>
      </x:c>
      <x:c r="J328" s="64" t="str">
        <x:v>Converted the source text date to a true spreadsheet date and standardized its display without changing the calendar date.</x:v>
      </x:c>
      <x:c r="K328" s="64" t="str">
        <x:v>PASS — parsed source date equals cleaned date</x:v>
      </x:c>
      <x:c r="L328" s="64" t="str">
        <x:v>High</x:v>
      </x:c>
      <x:c r="M328" s="64" t="str">
        <x:v>Instructor Approved</x:v>
      </x:c>
    </x:row>
    <x:row r="329">
      <x:c r="A329" s="64" t="str">
        <x:v>AUD-0328</x:v>
      </x:c>
      <x:c r="B329" s="64" t="n">
        <x:v>329</x:v>
      </x:c>
      <x:c r="C329" s="64" t="str">
        <x:v>PO-2025-0328</x:v>
      </x:c>
      <x:c r="D329" s="64" t="str">
        <x:v>PO-2025-0328</x:v>
      </x:c>
      <x:c r="E329" s="64" t="str">
        <x:v>B329</x:v>
      </x:c>
      <x:c r="F329" s="64" t="str">
        <x:v>PO_Date</x:v>
      </x:c>
      <x:c r="G329" s="64" t="str">
        <x:v>22/05/2025</x:v>
      </x:c>
      <x:c r="H329" s="64" t="str">
        <x:v>2025-05-22</x:v>
      </x:c>
      <x:c r="I329" s="64" t="str">
        <x:v>standardization</x:v>
      </x:c>
      <x:c r="J329" s="64" t="str">
        <x:v>Converted the source text date to a true spreadsheet date and standardized its display without changing the calendar date.</x:v>
      </x:c>
      <x:c r="K329" s="64" t="str">
        <x:v>PASS — parsed source date equals cleaned date</x:v>
      </x:c>
      <x:c r="L329" s="64" t="str">
        <x:v>High</x:v>
      </x:c>
      <x:c r="M329" s="64" t="str">
        <x:v>Instructor Approved</x:v>
      </x:c>
    </x:row>
    <x:row r="330">
      <x:c r="A330" s="64" t="str">
        <x:v>AUD-0329</x:v>
      </x:c>
      <x:c r="B330" s="64" t="n">
        <x:v>330</x:v>
      </x:c>
      <x:c r="C330" s="64" t="str">
        <x:v>PO-2025-0329</x:v>
      </x:c>
      <x:c r="D330" s="64" t="str">
        <x:v>PO-2025-0329</x:v>
      </x:c>
      <x:c r="E330" s="64" t="str">
        <x:v>B330</x:v>
      </x:c>
      <x:c r="F330" s="64" t="str">
        <x:v>PO_Date</x:v>
      </x:c>
      <x:c r="G330" s="64" t="str">
        <x:v>14/10/2025</x:v>
      </x:c>
      <x:c r="H330" s="64" t="str">
        <x:v>2025-10-14</x:v>
      </x:c>
      <x:c r="I330" s="64" t="str">
        <x:v>standardization</x:v>
      </x:c>
      <x:c r="J330" s="64" t="str">
        <x:v>Converted the source text date to a true spreadsheet date and standardized its display without changing the calendar date.</x:v>
      </x:c>
      <x:c r="K330" s="64" t="str">
        <x:v>PASS — parsed source date equals cleaned date</x:v>
      </x:c>
      <x:c r="L330" s="64" t="str">
        <x:v>High</x:v>
      </x:c>
      <x:c r="M330" s="64" t="str">
        <x:v>Instructor Approved</x:v>
      </x:c>
    </x:row>
    <x:row r="331">
      <x:c r="A331" s="64" t="str">
        <x:v>AUD-0330</x:v>
      </x:c>
      <x:c r="B331" s="64" t="n">
        <x:v>331</x:v>
      </x:c>
      <x:c r="C331" s="64" t="str">
        <x:v>PO-2025-0330</x:v>
      </x:c>
      <x:c r="D331" s="64" t="str">
        <x:v>PO-2025-0330</x:v>
      </x:c>
      <x:c r="E331" s="64" t="str">
        <x:v>B331</x:v>
      </x:c>
      <x:c r="F331" s="64" t="str">
        <x:v>PO_Date</x:v>
      </x:c>
      <x:c r="G331" s="64" t="str">
        <x:v>29/06/2025</x:v>
      </x:c>
      <x:c r="H331" s="64" t="str">
        <x:v>2025-06-29</x:v>
      </x:c>
      <x:c r="I331" s="64" t="str">
        <x:v>standardization</x:v>
      </x:c>
      <x:c r="J331" s="64" t="str">
        <x:v>Converted the source text date to a true spreadsheet date and standardized its display without changing the calendar date.</x:v>
      </x:c>
      <x:c r="K331" s="64" t="str">
        <x:v>PASS — parsed source date equals cleaned date</x:v>
      </x:c>
      <x:c r="L331" s="64" t="str">
        <x:v>High</x:v>
      </x:c>
      <x:c r="M331" s="64" t="str">
        <x:v>Instructor Approved</x:v>
      </x:c>
    </x:row>
    <x:row r="332">
      <x:c r="A332" s="64" t="str">
        <x:v>AUD-0331</x:v>
      </x:c>
      <x:c r="B332" s="64" t="n">
        <x:v>332</x:v>
      </x:c>
      <x:c r="C332" s="64" t="str">
        <x:v>PO-2025-0331</x:v>
      </x:c>
      <x:c r="D332" s="64" t="str">
        <x:v>PO-2025-0331</x:v>
      </x:c>
      <x:c r="E332" s="64" t="str">
        <x:v>B332</x:v>
      </x:c>
      <x:c r="F332" s="64" t="str">
        <x:v>PO_Date</x:v>
      </x:c>
      <x:c r="G332" s="64" t="str">
        <x:v>19/04/2025</x:v>
      </x:c>
      <x:c r="H332" s="64" t="str">
        <x:v>2025-04-19</x:v>
      </x:c>
      <x:c r="I332" s="64" t="str">
        <x:v>standardization</x:v>
      </x:c>
      <x:c r="J332" s="64" t="str">
        <x:v>Converted the source text date to a true spreadsheet date and standardized its display without changing the calendar date.</x:v>
      </x:c>
      <x:c r="K332" s="64" t="str">
        <x:v>PASS — parsed source date equals cleaned date</x:v>
      </x:c>
      <x:c r="L332" s="64" t="str">
        <x:v>High</x:v>
      </x:c>
      <x:c r="M332" s="64" t="str">
        <x:v>Instructor Approved</x:v>
      </x:c>
    </x:row>
    <x:row r="333">
      <x:c r="A333" s="64" t="str">
        <x:v>AUD-0332</x:v>
      </x:c>
      <x:c r="B333" s="64" t="n">
        <x:v>333</x:v>
      </x:c>
      <x:c r="C333" s="64" t="str">
        <x:v>PO-2025-0332</x:v>
      </x:c>
      <x:c r="D333" s="64" t="str">
        <x:v>PO-2025-0332</x:v>
      </x:c>
      <x:c r="E333" s="64" t="str">
        <x:v>B333</x:v>
      </x:c>
      <x:c r="F333" s="64" t="str">
        <x:v>PO_Date</x:v>
      </x:c>
      <x:c r="G333" s="64" t="str">
        <x:v>04/02/2025</x:v>
      </x:c>
      <x:c r="H333" s="64" t="str">
        <x:v>2025-02-04</x:v>
      </x:c>
      <x:c r="I333" s="64" t="str">
        <x:v>standardization</x:v>
      </x:c>
      <x:c r="J333" s="64" t="str">
        <x:v>Converted the source text date to a true spreadsheet date and standardized its display without changing the calendar date.</x:v>
      </x:c>
      <x:c r="K333" s="64" t="str">
        <x:v>PASS — parsed source date equals cleaned date</x:v>
      </x:c>
      <x:c r="L333" s="64" t="str">
        <x:v>High</x:v>
      </x:c>
      <x:c r="M333" s="64" t="str">
        <x:v>Instructor Approved</x:v>
      </x:c>
    </x:row>
    <x:row r="334">
      <x:c r="A334" s="64" t="str">
        <x:v>AUD-0333</x:v>
      </x:c>
      <x:c r="B334" s="64" t="n">
        <x:v>334</x:v>
      </x:c>
      <x:c r="C334" s="64" t="str">
        <x:v>PO-2025-0333</x:v>
      </x:c>
      <x:c r="D334" s="64" t="str">
        <x:v>PO-2025-0333</x:v>
      </x:c>
      <x:c r="E334" s="64" t="str">
        <x:v>B334</x:v>
      </x:c>
      <x:c r="F334" s="64" t="str">
        <x:v>PO_Date</x:v>
      </x:c>
      <x:c r="G334" s="64" t="str">
        <x:v>06/11/2025</x:v>
      </x:c>
      <x:c r="H334" s="64" t="str">
        <x:v>2025-11-06</x:v>
      </x:c>
      <x:c r="I334" s="64" t="str">
        <x:v>standardization</x:v>
      </x:c>
      <x:c r="J334" s="64" t="str">
        <x:v>Converted the source text date to a true spreadsheet date and standardized its display without changing the calendar date.</x:v>
      </x:c>
      <x:c r="K334" s="64" t="str">
        <x:v>PASS — parsed source date equals cleaned date</x:v>
      </x:c>
      <x:c r="L334" s="64" t="str">
        <x:v>High</x:v>
      </x:c>
      <x:c r="M334" s="64" t="str">
        <x:v>Instructor Approved</x:v>
      </x:c>
    </x:row>
    <x:row r="335">
      <x:c r="A335" s="64" t="str">
        <x:v>AUD-0334</x:v>
      </x:c>
      <x:c r="B335" s="64" t="n">
        <x:v>335</x:v>
      </x:c>
      <x:c r="C335" s="64" t="str">
        <x:v>PO-2025-0334</x:v>
      </x:c>
      <x:c r="D335" s="64" t="str">
        <x:v>PO-2025-0334</x:v>
      </x:c>
      <x:c r="E335" s="64" t="str">
        <x:v>B335</x:v>
      </x:c>
      <x:c r="F335" s="64" t="str">
        <x:v>PO_Date</x:v>
      </x:c>
      <x:c r="G335" s="64" t="str">
        <x:v>26/04/2025</x:v>
      </x:c>
      <x:c r="H335" s="64" t="str">
        <x:v>2025-04-26</x:v>
      </x:c>
      <x:c r="I335" s="64" t="str">
        <x:v>standardization</x:v>
      </x:c>
      <x:c r="J335" s="64" t="str">
        <x:v>Converted the source text date to a true spreadsheet date and standardized its display without changing the calendar date.</x:v>
      </x:c>
      <x:c r="K335" s="64" t="str">
        <x:v>PASS — parsed source date equals cleaned date</x:v>
      </x:c>
      <x:c r="L335" s="64" t="str">
        <x:v>High</x:v>
      </x:c>
      <x:c r="M335" s="64" t="str">
        <x:v>Instructor Approved</x:v>
      </x:c>
    </x:row>
    <x:row r="336">
      <x:c r="A336" s="64" t="str">
        <x:v>AUD-0335</x:v>
      </x:c>
      <x:c r="B336" s="64" t="n">
        <x:v>336</x:v>
      </x:c>
      <x:c r="C336" s="64" t="str">
        <x:v>PO-2025-0335</x:v>
      </x:c>
      <x:c r="D336" s="64" t="str">
        <x:v>PO-2025-0335</x:v>
      </x:c>
      <x:c r="E336" s="64" t="str">
        <x:v>B336</x:v>
      </x:c>
      <x:c r="F336" s="64" t="str">
        <x:v>PO_Date</x:v>
      </x:c>
      <x:c r="G336" s="64" t="str">
        <x:v>13/10/2025</x:v>
      </x:c>
      <x:c r="H336" s="64" t="str">
        <x:v>2025-10-13</x:v>
      </x:c>
      <x:c r="I336" s="64" t="str">
        <x:v>standardization</x:v>
      </x:c>
      <x:c r="J336" s="64" t="str">
        <x:v>Converted the source text date to a true spreadsheet date and standardized its display without changing the calendar date.</x:v>
      </x:c>
      <x:c r="K336" s="64" t="str">
        <x:v>PASS — parsed source date equals cleaned date</x:v>
      </x:c>
      <x:c r="L336" s="64" t="str">
        <x:v>High</x:v>
      </x:c>
      <x:c r="M336" s="64" t="str">
        <x:v>Instructor Approved</x:v>
      </x:c>
    </x:row>
    <x:row r="337">
      <x:c r="A337" s="64" t="str">
        <x:v>AUD-0336</x:v>
      </x:c>
      <x:c r="B337" s="64" t="n">
        <x:v>337</x:v>
      </x:c>
      <x:c r="C337" s="64" t="str">
        <x:v>PO-2025-0336</x:v>
      </x:c>
      <x:c r="D337" s="64" t="str">
        <x:v>PO-2025-0336</x:v>
      </x:c>
      <x:c r="E337" s="64" t="str">
        <x:v>B337</x:v>
      </x:c>
      <x:c r="F337" s="64" t="str">
        <x:v>PO_Date</x:v>
      </x:c>
      <x:c r="G337" s="64" t="str">
        <x:v>30/08/2025</x:v>
      </x:c>
      <x:c r="H337" s="64" t="str">
        <x:v>2025-08-30</x:v>
      </x:c>
      <x:c r="I337" s="64" t="str">
        <x:v>standardization</x:v>
      </x:c>
      <x:c r="J337" s="64" t="str">
        <x:v>Converted the source text date to a true spreadsheet date and standardized its display without changing the calendar date.</x:v>
      </x:c>
      <x:c r="K337" s="64" t="str">
        <x:v>PASS — parsed source date equals cleaned date</x:v>
      </x:c>
      <x:c r="L337" s="64" t="str">
        <x:v>High</x:v>
      </x:c>
      <x:c r="M337" s="64" t="str">
        <x:v>Instructor Approved</x:v>
      </x:c>
    </x:row>
    <x:row r="338">
      <x:c r="A338" s="64" t="str">
        <x:v>AUD-0337</x:v>
      </x:c>
      <x:c r="B338" s="64" t="n">
        <x:v>338</x:v>
      </x:c>
      <x:c r="C338" s="64" t="str">
        <x:v>PO-2025-0337</x:v>
      </x:c>
      <x:c r="D338" s="64" t="str">
        <x:v>PO-2025-0337</x:v>
      </x:c>
      <x:c r="E338" s="64" t="str">
        <x:v>B338</x:v>
      </x:c>
      <x:c r="F338" s="64" t="str">
        <x:v>PO_Date</x:v>
      </x:c>
      <x:c r="G338" s="64" t="str">
        <x:v>04/11/2025</x:v>
      </x:c>
      <x:c r="H338" s="64" t="str">
        <x:v>2025-11-04</x:v>
      </x:c>
      <x:c r="I338" s="64" t="str">
        <x:v>standardization</x:v>
      </x:c>
      <x:c r="J338" s="64" t="str">
        <x:v>Converted the source text date to a true spreadsheet date and standardized its display without changing the calendar date.</x:v>
      </x:c>
      <x:c r="K338" s="64" t="str">
        <x:v>PASS — parsed source date equals cleaned date</x:v>
      </x:c>
      <x:c r="L338" s="64" t="str">
        <x:v>High</x:v>
      </x:c>
      <x:c r="M338" s="64" t="str">
        <x:v>Instructor Approved</x:v>
      </x:c>
    </x:row>
    <x:row r="339">
      <x:c r="A339" s="64" t="str">
        <x:v>AUD-0338</x:v>
      </x:c>
      <x:c r="B339" s="64" t="n">
        <x:v>339</x:v>
      </x:c>
      <x:c r="C339" s="64" t="str">
        <x:v>PO-2025-0338</x:v>
      </x:c>
      <x:c r="D339" s="64" t="str">
        <x:v>PO-2025-0338</x:v>
      </x:c>
      <x:c r="E339" s="64" t="str">
        <x:v>B339</x:v>
      </x:c>
      <x:c r="F339" s="64" t="str">
        <x:v>PO_Date</x:v>
      </x:c>
      <x:c r="G339" s="64" t="str">
        <x:v>03/06/2025</x:v>
      </x:c>
      <x:c r="H339" s="64" t="str">
        <x:v>2025-06-03</x:v>
      </x:c>
      <x:c r="I339" s="64" t="str">
        <x:v>standardization</x:v>
      </x:c>
      <x:c r="J339" s="64" t="str">
        <x:v>Converted the source text date to a true spreadsheet date and standardized its display without changing the calendar date.</x:v>
      </x:c>
      <x:c r="K339" s="64" t="str">
        <x:v>PASS — parsed source date equals cleaned date</x:v>
      </x:c>
      <x:c r="L339" s="64" t="str">
        <x:v>High</x:v>
      </x:c>
      <x:c r="M339" s="64" t="str">
        <x:v>Instructor Approved</x:v>
      </x:c>
    </x:row>
    <x:row r="340">
      <x:c r="A340" s="64" t="str">
        <x:v>AUD-0339</x:v>
      </x:c>
      <x:c r="B340" s="64" t="n">
        <x:v>340</x:v>
      </x:c>
      <x:c r="C340" s="64" t="str">
        <x:v>PO-2025-0339</x:v>
      </x:c>
      <x:c r="D340" s="64" t="str">
        <x:v>PO-2025-0339</x:v>
      </x:c>
      <x:c r="E340" s="64" t="str">
        <x:v>B340</x:v>
      </x:c>
      <x:c r="F340" s="64" t="str">
        <x:v>PO_Date</x:v>
      </x:c>
      <x:c r="G340" s="64" t="str">
        <x:v>16/09/2025</x:v>
      </x:c>
      <x:c r="H340" s="64" t="str">
        <x:v>2025-09-16</x:v>
      </x:c>
      <x:c r="I340" s="64" t="str">
        <x:v>standardization</x:v>
      </x:c>
      <x:c r="J340" s="64" t="str">
        <x:v>Converted the source text date to a true spreadsheet date and standardized its display without changing the calendar date.</x:v>
      </x:c>
      <x:c r="K340" s="64" t="str">
        <x:v>PASS — parsed source date equals cleaned date</x:v>
      </x:c>
      <x:c r="L340" s="64" t="str">
        <x:v>High</x:v>
      </x:c>
      <x:c r="M340" s="64" t="str">
        <x:v>Instructor Approved</x:v>
      </x:c>
    </x:row>
    <x:row r="341">
      <x:c r="A341" s="64" t="str">
        <x:v>AUD-0340</x:v>
      </x:c>
      <x:c r="B341" s="64" t="n">
        <x:v>341</x:v>
      </x:c>
      <x:c r="C341" s="64" t="str">
        <x:v>PO-2025-0340</x:v>
      </x:c>
      <x:c r="D341" s="64" t="str">
        <x:v>PO-2025-0340</x:v>
      </x:c>
      <x:c r="E341" s="64" t="str">
        <x:v>B341</x:v>
      </x:c>
      <x:c r="F341" s="64" t="str">
        <x:v>PO_Date</x:v>
      </x:c>
      <x:c r="G341" s="64" t="str">
        <x:v>06/09/2025</x:v>
      </x:c>
      <x:c r="H341" s="64" t="str">
        <x:v>2025-09-06</x:v>
      </x:c>
      <x:c r="I341" s="64" t="str">
        <x:v>standardization</x:v>
      </x:c>
      <x:c r="J341" s="64" t="str">
        <x:v>Converted the source text date to a true spreadsheet date and standardized its display without changing the calendar date.</x:v>
      </x:c>
      <x:c r="K341" s="64" t="str">
        <x:v>PASS — parsed source date equals cleaned date</x:v>
      </x:c>
      <x:c r="L341" s="64" t="str">
        <x:v>High</x:v>
      </x:c>
      <x:c r="M341" s="64" t="str">
        <x:v>Instructor Approved</x:v>
      </x:c>
    </x:row>
    <x:row r="342">
      <x:c r="A342" s="64" t="str">
        <x:v>AUD-0341</x:v>
      </x:c>
      <x:c r="B342" s="64" t="n">
        <x:v>342</x:v>
      </x:c>
      <x:c r="C342" s="64" t="str">
        <x:v>PO-2025-0341</x:v>
      </x:c>
      <x:c r="D342" s="64" t="str">
        <x:v>PO-2025-0341</x:v>
      </x:c>
      <x:c r="E342" s="64" t="str">
        <x:v>B342</x:v>
      </x:c>
      <x:c r="F342" s="64" t="str">
        <x:v>PO_Date</x:v>
      </x:c>
      <x:c r="G342" s="64" t="str">
        <x:v>19/09/2025</x:v>
      </x:c>
      <x:c r="H342" s="64" t="str">
        <x:v>2025-09-19</x:v>
      </x:c>
      <x:c r="I342" s="64" t="str">
        <x:v>standardization</x:v>
      </x:c>
      <x:c r="J342" s="64" t="str">
        <x:v>Converted the source text date to a true spreadsheet date and standardized its display without changing the calendar date.</x:v>
      </x:c>
      <x:c r="K342" s="64" t="str">
        <x:v>PASS — parsed source date equals cleaned date</x:v>
      </x:c>
      <x:c r="L342" s="64" t="str">
        <x:v>High</x:v>
      </x:c>
      <x:c r="M342" s="64" t="str">
        <x:v>Instructor Approved</x:v>
      </x:c>
    </x:row>
    <x:row r="343">
      <x:c r="A343" s="64" t="str">
        <x:v>AUD-0342</x:v>
      </x:c>
      <x:c r="B343" s="64" t="n">
        <x:v>343</x:v>
      </x:c>
      <x:c r="C343" s="64" t="str">
        <x:v>PO-2025-0342</x:v>
      </x:c>
      <x:c r="D343" s="64" t="str">
        <x:v>PO-2025-0342</x:v>
      </x:c>
      <x:c r="E343" s="64" t="str">
        <x:v>B343</x:v>
      </x:c>
      <x:c r="F343" s="64" t="str">
        <x:v>PO_Date</x:v>
      </x:c>
      <x:c r="G343" s="64" t="str">
        <x:v>15/02/2025</x:v>
      </x:c>
      <x:c r="H343" s="64" t="str">
        <x:v>2025-02-15</x:v>
      </x:c>
      <x:c r="I343" s="64" t="str">
        <x:v>standardization</x:v>
      </x:c>
      <x:c r="J343" s="64" t="str">
        <x:v>Converted the source text date to a true spreadsheet date and standardized its display without changing the calendar date.</x:v>
      </x:c>
      <x:c r="K343" s="64" t="str">
        <x:v>PASS — parsed source date equals cleaned date</x:v>
      </x:c>
      <x:c r="L343" s="64" t="str">
        <x:v>High</x:v>
      </x:c>
      <x:c r="M343" s="64" t="str">
        <x:v>Instructor Approved</x:v>
      </x:c>
    </x:row>
    <x:row r="344">
      <x:c r="A344" s="64" t="str">
        <x:v>AUD-0343</x:v>
      </x:c>
      <x:c r="B344" s="64" t="n">
        <x:v>344</x:v>
      </x:c>
      <x:c r="C344" s="64" t="str">
        <x:v>PO-2025-0343</x:v>
      </x:c>
      <x:c r="D344" s="64" t="str">
        <x:v>PO-2025-0343</x:v>
      </x:c>
      <x:c r="E344" s="64" t="str">
        <x:v>B344</x:v>
      </x:c>
      <x:c r="F344" s="64" t="str">
        <x:v>PO_Date</x:v>
      </x:c>
      <x:c r="G344" s="64" t="str">
        <x:v>11/11/2025</x:v>
      </x:c>
      <x:c r="H344" s="64" t="str">
        <x:v>2025-11-11</x:v>
      </x:c>
      <x:c r="I344" s="64" t="str">
        <x:v>standardization</x:v>
      </x:c>
      <x:c r="J344" s="64" t="str">
        <x:v>Converted the source text date to a true spreadsheet date and standardized its display without changing the calendar date.</x:v>
      </x:c>
      <x:c r="K344" s="64" t="str">
        <x:v>PASS — parsed source date equals cleaned date</x:v>
      </x:c>
      <x:c r="L344" s="64" t="str">
        <x:v>High</x:v>
      </x:c>
      <x:c r="M344" s="64" t="str">
        <x:v>Instructor Approved</x:v>
      </x:c>
    </x:row>
    <x:row r="345">
      <x:c r="A345" s="64" t="str">
        <x:v>AUD-0344</x:v>
      </x:c>
      <x:c r="B345" s="64" t="n">
        <x:v>345</x:v>
      </x:c>
      <x:c r="C345" s="64" t="str">
        <x:v>PO-2025-0344</x:v>
      </x:c>
      <x:c r="D345" s="64" t="str">
        <x:v>PO-2025-0344</x:v>
      </x:c>
      <x:c r="E345" s="64" t="str">
        <x:v>B345</x:v>
      </x:c>
      <x:c r="F345" s="64" t="str">
        <x:v>PO_Date</x:v>
      </x:c>
      <x:c r="G345" s="64" t="str">
        <x:v>24/01/2025</x:v>
      </x:c>
      <x:c r="H345" s="64" t="str">
        <x:v>2025-01-24</x:v>
      </x:c>
      <x:c r="I345" s="64" t="str">
        <x:v>standardization</x:v>
      </x:c>
      <x:c r="J345" s="64" t="str">
        <x:v>Converted the source text date to a true spreadsheet date and standardized its display without changing the calendar date.</x:v>
      </x:c>
      <x:c r="K345" s="64" t="str">
        <x:v>PASS — parsed source date equals cleaned date</x:v>
      </x:c>
      <x:c r="L345" s="64" t="str">
        <x:v>High</x:v>
      </x:c>
      <x:c r="M345" s="64" t="str">
        <x:v>Instructor Approved</x:v>
      </x:c>
    </x:row>
    <x:row r="346">
      <x:c r="A346" s="64" t="str">
        <x:v>AUD-0345</x:v>
      </x:c>
      <x:c r="B346" s="64" t="n">
        <x:v>346</x:v>
      </x:c>
      <x:c r="C346" s="64" t="str">
        <x:v>PO-2025-0345</x:v>
      </x:c>
      <x:c r="D346" s="64" t="str">
        <x:v>PO-2025-0345</x:v>
      </x:c>
      <x:c r="E346" s="64" t="str">
        <x:v>B346</x:v>
      </x:c>
      <x:c r="F346" s="64" t="str">
        <x:v>PO_Date</x:v>
      </x:c>
      <x:c r="G346" s="64" t="str">
        <x:v>27/08/2025</x:v>
      </x:c>
      <x:c r="H346" s="64" t="str">
        <x:v>2025-08-27</x:v>
      </x:c>
      <x:c r="I346" s="64" t="str">
        <x:v>standardization</x:v>
      </x:c>
      <x:c r="J346" s="64" t="str">
        <x:v>Converted the source text date to a true spreadsheet date and standardized its display without changing the calendar date.</x:v>
      </x:c>
      <x:c r="K346" s="64" t="str">
        <x:v>PASS — parsed source date equals cleaned date</x:v>
      </x:c>
      <x:c r="L346" s="64" t="str">
        <x:v>High</x:v>
      </x:c>
      <x:c r="M346" s="64" t="str">
        <x:v>Instructor Approved</x:v>
      </x:c>
    </x:row>
    <x:row r="347">
      <x:c r="A347" s="64" t="str">
        <x:v>AUD-0346</x:v>
      </x:c>
      <x:c r="B347" s="64" t="n">
        <x:v>347</x:v>
      </x:c>
      <x:c r="C347" s="64" t="str">
        <x:v>PO-2025-0346</x:v>
      </x:c>
      <x:c r="D347" s="64" t="str">
        <x:v>PO-2025-0346</x:v>
      </x:c>
      <x:c r="E347" s="64" t="str">
        <x:v>B347</x:v>
      </x:c>
      <x:c r="F347" s="64" t="str">
        <x:v>PO_Date</x:v>
      </x:c>
      <x:c r="G347" s="64" t="str">
        <x:v>08/11/2025</x:v>
      </x:c>
      <x:c r="H347" s="64" t="str">
        <x:v>2025-11-08</x:v>
      </x:c>
      <x:c r="I347" s="64" t="str">
        <x:v>standardization</x:v>
      </x:c>
      <x:c r="J347" s="64" t="str">
        <x:v>Converted the source text date to a true spreadsheet date and standardized its display without changing the calendar date.</x:v>
      </x:c>
      <x:c r="K347" s="64" t="str">
        <x:v>PASS — parsed source date equals cleaned date</x:v>
      </x:c>
      <x:c r="L347" s="64" t="str">
        <x:v>High</x:v>
      </x:c>
      <x:c r="M347" s="64" t="str">
        <x:v>Instructor Approved</x:v>
      </x:c>
    </x:row>
    <x:row r="348">
      <x:c r="A348" s="64" t="str">
        <x:v>AUD-0347</x:v>
      </x:c>
      <x:c r="B348" s="64" t="n">
        <x:v>348</x:v>
      </x:c>
      <x:c r="C348" s="64" t="str">
        <x:v>PO-2025-0347</x:v>
      </x:c>
      <x:c r="D348" s="64" t="str">
        <x:v>PO-2025-0347</x:v>
      </x:c>
      <x:c r="E348" s="64" t="str">
        <x:v>B348</x:v>
      </x:c>
      <x:c r="F348" s="64" t="str">
        <x:v>PO_Date</x:v>
      </x:c>
      <x:c r="G348" s="64" t="str">
        <x:v>10/04/2025</x:v>
      </x:c>
      <x:c r="H348" s="64" t="str">
        <x:v>2025-04-10</x:v>
      </x:c>
      <x:c r="I348" s="64" t="str">
        <x:v>standardization</x:v>
      </x:c>
      <x:c r="J348" s="64" t="str">
        <x:v>Converted the source text date to a true spreadsheet date and standardized its display without changing the calendar date.</x:v>
      </x:c>
      <x:c r="K348" s="64" t="str">
        <x:v>PASS — parsed source date equals cleaned date</x:v>
      </x:c>
      <x:c r="L348" s="64" t="str">
        <x:v>High</x:v>
      </x:c>
      <x:c r="M348" s="64" t="str">
        <x:v>Instructor Approved</x:v>
      </x:c>
    </x:row>
    <x:row r="349">
      <x:c r="A349" s="64" t="str">
        <x:v>AUD-0348</x:v>
      </x:c>
      <x:c r="B349" s="64" t="n">
        <x:v>349</x:v>
      </x:c>
      <x:c r="C349" s="64" t="str">
        <x:v>PO-2025-0348</x:v>
      </x:c>
      <x:c r="D349" s="64" t="str">
        <x:v>PO-2025-0348</x:v>
      </x:c>
      <x:c r="E349" s="64" t="str">
        <x:v>B349</x:v>
      </x:c>
      <x:c r="F349" s="64" t="str">
        <x:v>PO_Date</x:v>
      </x:c>
      <x:c r="G349" s="64" t="str">
        <x:v>17/06/2025</x:v>
      </x:c>
      <x:c r="H349" s="64" t="str">
        <x:v>2025-06-17</x:v>
      </x:c>
      <x:c r="I349" s="64" t="str">
        <x:v>standardization</x:v>
      </x:c>
      <x:c r="J349" s="64" t="str">
        <x:v>Converted the source text date to a true spreadsheet date and standardized its display without changing the calendar date.</x:v>
      </x:c>
      <x:c r="K349" s="64" t="str">
        <x:v>PASS — parsed source date equals cleaned date</x:v>
      </x:c>
      <x:c r="L349" s="64" t="str">
        <x:v>High</x:v>
      </x:c>
      <x:c r="M349" s="64" t="str">
        <x:v>Instructor Approved</x:v>
      </x:c>
    </x:row>
    <x:row r="350">
      <x:c r="A350" s="64" t="str">
        <x:v>AUD-0349</x:v>
      </x:c>
      <x:c r="B350" s="64" t="n">
        <x:v>350</x:v>
      </x:c>
      <x:c r="C350" s="64" t="str">
        <x:v>PO-2025-0349</x:v>
      </x:c>
      <x:c r="D350" s="64" t="str">
        <x:v>PO-2025-0349</x:v>
      </x:c>
      <x:c r="E350" s="64" t="str">
        <x:v>B350</x:v>
      </x:c>
      <x:c r="F350" s="64" t="str">
        <x:v>PO_Date</x:v>
      </x:c>
      <x:c r="G350" s="64" t="str">
        <x:v>03/11/2025</x:v>
      </x:c>
      <x:c r="H350" s="64" t="str">
        <x:v>2025-11-03</x:v>
      </x:c>
      <x:c r="I350" s="64" t="str">
        <x:v>standardization</x:v>
      </x:c>
      <x:c r="J350" s="64" t="str">
        <x:v>Converted the source text date to a true spreadsheet date and standardized its display without changing the calendar date.</x:v>
      </x:c>
      <x:c r="K350" s="64" t="str">
        <x:v>PASS — parsed source date equals cleaned date</x:v>
      </x:c>
      <x:c r="L350" s="64" t="str">
        <x:v>High</x:v>
      </x:c>
      <x:c r="M350" s="64" t="str">
        <x:v>Instructor Approved</x:v>
      </x:c>
    </x:row>
    <x:row r="351">
      <x:c r="A351" s="64" t="str">
        <x:v>AUD-0350</x:v>
      </x:c>
      <x:c r="B351" s="64" t="n">
        <x:v>351</x:v>
      </x:c>
      <x:c r="C351" s="64" t="str">
        <x:v>PO-2025-0350</x:v>
      </x:c>
      <x:c r="D351" s="64" t="str">
        <x:v>PO-2025-0350</x:v>
      </x:c>
      <x:c r="E351" s="64" t="str">
        <x:v>B351</x:v>
      </x:c>
      <x:c r="F351" s="64" t="str">
        <x:v>PO_Date</x:v>
      </x:c>
      <x:c r="G351" s="64" t="str">
        <x:v>20/05/2025</x:v>
      </x:c>
      <x:c r="H351" s="64" t="str">
        <x:v>2025-05-20</x:v>
      </x:c>
      <x:c r="I351" s="64" t="str">
        <x:v>standardization</x:v>
      </x:c>
      <x:c r="J351" s="64" t="str">
        <x:v>Converted the source text date to a true spreadsheet date and standardized its display without changing the calendar date.</x:v>
      </x:c>
      <x:c r="K351" s="64" t="str">
        <x:v>PASS — parsed source date equals cleaned date</x:v>
      </x:c>
      <x:c r="L351" s="64" t="str">
        <x:v>High</x:v>
      </x:c>
      <x:c r="M351" s="64" t="str">
        <x:v>Instructor Approved</x:v>
      </x:c>
    </x:row>
    <x:row r="352">
      <x:c r="A352" s="64" t="str">
        <x:v>AUD-0351</x:v>
      </x:c>
      <x:c r="B352" s="64" t="n">
        <x:v>352</x:v>
      </x:c>
      <x:c r="C352" s="64" t="str">
        <x:v>PO-2025-0351</x:v>
      </x:c>
      <x:c r="D352" s="64" t="str">
        <x:v>PO-2025-0351</x:v>
      </x:c>
      <x:c r="E352" s="64" t="str">
        <x:v>B352</x:v>
      </x:c>
      <x:c r="F352" s="64" t="str">
        <x:v>PO_Date</x:v>
      </x:c>
      <x:c r="G352" s="64" t="str">
        <x:v>15/05/2025</x:v>
      </x:c>
      <x:c r="H352" s="64" t="str">
        <x:v>2025-05-15</x:v>
      </x:c>
      <x:c r="I352" s="64" t="str">
        <x:v>standardization</x:v>
      </x:c>
      <x:c r="J352" s="64" t="str">
        <x:v>Converted the source text date to a true spreadsheet date and standardized its display without changing the calendar date.</x:v>
      </x:c>
      <x:c r="K352" s="64" t="str">
        <x:v>PASS — parsed source date equals cleaned date</x:v>
      </x:c>
      <x:c r="L352" s="64" t="str">
        <x:v>High</x:v>
      </x:c>
      <x:c r="M352" s="64" t="str">
        <x:v>Instructor Approved</x:v>
      </x:c>
    </x:row>
    <x:row r="353">
      <x:c r="A353" s="64" t="str">
        <x:v>AUD-0352</x:v>
      </x:c>
      <x:c r="B353" s="64" t="n">
        <x:v>353</x:v>
      </x:c>
      <x:c r="C353" s="64" t="str">
        <x:v>PO-2025-0352</x:v>
      </x:c>
      <x:c r="D353" s="64" t="str">
        <x:v>PO-2025-0352</x:v>
      </x:c>
      <x:c r="E353" s="64" t="str">
        <x:v>B353</x:v>
      </x:c>
      <x:c r="F353" s="64" t="str">
        <x:v>PO_Date</x:v>
      </x:c>
      <x:c r="G353" s="64" t="str">
        <x:v>13/02/2025</x:v>
      </x:c>
      <x:c r="H353" s="64" t="str">
        <x:v>2025-02-13</x:v>
      </x:c>
      <x:c r="I353" s="64" t="str">
        <x:v>standardization</x:v>
      </x:c>
      <x:c r="J353" s="64" t="str">
        <x:v>Converted the source text date to a true spreadsheet date and standardized its display without changing the calendar date.</x:v>
      </x:c>
      <x:c r="K353" s="64" t="str">
        <x:v>PASS — parsed source date equals cleaned date</x:v>
      </x:c>
      <x:c r="L353" s="64" t="str">
        <x:v>High</x:v>
      </x:c>
      <x:c r="M353" s="64" t="str">
        <x:v>Instructor Approved</x:v>
      </x:c>
    </x:row>
    <x:row r="354">
      <x:c r="A354" s="64" t="str">
        <x:v>AUD-0353</x:v>
      </x:c>
      <x:c r="B354" s="64" t="n">
        <x:v>354</x:v>
      </x:c>
      <x:c r="C354" s="64" t="str">
        <x:v>PO-2025-0353</x:v>
      </x:c>
      <x:c r="D354" s="64" t="str">
        <x:v>PO-2025-0353</x:v>
      </x:c>
      <x:c r="E354" s="64" t="str">
        <x:v>B354</x:v>
      </x:c>
      <x:c r="F354" s="64" t="str">
        <x:v>PO_Date</x:v>
      </x:c>
      <x:c r="G354" s="64" t="str">
        <x:v>03/10/2025</x:v>
      </x:c>
      <x:c r="H354" s="64" t="str">
        <x:v>2025-10-03</x:v>
      </x:c>
      <x:c r="I354" s="64" t="str">
        <x:v>standardization</x:v>
      </x:c>
      <x:c r="J354" s="64" t="str">
        <x:v>Converted the source text date to a true spreadsheet date and standardized its display without changing the calendar date.</x:v>
      </x:c>
      <x:c r="K354" s="64" t="str">
        <x:v>PASS — parsed source date equals cleaned date</x:v>
      </x:c>
      <x:c r="L354" s="64" t="str">
        <x:v>High</x:v>
      </x:c>
      <x:c r="M354" s="64" t="str">
        <x:v>Instructor Approved</x:v>
      </x:c>
    </x:row>
    <x:row r="355">
      <x:c r="A355" s="64" t="str">
        <x:v>AUD-0354</x:v>
      </x:c>
      <x:c r="B355" s="64" t="n">
        <x:v>355</x:v>
      </x:c>
      <x:c r="C355" s="64" t="str">
        <x:v>PO-2025-0354</x:v>
      </x:c>
      <x:c r="D355" s="64" t="str">
        <x:v>PO-2025-0354</x:v>
      </x:c>
      <x:c r="E355" s="64" t="str">
        <x:v>B355</x:v>
      </x:c>
      <x:c r="F355" s="64" t="str">
        <x:v>PO_Date</x:v>
      </x:c>
      <x:c r="G355" s="64" t="str">
        <x:v>09/07/2025</x:v>
      </x:c>
      <x:c r="H355" s="64" t="str">
        <x:v>2025-07-09</x:v>
      </x:c>
      <x:c r="I355" s="64" t="str">
        <x:v>standardization</x:v>
      </x:c>
      <x:c r="J355" s="64" t="str">
        <x:v>Converted the source text date to a true spreadsheet date and standardized its display without changing the calendar date.</x:v>
      </x:c>
      <x:c r="K355" s="64" t="str">
        <x:v>PASS — parsed source date equals cleaned date</x:v>
      </x:c>
      <x:c r="L355" s="64" t="str">
        <x:v>High</x:v>
      </x:c>
      <x:c r="M355" s="64" t="str">
        <x:v>Instructor Approved</x:v>
      </x:c>
    </x:row>
    <x:row r="356">
      <x:c r="A356" s="64" t="str">
        <x:v>AUD-0355</x:v>
      </x:c>
      <x:c r="B356" s="64" t="n">
        <x:v>356</x:v>
      </x:c>
      <x:c r="C356" s="64" t="str">
        <x:v>PO-2025-0355</x:v>
      </x:c>
      <x:c r="D356" s="64" t="str">
        <x:v>PO-2025-0355</x:v>
      </x:c>
      <x:c r="E356" s="64" t="str">
        <x:v>B356</x:v>
      </x:c>
      <x:c r="F356" s="64" t="str">
        <x:v>PO_Date</x:v>
      </x:c>
      <x:c r="G356" s="64" t="str">
        <x:v>05/02/2025</x:v>
      </x:c>
      <x:c r="H356" s="64" t="str">
        <x:v>2025-02-05</x:v>
      </x:c>
      <x:c r="I356" s="64" t="str">
        <x:v>standardization</x:v>
      </x:c>
      <x:c r="J356" s="64" t="str">
        <x:v>Converted the source text date to a true spreadsheet date and standardized its display without changing the calendar date.</x:v>
      </x:c>
      <x:c r="K356" s="64" t="str">
        <x:v>PASS — parsed source date equals cleaned date</x:v>
      </x:c>
      <x:c r="L356" s="64" t="str">
        <x:v>High</x:v>
      </x:c>
      <x:c r="M356" s="64" t="str">
        <x:v>Instructor Approved</x:v>
      </x:c>
    </x:row>
    <x:row r="357">
      <x:c r="A357" s="64" t="str">
        <x:v>AUD-0356</x:v>
      </x:c>
      <x:c r="B357" s="64" t="n">
        <x:v>357</x:v>
      </x:c>
      <x:c r="C357" s="64" t="str">
        <x:v>PO-2025-0356</x:v>
      </x:c>
      <x:c r="D357" s="64" t="str">
        <x:v>PO-2025-0356</x:v>
      </x:c>
      <x:c r="E357" s="64" t="str">
        <x:v>B357</x:v>
      </x:c>
      <x:c r="F357" s="64" t="str">
        <x:v>PO_Date</x:v>
      </x:c>
      <x:c r="G357" s="64" t="str">
        <x:v>10/01/2025</x:v>
      </x:c>
      <x:c r="H357" s="64" t="str">
        <x:v>2025-01-10</x:v>
      </x:c>
      <x:c r="I357" s="64" t="str">
        <x:v>standardization</x:v>
      </x:c>
      <x:c r="J357" s="64" t="str">
        <x:v>Converted the source text date to a true spreadsheet date and standardized its display without changing the calendar date.</x:v>
      </x:c>
      <x:c r="K357" s="64" t="str">
        <x:v>PASS — parsed source date equals cleaned date</x:v>
      </x:c>
      <x:c r="L357" s="64" t="str">
        <x:v>High</x:v>
      </x:c>
      <x:c r="M357" s="64" t="str">
        <x:v>Instructor Approved</x:v>
      </x:c>
    </x:row>
    <x:row r="358">
      <x:c r="A358" s="64" t="str">
        <x:v>AUD-0357</x:v>
      </x:c>
      <x:c r="B358" s="64" t="n">
        <x:v>358</x:v>
      </x:c>
      <x:c r="C358" s="64" t="str">
        <x:v>PO-2025-0357</x:v>
      </x:c>
      <x:c r="D358" s="64" t="str">
        <x:v>PO-2025-0357</x:v>
      </x:c>
      <x:c r="E358" s="64" t="str">
        <x:v>B358</x:v>
      </x:c>
      <x:c r="F358" s="64" t="str">
        <x:v>PO_Date</x:v>
      </x:c>
      <x:c r="G358" s="64" t="str">
        <x:v>02/06/2025</x:v>
      </x:c>
      <x:c r="H358" s="64" t="str">
        <x:v>2025-06-02</x:v>
      </x:c>
      <x:c r="I358" s="64" t="str">
        <x:v>standardization</x:v>
      </x:c>
      <x:c r="J358" s="64" t="str">
        <x:v>Converted the source text date to a true spreadsheet date and standardized its display without changing the calendar date.</x:v>
      </x:c>
      <x:c r="K358" s="64" t="str">
        <x:v>PASS — parsed source date equals cleaned date</x:v>
      </x:c>
      <x:c r="L358" s="64" t="str">
        <x:v>High</x:v>
      </x:c>
      <x:c r="M358" s="64" t="str">
        <x:v>Instructor Approved</x:v>
      </x:c>
    </x:row>
    <x:row r="359">
      <x:c r="A359" s="64" t="str">
        <x:v>AUD-0358</x:v>
      </x:c>
      <x:c r="B359" s="64" t="n">
        <x:v>359</x:v>
      </x:c>
      <x:c r="C359" s="64" t="str">
        <x:v>PO-2025-0358</x:v>
      </x:c>
      <x:c r="D359" s="64" t="str">
        <x:v>PO-2025-0358</x:v>
      </x:c>
      <x:c r="E359" s="64" t="str">
        <x:v>B359</x:v>
      </x:c>
      <x:c r="F359" s="64" t="str">
        <x:v>PO_Date</x:v>
      </x:c>
      <x:c r="G359" s="64" t="str">
        <x:v>08/07/2025</x:v>
      </x:c>
      <x:c r="H359" s="64" t="str">
        <x:v>2025-07-08</x:v>
      </x:c>
      <x:c r="I359" s="64" t="str">
        <x:v>standardization</x:v>
      </x:c>
      <x:c r="J359" s="64" t="str">
        <x:v>Converted the source text date to a true spreadsheet date and standardized its display without changing the calendar date.</x:v>
      </x:c>
      <x:c r="K359" s="64" t="str">
        <x:v>PASS — parsed source date equals cleaned date</x:v>
      </x:c>
      <x:c r="L359" s="64" t="str">
        <x:v>High</x:v>
      </x:c>
      <x:c r="M359" s="64" t="str">
        <x:v>Instructor Approved</x:v>
      </x:c>
    </x:row>
    <x:row r="360">
      <x:c r="A360" s="64" t="str">
        <x:v>AUD-0359</x:v>
      </x:c>
      <x:c r="B360" s="64" t="n">
        <x:v>360</x:v>
      </x:c>
      <x:c r="C360" s="64" t="str">
        <x:v>PO-2025-0359</x:v>
      </x:c>
      <x:c r="D360" s="64" t="str">
        <x:v>PO-2025-0359</x:v>
      </x:c>
      <x:c r="E360" s="64" t="str">
        <x:v>B360</x:v>
      </x:c>
      <x:c r="F360" s="64" t="str">
        <x:v>PO_Date</x:v>
      </x:c>
      <x:c r="G360" s="64" t="str">
        <x:v>19/10/2025</x:v>
      </x:c>
      <x:c r="H360" s="64" t="str">
        <x:v>2025-10-19</x:v>
      </x:c>
      <x:c r="I360" s="64" t="str">
        <x:v>standardization</x:v>
      </x:c>
      <x:c r="J360" s="64" t="str">
        <x:v>Converted the source text date to a true spreadsheet date and standardized its display without changing the calendar date.</x:v>
      </x:c>
      <x:c r="K360" s="64" t="str">
        <x:v>PASS — parsed source date equals cleaned date</x:v>
      </x:c>
      <x:c r="L360" s="64" t="str">
        <x:v>High</x:v>
      </x:c>
      <x:c r="M360" s="64" t="str">
        <x:v>Instructor Approved</x:v>
      </x:c>
    </x:row>
    <x:row r="361">
      <x:c r="A361" s="64" t="str">
        <x:v>AUD-0360</x:v>
      </x:c>
      <x:c r="B361" s="64" t="n">
        <x:v>361</x:v>
      </x:c>
      <x:c r="C361" s="64" t="str">
        <x:v>PO-2025-0360</x:v>
      </x:c>
      <x:c r="D361" s="64" t="str">
        <x:v>PO-2025-0360</x:v>
      </x:c>
      <x:c r="E361" s="64" t="str">
        <x:v>B361</x:v>
      </x:c>
      <x:c r="F361" s="64" t="str">
        <x:v>PO_Date</x:v>
      </x:c>
      <x:c r="G361" s="64" t="str">
        <x:v>22/11/2025</x:v>
      </x:c>
      <x:c r="H361" s="64" t="str">
        <x:v>2025-11-22</x:v>
      </x:c>
      <x:c r="I361" s="64" t="str">
        <x:v>standardization</x:v>
      </x:c>
      <x:c r="J361" s="64" t="str">
        <x:v>Converted the source text date to a true spreadsheet date and standardized its display without changing the calendar date.</x:v>
      </x:c>
      <x:c r="K361" s="64" t="str">
        <x:v>PASS — parsed source date equals cleaned date</x:v>
      </x:c>
      <x:c r="L361" s="64" t="str">
        <x:v>High</x:v>
      </x:c>
      <x:c r="M361" s="64" t="str">
        <x:v>Instructor Approved</x:v>
      </x:c>
    </x:row>
    <x:row r="362">
      <x:c r="A362" s="64" t="str">
        <x:v>AUD-0361</x:v>
      </x:c>
      <x:c r="B362" s="64" t="n">
        <x:v>362</x:v>
      </x:c>
      <x:c r="C362" s="64" t="str">
        <x:v>PO-2025-0361</x:v>
      </x:c>
      <x:c r="D362" s="64" t="str">
        <x:v>PO-2025-0361</x:v>
      </x:c>
      <x:c r="E362" s="64" t="str">
        <x:v>B362</x:v>
      </x:c>
      <x:c r="F362" s="64" t="str">
        <x:v>PO_Date</x:v>
      </x:c>
      <x:c r="G362" s="64" t="str">
        <x:v>22/02/2025</x:v>
      </x:c>
      <x:c r="H362" s="64" t="str">
        <x:v>2025-02-22</x:v>
      </x:c>
      <x:c r="I362" s="64" t="str">
        <x:v>standardization</x:v>
      </x:c>
      <x:c r="J362" s="64" t="str">
        <x:v>Converted the source text date to a true spreadsheet date and standardized its display without changing the calendar date.</x:v>
      </x:c>
      <x:c r="K362" s="64" t="str">
        <x:v>PASS — parsed source date equals cleaned date</x:v>
      </x:c>
      <x:c r="L362" s="64" t="str">
        <x:v>High</x:v>
      </x:c>
      <x:c r="M362" s="64" t="str">
        <x:v>Instructor Approved</x:v>
      </x:c>
    </x:row>
    <x:row r="363">
      <x:c r="A363" s="64" t="str">
        <x:v>AUD-0362</x:v>
      </x:c>
      <x:c r="B363" s="64" t="n">
        <x:v>363</x:v>
      </x:c>
      <x:c r="C363" s="64" t="str">
        <x:v>PO-2025-0362</x:v>
      </x:c>
      <x:c r="D363" s="64" t="str">
        <x:v>PO-2025-0362</x:v>
      </x:c>
      <x:c r="E363" s="64" t="str">
        <x:v>B363</x:v>
      </x:c>
      <x:c r="F363" s="64" t="str">
        <x:v>PO_Date</x:v>
      </x:c>
      <x:c r="G363" s="64" t="str">
        <x:v>12/03/2025</x:v>
      </x:c>
      <x:c r="H363" s="64" t="str">
        <x:v>2025-03-12</x:v>
      </x:c>
      <x:c r="I363" s="64" t="str">
        <x:v>standardization</x:v>
      </x:c>
      <x:c r="J363" s="64" t="str">
        <x:v>Converted the source text date to a true spreadsheet date and standardized its display without changing the calendar date.</x:v>
      </x:c>
      <x:c r="K363" s="64" t="str">
        <x:v>PASS — parsed source date equals cleaned date</x:v>
      </x:c>
      <x:c r="L363" s="64" t="str">
        <x:v>High</x:v>
      </x:c>
      <x:c r="M363" s="64" t="str">
        <x:v>Instructor Approved</x:v>
      </x:c>
    </x:row>
    <x:row r="364">
      <x:c r="A364" s="64" t="str">
        <x:v>AUD-0363</x:v>
      </x:c>
      <x:c r="B364" s="64" t="n">
        <x:v>364</x:v>
      </x:c>
      <x:c r="C364" s="64" t="str">
        <x:v>PO-2025-0363</x:v>
      </x:c>
      <x:c r="D364" s="64" t="str">
        <x:v>PO-2025-0363</x:v>
      </x:c>
      <x:c r="E364" s="64" t="str">
        <x:v>B364</x:v>
      </x:c>
      <x:c r="F364" s="64" t="str">
        <x:v>PO_Date</x:v>
      </x:c>
      <x:c r="G364" s="64" t="str">
        <x:v>27/10/2025</x:v>
      </x:c>
      <x:c r="H364" s="64" t="str">
        <x:v>2025-10-27</x:v>
      </x:c>
      <x:c r="I364" s="64" t="str">
        <x:v>standardization</x:v>
      </x:c>
      <x:c r="J364" s="64" t="str">
        <x:v>Converted the source text date to a true spreadsheet date and standardized its display without changing the calendar date.</x:v>
      </x:c>
      <x:c r="K364" s="64" t="str">
        <x:v>PASS — parsed source date equals cleaned date</x:v>
      </x:c>
      <x:c r="L364" s="64" t="str">
        <x:v>High</x:v>
      </x:c>
      <x:c r="M364" s="64" t="str">
        <x:v>Instructor Approved</x:v>
      </x:c>
    </x:row>
    <x:row r="365">
      <x:c r="A365" s="64" t="str">
        <x:v>AUD-0364</x:v>
      </x:c>
      <x:c r="B365" s="64" t="n">
        <x:v>365</x:v>
      </x:c>
      <x:c r="C365" s="64" t="str">
        <x:v>PO-2025-0364</x:v>
      </x:c>
      <x:c r="D365" s="64" t="str">
        <x:v>PO-2025-0364</x:v>
      </x:c>
      <x:c r="E365" s="64" t="str">
        <x:v>B365</x:v>
      </x:c>
      <x:c r="F365" s="64" t="str">
        <x:v>PO_Date</x:v>
      </x:c>
      <x:c r="G365" s="64" t="str">
        <x:v>06/01/2025</x:v>
      </x:c>
      <x:c r="H365" s="64" t="str">
        <x:v>2025-01-06</x:v>
      </x:c>
      <x:c r="I365" s="64" t="str">
        <x:v>standardization</x:v>
      </x:c>
      <x:c r="J365" s="64" t="str">
        <x:v>Converted the source text date to a true spreadsheet date and standardized its display without changing the calendar date.</x:v>
      </x:c>
      <x:c r="K365" s="64" t="str">
        <x:v>PASS — parsed source date equals cleaned date</x:v>
      </x:c>
      <x:c r="L365" s="64" t="str">
        <x:v>High</x:v>
      </x:c>
      <x:c r="M365" s="64" t="str">
        <x:v>Instructor Approved</x:v>
      </x:c>
    </x:row>
    <x:row r="366">
      <x:c r="A366" s="64" t="str">
        <x:v>AUD-0365</x:v>
      </x:c>
      <x:c r="B366" s="64" t="n">
        <x:v>366</x:v>
      </x:c>
      <x:c r="C366" s="64" t="str">
        <x:v>PO-2025-0365</x:v>
      </x:c>
      <x:c r="D366" s="64" t="str">
        <x:v>PO-2025-0365</x:v>
      </x:c>
      <x:c r="E366" s="64" t="str">
        <x:v>B366</x:v>
      </x:c>
      <x:c r="F366" s="64" t="str">
        <x:v>PO_Date</x:v>
      </x:c>
      <x:c r="G366" s="64" t="str">
        <x:v>25/11/2025</x:v>
      </x:c>
      <x:c r="H366" s="64" t="str">
        <x:v>2025-11-25</x:v>
      </x:c>
      <x:c r="I366" s="64" t="str">
        <x:v>standardization</x:v>
      </x:c>
      <x:c r="J366" s="64" t="str">
        <x:v>Converted the source text date to a true spreadsheet date and standardized its display without changing the calendar date.</x:v>
      </x:c>
      <x:c r="K366" s="64" t="str">
        <x:v>PASS — parsed source date equals cleaned date</x:v>
      </x:c>
      <x:c r="L366" s="64" t="str">
        <x:v>High</x:v>
      </x:c>
      <x:c r="M366" s="64" t="str">
        <x:v>Instructor Approved</x:v>
      </x:c>
    </x:row>
    <x:row r="367">
      <x:c r="A367" s="64" t="str">
        <x:v>AUD-0366</x:v>
      </x:c>
      <x:c r="B367" s="64" t="n">
        <x:v>367</x:v>
      </x:c>
      <x:c r="C367" s="64" t="str">
        <x:v>PO-2025-0366</x:v>
      </x:c>
      <x:c r="D367" s="64" t="str">
        <x:v>PO-2025-0366</x:v>
      </x:c>
      <x:c r="E367" s="64" t="str">
        <x:v>B367</x:v>
      </x:c>
      <x:c r="F367" s="64" t="str">
        <x:v>PO_Date</x:v>
      </x:c>
      <x:c r="G367" s="64" t="str">
        <x:v>25/10/2025</x:v>
      </x:c>
      <x:c r="H367" s="64" t="str">
        <x:v>2025-10-25</x:v>
      </x:c>
      <x:c r="I367" s="64" t="str">
        <x:v>standardization</x:v>
      </x:c>
      <x:c r="J367" s="64" t="str">
        <x:v>Converted the source text date to a true spreadsheet date and standardized its display without changing the calendar date.</x:v>
      </x:c>
      <x:c r="K367" s="64" t="str">
        <x:v>PASS — parsed source date equals cleaned date</x:v>
      </x:c>
      <x:c r="L367" s="64" t="str">
        <x:v>High</x:v>
      </x:c>
      <x:c r="M367" s="64" t="str">
        <x:v>Instructor Approved</x:v>
      </x:c>
    </x:row>
    <x:row r="368">
      <x:c r="A368" s="64" t="str">
        <x:v>AUD-0367</x:v>
      </x:c>
      <x:c r="B368" s="64" t="n">
        <x:v>368</x:v>
      </x:c>
      <x:c r="C368" s="64" t="str">
        <x:v>PO-2025-0367</x:v>
      </x:c>
      <x:c r="D368" s="64" t="str">
        <x:v>PO-2025-0367</x:v>
      </x:c>
      <x:c r="E368" s="64" t="str">
        <x:v>B368</x:v>
      </x:c>
      <x:c r="F368" s="64" t="str">
        <x:v>PO_Date</x:v>
      </x:c>
      <x:c r="G368" s="64" t="str">
        <x:v>25/06/2025</x:v>
      </x:c>
      <x:c r="H368" s="64" t="str">
        <x:v>2025-06-25</x:v>
      </x:c>
      <x:c r="I368" s="64" t="str">
        <x:v>standardization</x:v>
      </x:c>
      <x:c r="J368" s="64" t="str">
        <x:v>Converted the source text date to a true spreadsheet date and standardized its display without changing the calendar date.</x:v>
      </x:c>
      <x:c r="K368" s="64" t="str">
        <x:v>PASS — parsed source date equals cleaned date</x:v>
      </x:c>
      <x:c r="L368" s="64" t="str">
        <x:v>High</x:v>
      </x:c>
      <x:c r="M368" s="64" t="str">
        <x:v>Instructor Approved</x:v>
      </x:c>
    </x:row>
    <x:row r="369">
      <x:c r="A369" s="64" t="str">
        <x:v>AUD-0368</x:v>
      </x:c>
      <x:c r="B369" s="64" t="n">
        <x:v>369</x:v>
      </x:c>
      <x:c r="C369" s="64" t="str">
        <x:v>PO-2025-0368</x:v>
      </x:c>
      <x:c r="D369" s="64" t="str">
        <x:v>PO-2025-0368</x:v>
      </x:c>
      <x:c r="E369" s="64" t="str">
        <x:v>B369</x:v>
      </x:c>
      <x:c r="F369" s="64" t="str">
        <x:v>PO_Date</x:v>
      </x:c>
      <x:c r="G369" s="64" t="str">
        <x:v>18/03/2025</x:v>
      </x:c>
      <x:c r="H369" s="64" t="str">
        <x:v>2025-03-18</x:v>
      </x:c>
      <x:c r="I369" s="64" t="str">
        <x:v>standardization</x:v>
      </x:c>
      <x:c r="J369" s="64" t="str">
        <x:v>Converted the source text date to a true spreadsheet date and standardized its display without changing the calendar date.</x:v>
      </x:c>
      <x:c r="K369" s="64" t="str">
        <x:v>PASS — parsed source date equals cleaned date</x:v>
      </x:c>
      <x:c r="L369" s="64" t="str">
        <x:v>High</x:v>
      </x:c>
      <x:c r="M369" s="64" t="str">
        <x:v>Instructor Approved</x:v>
      </x:c>
    </x:row>
    <x:row r="370">
      <x:c r="A370" s="64" t="str">
        <x:v>AUD-0369</x:v>
      </x:c>
      <x:c r="B370" s="64" t="n">
        <x:v>370</x:v>
      </x:c>
      <x:c r="C370" s="64" t="str">
        <x:v>PO-2025-0369</x:v>
      </x:c>
      <x:c r="D370" s="64" t="str">
        <x:v>PO-2025-0369</x:v>
      </x:c>
      <x:c r="E370" s="64" t="str">
        <x:v>B370</x:v>
      </x:c>
      <x:c r="F370" s="64" t="str">
        <x:v>PO_Date</x:v>
      </x:c>
      <x:c r="G370" s="64" t="str">
        <x:v>05/05/2025</x:v>
      </x:c>
      <x:c r="H370" s="64" t="str">
        <x:v>2025-05-05</x:v>
      </x:c>
      <x:c r="I370" s="64" t="str">
        <x:v>standardization</x:v>
      </x:c>
      <x:c r="J370" s="64" t="str">
        <x:v>Converted the source text date to a true spreadsheet date and standardized its display without changing the calendar date.</x:v>
      </x:c>
      <x:c r="K370" s="64" t="str">
        <x:v>PASS — parsed source date equals cleaned date</x:v>
      </x:c>
      <x:c r="L370" s="64" t="str">
        <x:v>High</x:v>
      </x:c>
      <x:c r="M370" s="64" t="str">
        <x:v>Instructor Approved</x:v>
      </x:c>
    </x:row>
    <x:row r="371">
      <x:c r="A371" s="64" t="str">
        <x:v>AUD-0370</x:v>
      </x:c>
      <x:c r="B371" s="64" t="n">
        <x:v>371</x:v>
      </x:c>
      <x:c r="C371" s="64" t="str">
        <x:v>PO-2025-0370</x:v>
      </x:c>
      <x:c r="D371" s="64" t="str">
        <x:v>PO-2025-0370</x:v>
      </x:c>
      <x:c r="E371" s="64" t="str">
        <x:v>B371</x:v>
      </x:c>
      <x:c r="F371" s="64" t="str">
        <x:v>PO_Date</x:v>
      </x:c>
      <x:c r="G371" s="64" t="str">
        <x:v>05/05/2025</x:v>
      </x:c>
      <x:c r="H371" s="64" t="str">
        <x:v>2025-05-05</x:v>
      </x:c>
      <x:c r="I371" s="64" t="str">
        <x:v>standardization</x:v>
      </x:c>
      <x:c r="J371" s="64" t="str">
        <x:v>Converted the source text date to a true spreadsheet date and standardized its display without changing the calendar date.</x:v>
      </x:c>
      <x:c r="K371" s="64" t="str">
        <x:v>PASS — parsed source date equals cleaned date</x:v>
      </x:c>
      <x:c r="L371" s="64" t="str">
        <x:v>High</x:v>
      </x:c>
      <x:c r="M371" s="64" t="str">
        <x:v>Instructor Approved</x:v>
      </x:c>
    </x:row>
    <x:row r="372">
      <x:c r="A372" s="64" t="str">
        <x:v>AUD-0371</x:v>
      </x:c>
      <x:c r="B372" s="64" t="n">
        <x:v>372</x:v>
      </x:c>
      <x:c r="C372" s="64" t="str">
        <x:v>PO-2025-0371</x:v>
      </x:c>
      <x:c r="D372" s="64" t="str">
        <x:v>PO-2025-0371</x:v>
      </x:c>
      <x:c r="E372" s="64" t="str">
        <x:v>B372</x:v>
      </x:c>
      <x:c r="F372" s="64" t="str">
        <x:v>PO_Date</x:v>
      </x:c>
      <x:c r="G372" s="64" t="str">
        <x:v>11/09/2025</x:v>
      </x:c>
      <x:c r="H372" s="64" t="str">
        <x:v>2025-09-11</x:v>
      </x:c>
      <x:c r="I372" s="64" t="str">
        <x:v>standardization</x:v>
      </x:c>
      <x:c r="J372" s="64" t="str">
        <x:v>Converted the source text date to a true spreadsheet date and standardized its display without changing the calendar date.</x:v>
      </x:c>
      <x:c r="K372" s="64" t="str">
        <x:v>PASS — parsed source date equals cleaned date</x:v>
      </x:c>
      <x:c r="L372" s="64" t="str">
        <x:v>High</x:v>
      </x:c>
      <x:c r="M372" s="64" t="str">
        <x:v>Instructor Approved</x:v>
      </x:c>
    </x:row>
    <x:row r="373">
      <x:c r="A373" s="64" t="str">
        <x:v>AUD-0372</x:v>
      </x:c>
      <x:c r="B373" s="64" t="n">
        <x:v>373</x:v>
      </x:c>
      <x:c r="C373" s="64" t="str">
        <x:v>PO-2025-0372</x:v>
      </x:c>
      <x:c r="D373" s="64" t="str">
        <x:v>PO-2025-0372</x:v>
      </x:c>
      <x:c r="E373" s="64" t="str">
        <x:v>B373</x:v>
      </x:c>
      <x:c r="F373" s="64" t="str">
        <x:v>PO_Date</x:v>
      </x:c>
      <x:c r="G373" s="64" t="str">
        <x:v>08/02/2025</x:v>
      </x:c>
      <x:c r="H373" s="64" t="str">
        <x:v>2025-02-08</x:v>
      </x:c>
      <x:c r="I373" s="64" t="str">
        <x:v>standardization</x:v>
      </x:c>
      <x:c r="J373" s="64" t="str">
        <x:v>Converted the source text date to a true spreadsheet date and standardized its display without changing the calendar date.</x:v>
      </x:c>
      <x:c r="K373" s="64" t="str">
        <x:v>PASS — parsed source date equals cleaned date</x:v>
      </x:c>
      <x:c r="L373" s="64" t="str">
        <x:v>High</x:v>
      </x:c>
      <x:c r="M373" s="64" t="str">
        <x:v>Instructor Approved</x:v>
      </x:c>
    </x:row>
    <x:row r="374">
      <x:c r="A374" s="64" t="str">
        <x:v>AUD-0373</x:v>
      </x:c>
      <x:c r="B374" s="64" t="n">
        <x:v>374</x:v>
      </x:c>
      <x:c r="C374" s="64" t="str">
        <x:v>PO-2025-0373</x:v>
      </x:c>
      <x:c r="D374" s="64" t="str">
        <x:v>PO-2025-0373</x:v>
      </x:c>
      <x:c r="E374" s="64" t="str">
        <x:v>B374</x:v>
      </x:c>
      <x:c r="F374" s="64" t="str">
        <x:v>PO_Date</x:v>
      </x:c>
      <x:c r="G374" s="64" t="str">
        <x:v>05/05/2025</x:v>
      </x:c>
      <x:c r="H374" s="64" t="str">
        <x:v>2025-05-05</x:v>
      </x:c>
      <x:c r="I374" s="64" t="str">
        <x:v>standardization</x:v>
      </x:c>
      <x:c r="J374" s="64" t="str">
        <x:v>Converted the source text date to a true spreadsheet date and standardized its display without changing the calendar date.</x:v>
      </x:c>
      <x:c r="K374" s="64" t="str">
        <x:v>PASS — parsed source date equals cleaned date</x:v>
      </x:c>
      <x:c r="L374" s="64" t="str">
        <x:v>High</x:v>
      </x:c>
      <x:c r="M374" s="64" t="str">
        <x:v>Instructor Approved</x:v>
      </x:c>
    </x:row>
    <x:row r="375">
      <x:c r="A375" s="64" t="str">
        <x:v>AUD-0374</x:v>
      </x:c>
      <x:c r="B375" s="64" t="n">
        <x:v>375</x:v>
      </x:c>
      <x:c r="C375" s="64" t="str">
        <x:v>PO-2025-0374</x:v>
      </x:c>
      <x:c r="D375" s="64" t="str">
        <x:v>PO-2025-0374</x:v>
      </x:c>
      <x:c r="E375" s="64" t="str">
        <x:v>B375</x:v>
      </x:c>
      <x:c r="F375" s="64" t="str">
        <x:v>PO_Date</x:v>
      </x:c>
      <x:c r="G375" s="64" t="str">
        <x:v>11/09/2025</x:v>
      </x:c>
      <x:c r="H375" s="64" t="str">
        <x:v>2025-09-11</x:v>
      </x:c>
      <x:c r="I375" s="64" t="str">
        <x:v>standardization</x:v>
      </x:c>
      <x:c r="J375" s="64" t="str">
        <x:v>Converted the source text date to a true spreadsheet date and standardized its display without changing the calendar date.</x:v>
      </x:c>
      <x:c r="K375" s="64" t="str">
        <x:v>PASS — parsed source date equals cleaned date</x:v>
      </x:c>
      <x:c r="L375" s="64" t="str">
        <x:v>High</x:v>
      </x:c>
      <x:c r="M375" s="64" t="str">
        <x:v>Instructor Approved</x:v>
      </x:c>
    </x:row>
    <x:row r="376">
      <x:c r="A376" s="64" t="str">
        <x:v>AUD-0375</x:v>
      </x:c>
      <x:c r="B376" s="64" t="n">
        <x:v>376</x:v>
      </x:c>
      <x:c r="C376" s="64" t="str">
        <x:v>PO-2025-0375</x:v>
      </x:c>
      <x:c r="D376" s="64" t="str">
        <x:v>PO-2025-0375</x:v>
      </x:c>
      <x:c r="E376" s="64" t="str">
        <x:v>B376</x:v>
      </x:c>
      <x:c r="F376" s="64" t="str">
        <x:v>PO_Date</x:v>
      </x:c>
      <x:c r="G376" s="64" t="str">
        <x:v>23/03/2025</x:v>
      </x:c>
      <x:c r="H376" s="64" t="str">
        <x:v>2025-03-23</x:v>
      </x:c>
      <x:c r="I376" s="64" t="str">
        <x:v>standardization</x:v>
      </x:c>
      <x:c r="J376" s="64" t="str">
        <x:v>Converted the source text date to a true spreadsheet date and standardized its display without changing the calendar date.</x:v>
      </x:c>
      <x:c r="K376" s="64" t="str">
        <x:v>PASS — parsed source date equals cleaned date</x:v>
      </x:c>
      <x:c r="L376" s="64" t="str">
        <x:v>High</x:v>
      </x:c>
      <x:c r="M376" s="64" t="str">
        <x:v>Instructor Approved</x:v>
      </x:c>
    </x:row>
    <x:row r="377">
      <x:c r="A377" s="64" t="str">
        <x:v>AUD-0376</x:v>
      </x:c>
      <x:c r="B377" s="64" t="n">
        <x:v>377</x:v>
      </x:c>
      <x:c r="C377" s="64" t="str">
        <x:v>PO-2025-0376</x:v>
      </x:c>
      <x:c r="D377" s="64" t="str">
        <x:v>PO-2025-0376</x:v>
      </x:c>
      <x:c r="E377" s="64" t="str">
        <x:v>B377</x:v>
      </x:c>
      <x:c r="F377" s="64" t="str">
        <x:v>PO_Date</x:v>
      </x:c>
      <x:c r="G377" s="64" t="str">
        <x:v>15/01/2025</x:v>
      </x:c>
      <x:c r="H377" s="64" t="str">
        <x:v>2025-01-15</x:v>
      </x:c>
      <x:c r="I377" s="64" t="str">
        <x:v>standardization</x:v>
      </x:c>
      <x:c r="J377" s="64" t="str">
        <x:v>Converted the source text date to a true spreadsheet date and standardized its display without changing the calendar date.</x:v>
      </x:c>
      <x:c r="K377" s="64" t="str">
        <x:v>PASS — parsed source date equals cleaned date</x:v>
      </x:c>
      <x:c r="L377" s="64" t="str">
        <x:v>High</x:v>
      </x:c>
      <x:c r="M377" s="64" t="str">
        <x:v>Instructor Approved</x:v>
      </x:c>
    </x:row>
    <x:row r="378">
      <x:c r="A378" s="64" t="str">
        <x:v>AUD-0377</x:v>
      </x:c>
      <x:c r="B378" s="64" t="n">
        <x:v>378</x:v>
      </x:c>
      <x:c r="C378" s="64" t="str">
        <x:v>PO-2025-0377</x:v>
      </x:c>
      <x:c r="D378" s="64" t="str">
        <x:v>PO-2025-0377</x:v>
      </x:c>
      <x:c r="E378" s="64" t="str">
        <x:v>B378</x:v>
      </x:c>
      <x:c r="F378" s="64" t="str">
        <x:v>PO_Date</x:v>
      </x:c>
      <x:c r="G378" s="64" t="str">
        <x:v>17/05/2025</x:v>
      </x:c>
      <x:c r="H378" s="64" t="str">
        <x:v>2025-05-17</x:v>
      </x:c>
      <x:c r="I378" s="64" t="str">
        <x:v>standardization</x:v>
      </x:c>
      <x:c r="J378" s="64" t="str">
        <x:v>Converted the source text date to a true spreadsheet date and standardized its display without changing the calendar date.</x:v>
      </x:c>
      <x:c r="K378" s="64" t="str">
        <x:v>PASS — parsed source date equals cleaned date</x:v>
      </x:c>
      <x:c r="L378" s="64" t="str">
        <x:v>High</x:v>
      </x:c>
      <x:c r="M378" s="64" t="str">
        <x:v>Instructor Approved</x:v>
      </x:c>
    </x:row>
    <x:row r="379">
      <x:c r="A379" s="64" t="str">
        <x:v>AUD-0378</x:v>
      </x:c>
      <x:c r="B379" s="64" t="n">
        <x:v>379</x:v>
      </x:c>
      <x:c r="C379" s="64" t="str">
        <x:v>PO-2025-0378</x:v>
      </x:c>
      <x:c r="D379" s="64" t="str">
        <x:v>PO-2025-0378</x:v>
      </x:c>
      <x:c r="E379" s="64" t="str">
        <x:v>B379</x:v>
      </x:c>
      <x:c r="F379" s="64" t="str">
        <x:v>PO_Date</x:v>
      </x:c>
      <x:c r="G379" s="64" t="str">
        <x:v>03/09/2025</x:v>
      </x:c>
      <x:c r="H379" s="64" t="str">
        <x:v>2025-09-03</x:v>
      </x:c>
      <x:c r="I379" s="64" t="str">
        <x:v>standardization</x:v>
      </x:c>
      <x:c r="J379" s="64" t="str">
        <x:v>Converted the source text date to a true spreadsheet date and standardized its display without changing the calendar date.</x:v>
      </x:c>
      <x:c r="K379" s="64" t="str">
        <x:v>PASS — parsed source date equals cleaned date</x:v>
      </x:c>
      <x:c r="L379" s="64" t="str">
        <x:v>High</x:v>
      </x:c>
      <x:c r="M379" s="64" t="str">
        <x:v>Instructor Approved</x:v>
      </x:c>
    </x:row>
    <x:row r="380">
      <x:c r="A380" s="64" t="str">
        <x:v>AUD-0379</x:v>
      </x:c>
      <x:c r="B380" s="64" t="n">
        <x:v>380</x:v>
      </x:c>
      <x:c r="C380" s="64" t="str">
        <x:v>PO-2025-0379</x:v>
      </x:c>
      <x:c r="D380" s="64" t="str">
        <x:v>PO-2025-0379</x:v>
      </x:c>
      <x:c r="E380" s="64" t="str">
        <x:v>B380</x:v>
      </x:c>
      <x:c r="F380" s="64" t="str">
        <x:v>PO_Date</x:v>
      </x:c>
      <x:c r="G380" s="64" t="str">
        <x:v>06/10/2025</x:v>
      </x:c>
      <x:c r="H380" s="64" t="str">
        <x:v>2025-10-06</x:v>
      </x:c>
      <x:c r="I380" s="64" t="str">
        <x:v>standardization</x:v>
      </x:c>
      <x:c r="J380" s="64" t="str">
        <x:v>Converted the source text date to a true spreadsheet date and standardized its display without changing the calendar date.</x:v>
      </x:c>
      <x:c r="K380" s="64" t="str">
        <x:v>PASS — parsed source date equals cleaned date</x:v>
      </x:c>
      <x:c r="L380" s="64" t="str">
        <x:v>High</x:v>
      </x:c>
      <x:c r="M380" s="64" t="str">
        <x:v>Instructor Approved</x:v>
      </x:c>
    </x:row>
    <x:row r="381">
      <x:c r="A381" s="64" t="str">
        <x:v>AUD-0380</x:v>
      </x:c>
      <x:c r="B381" s="64" t="n">
        <x:v>381</x:v>
      </x:c>
      <x:c r="C381" s="64" t="str">
        <x:v>PO-2025-0380</x:v>
      </x:c>
      <x:c r="D381" s="64" t="str">
        <x:v>PO-2025-0380</x:v>
      </x:c>
      <x:c r="E381" s="64" t="str">
        <x:v>B381</x:v>
      </x:c>
      <x:c r="F381" s="64" t="str">
        <x:v>PO_Date</x:v>
      </x:c>
      <x:c r="G381" s="64" t="str">
        <x:v>27/09/2025</x:v>
      </x:c>
      <x:c r="H381" s="64" t="str">
        <x:v>2025-09-27</x:v>
      </x:c>
      <x:c r="I381" s="64" t="str">
        <x:v>standardization</x:v>
      </x:c>
      <x:c r="J381" s="64" t="str">
        <x:v>Converted the source text date to a true spreadsheet date and standardized its display without changing the calendar date.</x:v>
      </x:c>
      <x:c r="K381" s="64" t="str">
        <x:v>PASS — parsed source date equals cleaned date</x:v>
      </x:c>
      <x:c r="L381" s="64" t="str">
        <x:v>High</x:v>
      </x:c>
      <x:c r="M381" s="64" t="str">
        <x:v>Instructor Approved</x:v>
      </x:c>
    </x:row>
    <x:row r="382">
      <x:c r="A382" s="64" t="str">
        <x:v>AUD-0381</x:v>
      </x:c>
      <x:c r="B382" s="64" t="n">
        <x:v>382</x:v>
      </x:c>
      <x:c r="C382" s="64" t="str">
        <x:v>PO-2025-0381</x:v>
      </x:c>
      <x:c r="D382" s="64" t="str">
        <x:v>PO-2025-0381</x:v>
      </x:c>
      <x:c r="E382" s="64" t="str">
        <x:v>B382</x:v>
      </x:c>
      <x:c r="F382" s="64" t="str">
        <x:v>PO_Date</x:v>
      </x:c>
      <x:c r="G382" s="64" t="str">
        <x:v>14/01/2025</x:v>
      </x:c>
      <x:c r="H382" s="64" t="str">
        <x:v>2025-01-14</x:v>
      </x:c>
      <x:c r="I382" s="64" t="str">
        <x:v>standardization</x:v>
      </x:c>
      <x:c r="J382" s="64" t="str">
        <x:v>Converted the source text date to a true spreadsheet date and standardized its display without changing the calendar date.</x:v>
      </x:c>
      <x:c r="K382" s="64" t="str">
        <x:v>PASS — parsed source date equals cleaned date</x:v>
      </x:c>
      <x:c r="L382" s="64" t="str">
        <x:v>High</x:v>
      </x:c>
      <x:c r="M382" s="64" t="str">
        <x:v>Instructor Approved</x:v>
      </x:c>
    </x:row>
    <x:row r="383">
      <x:c r="A383" s="64" t="str">
        <x:v>AUD-0382</x:v>
      </x:c>
      <x:c r="B383" s="64" t="n">
        <x:v>383</x:v>
      </x:c>
      <x:c r="C383" s="64" t="str">
        <x:v>PO-2025-0382</x:v>
      </x:c>
      <x:c r="D383" s="64" t="str">
        <x:v>PO-2025-0382</x:v>
      </x:c>
      <x:c r="E383" s="64" t="str">
        <x:v>B383</x:v>
      </x:c>
      <x:c r="F383" s="64" t="str">
        <x:v>PO_Date</x:v>
      </x:c>
      <x:c r="G383" s="64" t="str">
        <x:v>09/09/2025</x:v>
      </x:c>
      <x:c r="H383" s="64" t="str">
        <x:v>2025-09-09</x:v>
      </x:c>
      <x:c r="I383" s="64" t="str">
        <x:v>standardization</x:v>
      </x:c>
      <x:c r="J383" s="64" t="str">
        <x:v>Converted the source text date to a true spreadsheet date and standardized its display without changing the calendar date.</x:v>
      </x:c>
      <x:c r="K383" s="64" t="str">
        <x:v>PASS — parsed source date equals cleaned date</x:v>
      </x:c>
      <x:c r="L383" s="64" t="str">
        <x:v>High</x:v>
      </x:c>
      <x:c r="M383" s="64" t="str">
        <x:v>Instructor Approved</x:v>
      </x:c>
    </x:row>
    <x:row r="384">
      <x:c r="A384" s="64" t="str">
        <x:v>AUD-0383</x:v>
      </x:c>
      <x:c r="B384" s="64" t="n">
        <x:v>384</x:v>
      </x:c>
      <x:c r="C384" s="64" t="str">
        <x:v>PO-2025-0383</x:v>
      </x:c>
      <x:c r="D384" s="64" t="str">
        <x:v>PO-2025-0383</x:v>
      </x:c>
      <x:c r="E384" s="64" t="str">
        <x:v>B384</x:v>
      </x:c>
      <x:c r="F384" s="64" t="str">
        <x:v>PO_Date</x:v>
      </x:c>
      <x:c r="G384" s="64" t="str">
        <x:v>31/08/2025</x:v>
      </x:c>
      <x:c r="H384" s="64" t="str">
        <x:v>2025-08-31</x:v>
      </x:c>
      <x:c r="I384" s="64" t="str">
        <x:v>standardization</x:v>
      </x:c>
      <x:c r="J384" s="64" t="str">
        <x:v>Converted the source text date to a true spreadsheet date and standardized its display without changing the calendar date.</x:v>
      </x:c>
      <x:c r="K384" s="64" t="str">
        <x:v>PASS — parsed source date equals cleaned date</x:v>
      </x:c>
      <x:c r="L384" s="64" t="str">
        <x:v>High</x:v>
      </x:c>
      <x:c r="M384" s="64" t="str">
        <x:v>Instructor Approved</x:v>
      </x:c>
    </x:row>
    <x:row r="385">
      <x:c r="A385" s="64" t="str">
        <x:v>AUD-0384</x:v>
      </x:c>
      <x:c r="B385" s="64" t="n">
        <x:v>385</x:v>
      </x:c>
      <x:c r="C385" s="64" t="str">
        <x:v>PO-2025-0384</x:v>
      </x:c>
      <x:c r="D385" s="64" t="str">
        <x:v>PO-2025-0384</x:v>
      </x:c>
      <x:c r="E385" s="64" t="str">
        <x:v>B385</x:v>
      </x:c>
      <x:c r="F385" s="64" t="str">
        <x:v>PO_Date</x:v>
      </x:c>
      <x:c r="G385" s="64" t="str">
        <x:v>31/01/2025</x:v>
      </x:c>
      <x:c r="H385" s="64" t="str">
        <x:v>2025-01-31</x:v>
      </x:c>
      <x:c r="I385" s="64" t="str">
        <x:v>standardization</x:v>
      </x:c>
      <x:c r="J385" s="64" t="str">
        <x:v>Converted the source text date to a true spreadsheet date and standardized its display without changing the calendar date.</x:v>
      </x:c>
      <x:c r="K385" s="64" t="str">
        <x:v>PASS — parsed source date equals cleaned date</x:v>
      </x:c>
      <x:c r="L385" s="64" t="str">
        <x:v>High</x:v>
      </x:c>
      <x:c r="M385" s="64" t="str">
        <x:v>Instructor Approved</x:v>
      </x:c>
    </x:row>
    <x:row r="386">
      <x:c r="A386" s="64" t="str">
        <x:v>AUD-0385</x:v>
      </x:c>
      <x:c r="B386" s="64" t="n">
        <x:v>386</x:v>
      </x:c>
      <x:c r="C386" s="64" t="str">
        <x:v>PO-2025-0385</x:v>
      </x:c>
      <x:c r="D386" s="64" t="str">
        <x:v>PO-2025-0385</x:v>
      </x:c>
      <x:c r="E386" s="64" t="str">
        <x:v>B386</x:v>
      </x:c>
      <x:c r="F386" s="64" t="str">
        <x:v>PO_Date</x:v>
      </x:c>
      <x:c r="G386" s="64" t="str">
        <x:v>13/02/2025</x:v>
      </x:c>
      <x:c r="H386" s="64" t="str">
        <x:v>2025-02-13</x:v>
      </x:c>
      <x:c r="I386" s="64" t="str">
        <x:v>standardization</x:v>
      </x:c>
      <x:c r="J386" s="64" t="str">
        <x:v>Converted the source text date to a true spreadsheet date and standardized its display without changing the calendar date.</x:v>
      </x:c>
      <x:c r="K386" s="64" t="str">
        <x:v>PASS — parsed source date equals cleaned date</x:v>
      </x:c>
      <x:c r="L386" s="64" t="str">
        <x:v>High</x:v>
      </x:c>
      <x:c r="M386" s="64" t="str">
        <x:v>Instructor Approved</x:v>
      </x:c>
    </x:row>
    <x:row r="387">
      <x:c r="A387" s="64" t="str">
        <x:v>AUD-0386</x:v>
      </x:c>
      <x:c r="B387" s="64" t="n">
        <x:v>387</x:v>
      </x:c>
      <x:c r="C387" s="64" t="str">
        <x:v>PO-2025-0386</x:v>
      </x:c>
      <x:c r="D387" s="64" t="str">
        <x:v>PO-2025-0386</x:v>
      </x:c>
      <x:c r="E387" s="64" t="str">
        <x:v>B387</x:v>
      </x:c>
      <x:c r="F387" s="64" t="str">
        <x:v>PO_Date</x:v>
      </x:c>
      <x:c r="G387" s="64" t="str">
        <x:v>17/10/2025</x:v>
      </x:c>
      <x:c r="H387" s="64" t="str">
        <x:v>2025-10-17</x:v>
      </x:c>
      <x:c r="I387" s="64" t="str">
        <x:v>standardization</x:v>
      </x:c>
      <x:c r="J387" s="64" t="str">
        <x:v>Converted the source text date to a true spreadsheet date and standardized its display without changing the calendar date.</x:v>
      </x:c>
      <x:c r="K387" s="64" t="str">
        <x:v>PASS — parsed source date equals cleaned date</x:v>
      </x:c>
      <x:c r="L387" s="64" t="str">
        <x:v>High</x:v>
      </x:c>
      <x:c r="M387" s="64" t="str">
        <x:v>Instructor Approved</x:v>
      </x:c>
    </x:row>
    <x:row r="388">
      <x:c r="A388" s="64" t="str">
        <x:v>AUD-0387</x:v>
      </x:c>
      <x:c r="B388" s="64" t="n">
        <x:v>388</x:v>
      </x:c>
      <x:c r="C388" s="64" t="str">
        <x:v>PO-2025-0387</x:v>
      </x:c>
      <x:c r="D388" s="64" t="str">
        <x:v>PO-2025-0387</x:v>
      </x:c>
      <x:c r="E388" s="64" t="str">
        <x:v>B388</x:v>
      </x:c>
      <x:c r="F388" s="64" t="str">
        <x:v>PO_Date</x:v>
      </x:c>
      <x:c r="G388" s="64" t="str">
        <x:v>19/07/2025</x:v>
      </x:c>
      <x:c r="H388" s="64" t="str">
        <x:v>2025-07-19</x:v>
      </x:c>
      <x:c r="I388" s="64" t="str">
        <x:v>standardization</x:v>
      </x:c>
      <x:c r="J388" s="64" t="str">
        <x:v>Converted the source text date to a true spreadsheet date and standardized its display without changing the calendar date.</x:v>
      </x:c>
      <x:c r="K388" s="64" t="str">
        <x:v>PASS — parsed source date equals cleaned date</x:v>
      </x:c>
      <x:c r="L388" s="64" t="str">
        <x:v>High</x:v>
      </x:c>
      <x:c r="M388" s="64" t="str">
        <x:v>Instructor Approved</x:v>
      </x:c>
    </x:row>
    <x:row r="389">
      <x:c r="A389" s="64" t="str">
        <x:v>AUD-0388</x:v>
      </x:c>
      <x:c r="B389" s="64" t="n">
        <x:v>389</x:v>
      </x:c>
      <x:c r="C389" s="64" t="str">
        <x:v>PO-2025-0388</x:v>
      </x:c>
      <x:c r="D389" s="64" t="str">
        <x:v>PO-2025-0388</x:v>
      </x:c>
      <x:c r="E389" s="64" t="str">
        <x:v>B389</x:v>
      </x:c>
      <x:c r="F389" s="64" t="str">
        <x:v>PO_Date</x:v>
      </x:c>
      <x:c r="G389" s="64" t="str">
        <x:v>12/05/2025</x:v>
      </x:c>
      <x:c r="H389" s="64" t="str">
        <x:v>2025-05-12</x:v>
      </x:c>
      <x:c r="I389" s="64" t="str">
        <x:v>standardization</x:v>
      </x:c>
      <x:c r="J389" s="64" t="str">
        <x:v>Converted the source text date to a true spreadsheet date and standardized its display without changing the calendar date.</x:v>
      </x:c>
      <x:c r="K389" s="64" t="str">
        <x:v>PASS — parsed source date equals cleaned date</x:v>
      </x:c>
      <x:c r="L389" s="64" t="str">
        <x:v>High</x:v>
      </x:c>
      <x:c r="M389" s="64" t="str">
        <x:v>Instructor Approved</x:v>
      </x:c>
    </x:row>
    <x:row r="390">
      <x:c r="A390" s="64" t="str">
        <x:v>AUD-0389</x:v>
      </x:c>
      <x:c r="B390" s="64" t="n">
        <x:v>390</x:v>
      </x:c>
      <x:c r="C390" s="64" t="str">
        <x:v>PO-2025-0389</x:v>
      </x:c>
      <x:c r="D390" s="64" t="str">
        <x:v>PO-2025-0389</x:v>
      </x:c>
      <x:c r="E390" s="64" t="str">
        <x:v>B390</x:v>
      </x:c>
      <x:c r="F390" s="64" t="str">
        <x:v>PO_Date</x:v>
      </x:c>
      <x:c r="G390" s="64" t="str">
        <x:v>20/05/2025</x:v>
      </x:c>
      <x:c r="H390" s="64" t="str">
        <x:v>2025-05-20</x:v>
      </x:c>
      <x:c r="I390" s="64" t="str">
        <x:v>standardization</x:v>
      </x:c>
      <x:c r="J390" s="64" t="str">
        <x:v>Converted the source text date to a true spreadsheet date and standardized its display without changing the calendar date.</x:v>
      </x:c>
      <x:c r="K390" s="64" t="str">
        <x:v>PASS — parsed source date equals cleaned date</x:v>
      </x:c>
      <x:c r="L390" s="64" t="str">
        <x:v>High</x:v>
      </x:c>
      <x:c r="M390" s="64" t="str">
        <x:v>Instructor Approved</x:v>
      </x:c>
    </x:row>
    <x:row r="391">
      <x:c r="A391" s="64" t="str">
        <x:v>AUD-0390</x:v>
      </x:c>
      <x:c r="B391" s="64" t="n">
        <x:v>391</x:v>
      </x:c>
      <x:c r="C391" s="64" t="str">
        <x:v>PO-2025-0390</x:v>
      </x:c>
      <x:c r="D391" s="64" t="str">
        <x:v>PO-2025-0390</x:v>
      </x:c>
      <x:c r="E391" s="64" t="str">
        <x:v>B391</x:v>
      </x:c>
      <x:c r="F391" s="64" t="str">
        <x:v>PO_Date</x:v>
      </x:c>
      <x:c r="G391" s="64" t="str">
        <x:v>13/08/2025</x:v>
      </x:c>
      <x:c r="H391" s="64" t="str">
        <x:v>2025-08-13</x:v>
      </x:c>
      <x:c r="I391" s="64" t="str">
        <x:v>standardization</x:v>
      </x:c>
      <x:c r="J391" s="64" t="str">
        <x:v>Converted the source text date to a true spreadsheet date and standardized its display without changing the calendar date.</x:v>
      </x:c>
      <x:c r="K391" s="64" t="str">
        <x:v>PASS — parsed source date equals cleaned date</x:v>
      </x:c>
      <x:c r="L391" s="64" t="str">
        <x:v>High</x:v>
      </x:c>
      <x:c r="M391" s="64" t="str">
        <x:v>Instructor Approved</x:v>
      </x:c>
    </x:row>
    <x:row r="392">
      <x:c r="A392" s="64" t="str">
        <x:v>AUD-0391</x:v>
      </x:c>
      <x:c r="B392" s="64" t="n">
        <x:v>392</x:v>
      </x:c>
      <x:c r="C392" s="64" t="str">
        <x:v>PO-2025-0391</x:v>
      </x:c>
      <x:c r="D392" s="64" t="str">
        <x:v>PO-2025-0391</x:v>
      </x:c>
      <x:c r="E392" s="64" t="str">
        <x:v>B392</x:v>
      </x:c>
      <x:c r="F392" s="64" t="str">
        <x:v>PO_Date</x:v>
      </x:c>
      <x:c r="G392" s="64" t="str">
        <x:v>28/11/2025</x:v>
      </x:c>
      <x:c r="H392" s="64" t="str">
        <x:v>2025-11-28</x:v>
      </x:c>
      <x:c r="I392" s="64" t="str">
        <x:v>standardization</x:v>
      </x:c>
      <x:c r="J392" s="64" t="str">
        <x:v>Converted the source text date to a true spreadsheet date and standardized its display without changing the calendar date.</x:v>
      </x:c>
      <x:c r="K392" s="64" t="str">
        <x:v>PASS — parsed source date equals cleaned date</x:v>
      </x:c>
      <x:c r="L392" s="64" t="str">
        <x:v>High</x:v>
      </x:c>
      <x:c r="M392" s="64" t="str">
        <x:v>Instructor Approved</x:v>
      </x:c>
    </x:row>
    <x:row r="393">
      <x:c r="A393" s="64" t="str">
        <x:v>AUD-0392</x:v>
      </x:c>
      <x:c r="B393" s="64" t="n">
        <x:v>393</x:v>
      </x:c>
      <x:c r="C393" s="64" t="str">
        <x:v>PO-2025-0392</x:v>
      </x:c>
      <x:c r="D393" s="64" t="str">
        <x:v>PO-2025-0392</x:v>
      </x:c>
      <x:c r="E393" s="64" t="str">
        <x:v>B393</x:v>
      </x:c>
      <x:c r="F393" s="64" t="str">
        <x:v>PO_Date</x:v>
      </x:c>
      <x:c r="G393" s="64" t="str">
        <x:v>06/11/2025</x:v>
      </x:c>
      <x:c r="H393" s="64" t="str">
        <x:v>2025-11-06</x:v>
      </x:c>
      <x:c r="I393" s="64" t="str">
        <x:v>standardization</x:v>
      </x:c>
      <x:c r="J393" s="64" t="str">
        <x:v>Converted the source text date to a true spreadsheet date and standardized its display without changing the calendar date.</x:v>
      </x:c>
      <x:c r="K393" s="64" t="str">
        <x:v>PASS — parsed source date equals cleaned date</x:v>
      </x:c>
      <x:c r="L393" s="64" t="str">
        <x:v>High</x:v>
      </x:c>
      <x:c r="M393" s="64" t="str">
        <x:v>Instructor Approved</x:v>
      </x:c>
    </x:row>
    <x:row r="394">
      <x:c r="A394" s="64" t="str">
        <x:v>AUD-0393</x:v>
      </x:c>
      <x:c r="B394" s="64" t="n">
        <x:v>394</x:v>
      </x:c>
      <x:c r="C394" s="64" t="str">
        <x:v>PO-2025-0393</x:v>
      </x:c>
      <x:c r="D394" s="64" t="str">
        <x:v>PO-2025-0393</x:v>
      </x:c>
      <x:c r="E394" s="64" t="str">
        <x:v>B394</x:v>
      </x:c>
      <x:c r="F394" s="64" t="str">
        <x:v>PO_Date</x:v>
      </x:c>
      <x:c r="G394" s="64" t="str">
        <x:v>27/10/2025</x:v>
      </x:c>
      <x:c r="H394" s="64" t="str">
        <x:v>2025-10-27</x:v>
      </x:c>
      <x:c r="I394" s="64" t="str">
        <x:v>standardization</x:v>
      </x:c>
      <x:c r="J394" s="64" t="str">
        <x:v>Converted the source text date to a true spreadsheet date and standardized its display without changing the calendar date.</x:v>
      </x:c>
      <x:c r="K394" s="64" t="str">
        <x:v>PASS — parsed source date equals cleaned date</x:v>
      </x:c>
      <x:c r="L394" s="64" t="str">
        <x:v>High</x:v>
      </x:c>
      <x:c r="M394" s="64" t="str">
        <x:v>Instructor Approved</x:v>
      </x:c>
    </x:row>
    <x:row r="395">
      <x:c r="A395" s="64" t="str">
        <x:v>AUD-0394</x:v>
      </x:c>
      <x:c r="B395" s="64" t="n">
        <x:v>395</x:v>
      </x:c>
      <x:c r="C395" s="64" t="str">
        <x:v>PO-2025-0394</x:v>
      </x:c>
      <x:c r="D395" s="64" t="str">
        <x:v>PO-2025-0394</x:v>
      </x:c>
      <x:c r="E395" s="64" t="str">
        <x:v>B395</x:v>
      </x:c>
      <x:c r="F395" s="64" t="str">
        <x:v>PO_Date</x:v>
      </x:c>
      <x:c r="G395" s="64" t="str">
        <x:v>13/06/2025</x:v>
      </x:c>
      <x:c r="H395" s="64" t="str">
        <x:v>2025-06-13</x:v>
      </x:c>
      <x:c r="I395" s="64" t="str">
        <x:v>standardization</x:v>
      </x:c>
      <x:c r="J395" s="64" t="str">
        <x:v>Converted the source text date to a true spreadsheet date and standardized its display without changing the calendar date.</x:v>
      </x:c>
      <x:c r="K395" s="64" t="str">
        <x:v>PASS — parsed source date equals cleaned date</x:v>
      </x:c>
      <x:c r="L395" s="64" t="str">
        <x:v>High</x:v>
      </x:c>
      <x:c r="M395" s="64" t="str">
        <x:v>Instructor Approved</x:v>
      </x:c>
    </x:row>
    <x:row r="396">
      <x:c r="A396" s="64" t="str">
        <x:v>AUD-0395</x:v>
      </x:c>
      <x:c r="B396" s="64" t="n">
        <x:v>396</x:v>
      </x:c>
      <x:c r="C396" s="64" t="str">
        <x:v>PO-2025-0395</x:v>
      </x:c>
      <x:c r="D396" s="64" t="str">
        <x:v>PO-2025-0395</x:v>
      </x:c>
      <x:c r="E396" s="64" t="str">
        <x:v>B396</x:v>
      </x:c>
      <x:c r="F396" s="64" t="str">
        <x:v>PO_Date</x:v>
      </x:c>
      <x:c r="G396" s="64" t="str">
        <x:v>30/09/2025</x:v>
      </x:c>
      <x:c r="H396" s="64" t="str">
        <x:v>2025-09-30</x:v>
      </x:c>
      <x:c r="I396" s="64" t="str">
        <x:v>standardization</x:v>
      </x:c>
      <x:c r="J396" s="64" t="str">
        <x:v>Converted the source text date to a true spreadsheet date and standardized its display without changing the calendar date.</x:v>
      </x:c>
      <x:c r="K396" s="64" t="str">
        <x:v>PASS — parsed source date equals cleaned date</x:v>
      </x:c>
      <x:c r="L396" s="64" t="str">
        <x:v>High</x:v>
      </x:c>
      <x:c r="M396" s="64" t="str">
        <x:v>Instructor Approved</x:v>
      </x:c>
    </x:row>
    <x:row r="397">
      <x:c r="A397" s="64" t="str">
        <x:v>AUD-0396</x:v>
      </x:c>
      <x:c r="B397" s="64" t="n">
        <x:v>397</x:v>
      </x:c>
      <x:c r="C397" s="64" t="str">
        <x:v>PO-2025-0396</x:v>
      </x:c>
      <x:c r="D397" s="64" t="str">
        <x:v>PO-2025-0396</x:v>
      </x:c>
      <x:c r="E397" s="64" t="str">
        <x:v>B397</x:v>
      </x:c>
      <x:c r="F397" s="64" t="str">
        <x:v>PO_Date</x:v>
      </x:c>
      <x:c r="G397" s="64" t="str">
        <x:v>14/07/2025</x:v>
      </x:c>
      <x:c r="H397" s="64" t="str">
        <x:v>2025-07-14</x:v>
      </x:c>
      <x:c r="I397" s="64" t="str">
        <x:v>standardization</x:v>
      </x:c>
      <x:c r="J397" s="64" t="str">
        <x:v>Converted the source text date to a true spreadsheet date and standardized its display without changing the calendar date.</x:v>
      </x:c>
      <x:c r="K397" s="64" t="str">
        <x:v>PASS — parsed source date equals cleaned date</x:v>
      </x:c>
      <x:c r="L397" s="64" t="str">
        <x:v>High</x:v>
      </x:c>
      <x:c r="M397" s="64" t="str">
        <x:v>Instructor Approved</x:v>
      </x:c>
    </x:row>
    <x:row r="398">
      <x:c r="A398" s="64" t="str">
        <x:v>AUD-0397</x:v>
      </x:c>
      <x:c r="B398" s="64" t="n">
        <x:v>398</x:v>
      </x:c>
      <x:c r="C398" s="64" t="str">
        <x:v>PO-2025-0397</x:v>
      </x:c>
      <x:c r="D398" s="64" t="str">
        <x:v>PO-2025-0397</x:v>
      </x:c>
      <x:c r="E398" s="64" t="str">
        <x:v>B398</x:v>
      </x:c>
      <x:c r="F398" s="64" t="str">
        <x:v>PO_Date</x:v>
      </x:c>
      <x:c r="G398" s="64" t="str">
        <x:v>10/02/2025</x:v>
      </x:c>
      <x:c r="H398" s="64" t="str">
        <x:v>2025-02-10</x:v>
      </x:c>
      <x:c r="I398" s="64" t="str">
        <x:v>standardization</x:v>
      </x:c>
      <x:c r="J398" s="64" t="str">
        <x:v>Converted the source text date to a true spreadsheet date and standardized its display without changing the calendar date.</x:v>
      </x:c>
      <x:c r="K398" s="64" t="str">
        <x:v>PASS — parsed source date equals cleaned date</x:v>
      </x:c>
      <x:c r="L398" s="64" t="str">
        <x:v>High</x:v>
      </x:c>
      <x:c r="M398" s="64" t="str">
        <x:v>Instructor Approved</x:v>
      </x:c>
    </x:row>
    <x:row r="399">
      <x:c r="A399" s="64" t="str">
        <x:v>AUD-0398</x:v>
      </x:c>
      <x:c r="B399" s="64" t="n">
        <x:v>399</x:v>
      </x:c>
      <x:c r="C399" s="64" t="str">
        <x:v>PO-2025-0398</x:v>
      </x:c>
      <x:c r="D399" s="64" t="str">
        <x:v>PO-2025-0398</x:v>
      </x:c>
      <x:c r="E399" s="64" t="str">
        <x:v>B399</x:v>
      </x:c>
      <x:c r="F399" s="64" t="str">
        <x:v>PO_Date</x:v>
      </x:c>
      <x:c r="G399" s="64" t="str">
        <x:v>29/03/2025</x:v>
      </x:c>
      <x:c r="H399" s="64" t="str">
        <x:v>2025-03-29</x:v>
      </x:c>
      <x:c r="I399" s="64" t="str">
        <x:v>standardization</x:v>
      </x:c>
      <x:c r="J399" s="64" t="str">
        <x:v>Converted the source text date to a true spreadsheet date and standardized its display without changing the calendar date.</x:v>
      </x:c>
      <x:c r="K399" s="64" t="str">
        <x:v>PASS — parsed source date equals cleaned date</x:v>
      </x:c>
      <x:c r="L399" s="64" t="str">
        <x:v>High</x:v>
      </x:c>
      <x:c r="M399" s="64" t="str">
        <x:v>Instructor Approved</x:v>
      </x:c>
    </x:row>
    <x:row r="400">
      <x:c r="A400" s="64" t="str">
        <x:v>AUD-0399</x:v>
      </x:c>
      <x:c r="B400" s="64" t="n">
        <x:v>400</x:v>
      </x:c>
      <x:c r="C400" s="64" t="str">
        <x:v>PO-2025-0399</x:v>
      </x:c>
      <x:c r="D400" s="64" t="str">
        <x:v>PO-2025-0399</x:v>
      </x:c>
      <x:c r="E400" s="64" t="str">
        <x:v>B400</x:v>
      </x:c>
      <x:c r="F400" s="64" t="str">
        <x:v>PO_Date</x:v>
      </x:c>
      <x:c r="G400" s="64" t="str">
        <x:v>31/08/2025</x:v>
      </x:c>
      <x:c r="H400" s="64" t="str">
        <x:v>2025-08-31</x:v>
      </x:c>
      <x:c r="I400" s="64" t="str">
        <x:v>standardization</x:v>
      </x:c>
      <x:c r="J400" s="64" t="str">
        <x:v>Converted the source text date to a true spreadsheet date and standardized its display without changing the calendar date.</x:v>
      </x:c>
      <x:c r="K400" s="64" t="str">
        <x:v>PASS — parsed source date equals cleaned date</x:v>
      </x:c>
      <x:c r="L400" s="64" t="str">
        <x:v>High</x:v>
      </x:c>
      <x:c r="M400" s="64" t="str">
        <x:v>Instructor Approved</x:v>
      </x:c>
    </x:row>
    <x:row r="401">
      <x:c r="A401" s="64" t="str">
        <x:v>AUD-0400</x:v>
      </x:c>
      <x:c r="B401" s="64" t="n">
        <x:v>401</x:v>
      </x:c>
      <x:c r="C401" s="64" t="str">
        <x:v>PO-2025-0400</x:v>
      </x:c>
      <x:c r="D401" s="64" t="str">
        <x:v>PO-2025-0400</x:v>
      </x:c>
      <x:c r="E401" s="64" t="str">
        <x:v>B401</x:v>
      </x:c>
      <x:c r="F401" s="64" t="str">
        <x:v>PO_Date</x:v>
      </x:c>
      <x:c r="G401" s="64" t="str">
        <x:v>08/02/2025</x:v>
      </x:c>
      <x:c r="H401" s="64" t="str">
        <x:v>2025-02-08</x:v>
      </x:c>
      <x:c r="I401" s="64" t="str">
        <x:v>standardization</x:v>
      </x:c>
      <x:c r="J401" s="64" t="str">
        <x:v>Converted the source text date to a true spreadsheet date and standardized its display without changing the calendar date.</x:v>
      </x:c>
      <x:c r="K401" s="64" t="str">
        <x:v>PASS — parsed source date equals cleaned date</x:v>
      </x:c>
      <x:c r="L401" s="64" t="str">
        <x:v>High</x:v>
      </x:c>
      <x:c r="M401" s="64" t="str">
        <x:v>Instructor Approved</x:v>
      </x:c>
    </x:row>
    <x:row r="402">
      <x:c r="A402" s="64" t="str">
        <x:v>AUD-0401</x:v>
      </x:c>
      <x:c r="B402" s="64" t="n">
        <x:v>17</x:v>
      </x:c>
      <x:c r="C402" s="64" t="str">
        <x:v>PO-2025-0016</x:v>
      </x:c>
      <x:c r="D402" s="64" t="str">
        <x:v>PO-2025-0016</x:v>
      </x:c>
      <x:c r="E402" s="64" t="str">
        <x:v>M17</x:v>
      </x:c>
      <x:c r="F402" s="64" t="str">
        <x:v>Unit_Rate_CAD</x:v>
      </x:c>
      <x:c r="G402" s="64" t="str">
        <x:v>[blank]</x:v>
      </x:c>
      <x:c r="H402" s="64" t="str">
        <x:v>216.83</x:v>
      </x:c>
      <x:c r="I402" s="64" t="str">
        <x:v>derived value</x:v>
      </x:c>
      <x:c r="J402" s="64" t="str">
        <x:v>Derived Unit_Rate_CAD = PO_Value_CAD ÷ Quantity.</x:v>
      </x:c>
      <x:c r="K402" s="64" t="str">
        <x:v>PASS — derived unit rate reproduces PO Value</x:v>
      </x:c>
      <x:c r="L402" s="64" t="str">
        <x:v>High</x:v>
      </x:c>
      <x:c r="M402" s="64" t="str">
        <x:v>Instructor Approved</x:v>
      </x:c>
    </x:row>
    <x:row r="403">
      <x:c r="A403" s="64" t="str">
        <x:v>AUD-0402</x:v>
      </x:c>
      <x:c r="B403" s="64" t="n">
        <x:v>31</x:v>
      </x:c>
      <x:c r="C403" s="64" t="str">
        <x:v>PO-2025-0005</x:v>
      </x:c>
      <x:c r="D403" s="64" t="str">
        <x:v>PO-2025-0030</x:v>
      </x:c>
      <x:c r="E403" s="64" t="str">
        <x:v>A31</x:v>
      </x:c>
      <x:c r="F403" s="64" t="str">
        <x:v>PO_Number</x:v>
      </x:c>
      <x:c r="G403" s="64" t="str">
        <x:v>PO-2025-0005</x:v>
      </x:c>
      <x:c r="H403" s="64" t="str">
        <x:v>PO-2025-0030</x:v>
      </x:c>
      <x:c r="I403" s="64" t="str">
        <x:v>deterministic correction</x:v>
      </x:c>
      <x:c r="J403" s="64" t="str">
        <x:v>Replaced duplicate PO-2025-0005 with PO-2025-0030 following the instructor-approved sequence correction.</x:v>
      </x:c>
      <x:c r="K403" s="64" t="str">
        <x:v>PASS — approved identifier applied and PO_Number is unique</x:v>
      </x:c>
      <x:c r="L403" s="64" t="str">
        <x:v>High</x:v>
      </x:c>
      <x:c r="M403" s="64" t="str">
        <x:v>Instructor Approved</x:v>
      </x:c>
    </x:row>
    <x:row r="404">
      <x:c r="A404" s="64" t="str">
        <x:v>AUD-0403</x:v>
      </x:c>
      <x:c r="B404" s="64" t="n">
        <x:v>46</x:v>
      </x:c>
      <x:c r="C404" s="64" t="str">
        <x:v>PO-2025-0045</x:v>
      </x:c>
      <x:c r="D404" s="64" t="str">
        <x:v>PO-2025-0045</x:v>
      </x:c>
      <x:c r="E404" s="64" t="str">
        <x:v>M46</x:v>
      </x:c>
      <x:c r="F404" s="64" t="str">
        <x:v>Unit_Rate_CAD</x:v>
      </x:c>
      <x:c r="G404" s="64" t="str">
        <x:v>99999</x:v>
      </x:c>
      <x:c r="H404" s="64" t="str">
        <x:v>468.53</x:v>
      </x:c>
      <x:c r="I404" s="64" t="str">
        <x:v>derived value</x:v>
      </x:c>
      <x:c r="J404" s="64" t="str">
        <x:v>Reconstructed Unit_Rate_CAD from the corrected PO Value using Unit_Rate_CAD = PO_Value_CAD ÷ Quantity.</x:v>
      </x:c>
      <x:c r="K404" s="64" t="str">
        <x:v>PASS — corrected unit rate reproduces corrected PO Value</x:v>
      </x:c>
      <x:c r="L404" s="64" t="str">
        <x:v>High</x:v>
      </x:c>
      <x:c r="M404" s="64" t="str">
        <x:v>Instructor Approved</x:v>
      </x:c>
    </x:row>
    <x:row r="405">
      <x:c r="A405" s="64" t="str">
        <x:v>AUD-0404</x:v>
      </x:c>
      <x:c r="B405" s="64" t="n">
        <x:v>46</x:v>
      </x:c>
      <x:c r="C405" s="64" t="str">
        <x:v>PO-2025-0045</x:v>
      </x:c>
      <x:c r="D405" s="64" t="str">
        <x:v>PO-2025-0045</x:v>
      </x:c>
      <x:c r="E405" s="64" t="str">
        <x:v>O46</x:v>
      </x:c>
      <x:c r="F405" s="64" t="str">
        <x:v>PO_Value_CAD</x:v>
      </x:c>
      <x:c r="G405" s="64" t="str">
        <x:v>6599934</x:v>
      </x:c>
      <x:c r="H405" s="64" t="str">
        <x:v>30922.98</x:v>
      </x:c>
      <x:c r="I405" s="64" t="str">
        <x:v>derived value</x:v>
      </x:c>
      <x:c r="J405" s="64" t="str">
        <x:v>Reconstructed PO_Value_CAD from the instructor-approved authoritative fields: Budget_Value_CAD + Cost_Variance_CAD.</x:v>
      </x:c>
      <x:c r="K405" s="64" t="str">
        <x:v>PASS — PO Value equals Budget Value + Cost Variance</x:v>
      </x:c>
      <x:c r="L405" s="64" t="str">
        <x:v>High</x:v>
      </x:c>
      <x:c r="M405" s="64" t="str">
        <x:v>Instructor Approved</x:v>
      </x:c>
    </x:row>
    <x:row r="406">
      <x:c r="A406" s="64" t="str">
        <x:v>AUD-0405</x:v>
      </x:c>
      <x:c r="B406" s="64" t="n">
        <x:v>79</x:v>
      </x:c>
      <x:c r="C406" s="64" t="str">
        <x:v>PO-2025-0078</x:v>
      </x:c>
      <x:c r="D406" s="64" t="str">
        <x:v>PO-2025-0078</x:v>
      </x:c>
      <x:c r="E406" s="64" t="str">
        <x:v>S79</x:v>
      </x:c>
      <x:c r="F406" s="64" t="str">
        <x:v>Lead_Time_Days</x:v>
      </x:c>
      <x:c r="G406" s="64" t="str">
        <x:v>[blank]</x:v>
      </x:c>
      <x:c r="H406" s="64" t="str">
        <x:v>45</x:v>
      </x:c>
      <x:c r="I406" s="64" t="str">
        <x:v>imputation</x:v>
      </x:c>
      <x:c r="J406" s="64" t="str">
        <x:v>Replaced the missing Civil Works lead time with the instructor-approved category median of 45 days.</x:v>
      </x:c>
      <x:c r="K406" s="64" t="str">
        <x:v>PASS — cleaned value is the Civil Works median of 45 days</x:v>
      </x:c>
      <x:c r="L406" s="64" t="str">
        <x:v>High</x:v>
      </x:c>
      <x:c r="M406" s="64" t="str">
        <x:v>Instructor Approved</x:v>
      </x:c>
    </x:row>
    <x:row r="407">
      <x:c r="A407" s="64" t="str">
        <x:v>AUD-0406</x:v>
      </x:c>
      <x:c r="B407" s="64" t="n">
        <x:v>91</x:v>
      </x:c>
      <x:c r="C407" s="64" t="str">
        <x:v>PO-2025-0090</x:v>
      </x:c>
      <x:c r="D407" s="64" t="str">
        <x:v>PO-2025-0090</x:v>
      </x:c>
      <x:c r="E407" s="64" t="str">
        <x:v>C91</x:v>
      </x:c>
      <x:c r="F407" s="64" t="str">
        <x:v>Month</x:v>
      </x:c>
      <x:c r="G407" s="64" t="str">
        <x:v>October</x:v>
      </x:c>
      <x:c r="H407" s="64" t="str">
        <x:v>March</x:v>
      </x:c>
      <x:c r="I407" s="64" t="str">
        <x:v>deterministic correction</x:v>
      </x:c>
      <x:c r="J407" s="64" t="str">
        <x:v>Regenerated Month from the standardized PO_Date.</x:v>
      </x:c>
      <x:c r="K407" s="64" t="str">
        <x:v>PASS — cleaned Month equals PO_Date month</x:v>
      </x:c>
      <x:c r="L407" s="64" t="str">
        <x:v>High</x:v>
      </x:c>
      <x:c r="M407" s="64" t="str">
        <x:v>Instructor Approved</x:v>
      </x:c>
    </x:row>
    <x:row r="408">
      <x:c r="A408" s="64" t="str">
        <x:v>AUD-0407</x:v>
      </x:c>
      <x:c r="B408" s="64" t="n">
        <x:v>121</x:v>
      </x:c>
      <x:c r="C408" s="64" t="str">
        <x:v>PO-2025-0060</x:v>
      </x:c>
      <x:c r="D408" s="64" t="str">
        <x:v>PO-2025-0120</x:v>
      </x:c>
      <x:c r="E408" s="64" t="str">
        <x:v>A121</x:v>
      </x:c>
      <x:c r="F408" s="64" t="str">
        <x:v>PO_Number</x:v>
      </x:c>
      <x:c r="G408" s="64" t="str">
        <x:v>PO-2025-0060</x:v>
      </x:c>
      <x:c r="H408" s="64" t="str">
        <x:v>PO-2025-0120</x:v>
      </x:c>
      <x:c r="I408" s="64" t="str">
        <x:v>deterministic correction</x:v>
      </x:c>
      <x:c r="J408" s="64" t="str">
        <x:v>Replaced duplicate PO-2025-0060 with PO-2025-0120 following the instructor-approved sequence correction.</x:v>
      </x:c>
      <x:c r="K408" s="64" t="str">
        <x:v>PASS — approved identifier applied and PO_Number is unique</x:v>
      </x:c>
      <x:c r="L408" s="64" t="str">
        <x:v>High</x:v>
      </x:c>
      <x:c r="M408" s="64" t="str">
        <x:v>Instructor Approved</x:v>
      </x:c>
    </x:row>
    <x:row r="409">
      <x:c r="A409" s="64" t="str">
        <x:v>AUD-0408</x:v>
      </x:c>
      <x:c r="B409" s="64" t="n">
        <x:v>201</x:v>
      </x:c>
      <x:c r="C409" s="64" t="str">
        <x:v>PO-2025-0200</x:v>
      </x:c>
      <x:c r="D409" s="64" t="str">
        <x:v>PO-2025-0200</x:v>
      </x:c>
      <x:c r="E409" s="64" t="str">
        <x:v>C201</x:v>
      </x:c>
      <x:c r="F409" s="64" t="str">
        <x:v>Month</x:v>
      </x:c>
      <x:c r="G409" s="64" t="str">
        <x:v>May</x:v>
      </x:c>
      <x:c r="H409" s="64" t="str">
        <x:v>July</x:v>
      </x:c>
      <x:c r="I409" s="64" t="str">
        <x:v>deterministic correction</x:v>
      </x:c>
      <x:c r="J409" s="64" t="str">
        <x:v>Regenerated Month from the standardized PO_Date.</x:v>
      </x:c>
      <x:c r="K409" s="64" t="str">
        <x:v>PASS — cleaned Month equals PO_Date month</x:v>
      </x:c>
      <x:c r="L409" s="64" t="str">
        <x:v>High</x:v>
      </x:c>
      <x:c r="M409" s="64" t="str">
        <x:v>Instructor Approved</x:v>
      </x:c>
    </x:row>
    <x:row r="410">
      <x:c r="A410" s="64" t="str">
        <x:v>AUD-0409</x:v>
      </x:c>
      <x:c r="B410" s="64" t="n">
        <x:v>202</x:v>
      </x:c>
      <x:c r="C410" s="64" t="str">
        <x:v>PO-2025-0201</x:v>
      </x:c>
      <x:c r="D410" s="64" t="str">
        <x:v>PO-2025-0201</x:v>
      </x:c>
      <x:c r="E410" s="64" t="str">
        <x:v>M202</x:v>
      </x:c>
      <x:c r="F410" s="64" t="str">
        <x:v>Unit_Rate_CAD</x:v>
      </x:c>
      <x:c r="G410" s="64" t="str">
        <x:v>[blank]</x:v>
      </x:c>
      <x:c r="H410" s="64" t="str">
        <x:v>47171.89</x:v>
      </x:c>
      <x:c r="I410" s="64" t="str">
        <x:v>derived value</x:v>
      </x:c>
      <x:c r="J410" s="64" t="str">
        <x:v>Derived Unit_Rate_CAD = PO_Value_CAD ÷ Quantity.</x:v>
      </x:c>
      <x:c r="K410" s="64" t="str">
        <x:v>PASS — derived unit rate reproduces PO Value</x:v>
      </x:c>
      <x:c r="L410" s="64" t="str">
        <x:v>High</x:v>
      </x:c>
      <x:c r="M410" s="64" t="str">
        <x:v>Instructor Approved</x:v>
      </x:c>
    </x:row>
    <x:row r="411">
      <x:c r="A411" s="64" t="str">
        <x:v>AUD-0410</x:v>
      </x:c>
      <x:c r="B411" s="64" t="n">
        <x:v>224</x:v>
      </x:c>
      <x:c r="C411" s="64" t="str">
        <x:v>PO-2025-0223</x:v>
      </x:c>
      <x:c r="D411" s="64" t="str">
        <x:v>PO-2025-0223</x:v>
      </x:c>
      <x:c r="E411" s="64" t="str">
        <x:v>M224</x:v>
      </x:c>
      <x:c r="F411" s="64" t="str">
        <x:v>Unit_Rate_CAD</x:v>
      </x:c>
      <x:c r="G411" s="64" t="str">
        <x:v>85000</x:v>
      </x:c>
      <x:c r="H411" s="64" t="str">
        <x:v>296.14</x:v>
      </x:c>
      <x:c r="I411" s="64" t="str">
        <x:v>derived value</x:v>
      </x:c>
      <x:c r="J411" s="64" t="str">
        <x:v>Reconstructed Unit_Rate_CAD from the corrected PO Value using Unit_Rate_CAD = PO_Value_CAD ÷ Quantity.</x:v>
      </x:c>
      <x:c r="K411" s="64" t="str">
        <x:v>PASS — corrected unit rate reproduces corrected PO Value</x:v>
      </x:c>
      <x:c r="L411" s="64" t="str">
        <x:v>High</x:v>
      </x:c>
      <x:c r="M411" s="64" t="str">
        <x:v>Instructor Approved</x:v>
      </x:c>
    </x:row>
    <x:row r="412">
      <x:c r="A412" s="64" t="str">
        <x:v>AUD-0411</x:v>
      </x:c>
      <x:c r="B412" s="64" t="n">
        <x:v>224</x:v>
      </x:c>
      <x:c r="C412" s="64" t="str">
        <x:v>PO-2025-0223</x:v>
      </x:c>
      <x:c r="D412" s="64" t="str">
        <x:v>PO-2025-0223</x:v>
      </x:c>
      <x:c r="E412" s="64" t="str">
        <x:v>O224</x:v>
      </x:c>
      <x:c r="F412" s="64" t="str">
        <x:v>PO_Value_CAD</x:v>
      </x:c>
      <x:c r="G412" s="64" t="str">
        <x:v>7820000</x:v>
      </x:c>
      <x:c r="H412" s="64" t="str">
        <x:v>27244.88</x:v>
      </x:c>
      <x:c r="I412" s="64" t="str">
        <x:v>derived value</x:v>
      </x:c>
      <x:c r="J412" s="64" t="str">
        <x:v>Reconstructed PO_Value_CAD from the instructor-approved authoritative fields: Budget_Value_CAD + Cost_Variance_CAD.</x:v>
      </x:c>
      <x:c r="K412" s="64" t="str">
        <x:v>PASS — PO Value equals Budget Value + Cost Variance</x:v>
      </x:c>
      <x:c r="L412" s="64" t="str">
        <x:v>High</x:v>
      </x:c>
      <x:c r="M412" s="64" t="str">
        <x:v>Instructor Approved</x:v>
      </x:c>
    </x:row>
    <x:row r="413">
      <x:c r="A413" s="65" t="str">
        <x:v>AUD-0412</x:v>
      </x:c>
      <x:c r="B413" s="65" t="n">
        <x:v>303</x:v>
      </x:c>
      <x:c r="C413" s="65" t="str">
        <x:v>PO-2025-0302</x:v>
      </x:c>
      <x:c r="D413" s="65" t="str">
        <x:v>PO-2025-0302</x:v>
      </x:c>
      <x:c r="E413" s="65" t="str">
        <x:v>S303</x:v>
      </x:c>
      <x:c r="F413" s="65" t="str">
        <x:v>Lead_Time_Days</x:v>
      </x:c>
      <x:c r="G413" s="65" t="str">
        <x:v>[blank]</x:v>
      </x:c>
      <x:c r="H413" s="65" t="str">
        <x:v>45</x:v>
      </x:c>
      <x:c r="I413" s="65" t="str">
        <x:v>imputation</x:v>
      </x:c>
      <x:c r="J413" s="65" t="str">
        <x:v>Replaced the missing Civil Works lead time with the instructor-approved category median of 45 days.</x:v>
      </x:c>
      <x:c r="K413" s="65" t="str">
        <x:v>PASS — cleaned value is the Civil Works median of 45 days</x:v>
      </x:c>
      <x:c r="L413" s="65" t="str">
        <x:v>High</x:v>
      </x:c>
      <x:c r="M413" s="65" t="str">
        <x:v>Instructor Approved</x:v>
      </x:c>
    </x:row>
  </x:sheetData>
  <x:conditionalFormatting sqref="K2:M413">
    <x:cfRule type="containsText" dxfId="2" priority="1" operator="containsText" text="PASS"/>
    <x:cfRule type="containsText" dxfId="3" priority="2" operator="containsText" text="MATCH"/>
    <x:cfRule type="containsText" dxfId="4" priority="3" operator="containsText" text="FAIL"/>
    <x:cfRule type="containsText" dxfId="5" priority="4" operator="containsText" text="MISMATCH"/>
  </x:conditionalFormatting>
  <x:pageMargins left="0.7" right="0.7" top="0.75" bottom="0.75" header="0.3" footer="0.3"/>
  <x:tableParts count="1">
    <x:tablePart xmlns:r="http://schemas.openxmlformats.org/officeDocument/2006/relationships" r:id="R4b6f9c104dd54b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24" hidden="0" customWidth="1"/>
    <x:col min="4" max="4" width="38" hidden="0" customWidth="1"/>
    <x:col min="5" max="5" width="40" hidden="0" customWidth="1"/>
    <x:col min="6" max="6" width="30" hidden="0" customWidth="1"/>
    <x:col min="7" max="7" width="24" hidden="0" customWidth="1"/>
    <x:col min="8" max="8" width="22" hidden="0" customWidth="1"/>
    <x:col min="9" max="9" width="20" hidden="0" customWidth="1"/>
    <x:col min="10" max="10" width="12" hidden="0" customWidth="1"/>
  </x:cols>
  <x:sheetData>
    <x:row r="1" ht="30" customHeight="1">
      <x:c r="A1" s="68" t="str">
        <x:v>ConstructEdge Procurement — Final Validation Summary</x:v>
      </x:c>
      <x:c r="B1" s="68" t="str">
        <x:v>ConstructEdge Procurement — Final Validation Summary</x:v>
      </x:c>
      <x:c r="C1" s="68" t="str">
        <x:v>ConstructEdge Procurement — Final Validation Summary</x:v>
      </x:c>
      <x:c r="D1" s="68" t="str">
        <x:v>ConstructEdge Procurement — Final Validation Summary</x:v>
      </x:c>
      <x:c r="E1" s="68" t="str">
        <x:v>ConstructEdge Procurement — Final Validation Summary</x:v>
      </x:c>
      <x:c r="F1" s="68" t="str">
        <x:v>ConstructEdge Procurement — Final Validation Summary</x:v>
      </x:c>
      <x:c r="G1" s="68" t="str">
        <x:v>ConstructEdge Procurement — Final Validation Summary</x:v>
      </x:c>
      <x:c r="H1" s="68" t="str">
        <x:v>ConstructEdge Procurement — Final Validation Summary</x:v>
      </x:c>
      <x:c r="I1" s="68" t="str">
        <x:v>ConstructEdge Procurement — Final Validation Summary</x:v>
      </x:c>
      <x:c r="J1" s="68" t="str">
        <x:v>ConstructEdge Procurement — Final Validation Summary</x:v>
      </x:c>
    </x:row>
    <x:row r="2" ht="30" customHeight="1">
      <x:c r="A2" s="68" t="str">
        <x:v>ConstructEdge Procurement — Final Validation Summary</x:v>
      </x:c>
      <x:c r="B2" s="68" t="str">
        <x:v>ConstructEdge Procurement — Final Validation Summary</x:v>
      </x:c>
      <x:c r="C2" s="68" t="str">
        <x:v>ConstructEdge Procurement — Final Validation Summary</x:v>
      </x:c>
      <x:c r="D2" s="68" t="str">
        <x:v>ConstructEdge Procurement — Final Validation Summary</x:v>
      </x:c>
      <x:c r="E2" s="68" t="str">
        <x:v>ConstructEdge Procurement — Final Validation Summary</x:v>
      </x:c>
      <x:c r="F2" s="68" t="str">
        <x:v>ConstructEdge Procurement — Final Validation Summary</x:v>
      </x:c>
      <x:c r="G2" s="68" t="str">
        <x:v>ConstructEdge Procurement — Final Validation Summary</x:v>
      </x:c>
      <x:c r="H2" s="68" t="str">
        <x:v>ConstructEdge Procurement — Final Validation Summary</x:v>
      </x:c>
      <x:c r="I2" s="68" t="str">
        <x:v>ConstructEdge Procurement — Final Validation Summary</x:v>
      </x:c>
      <x:c r="J2" s="68" t="str">
        <x:v>ConstructEdge Procurement — Final Validation Summary</x:v>
      </x:c>
    </x:row>
    <x:row r="3">
      <x:c r="A3" s="89" t="str">
        <x:v>FULLY ANALYSIS-READY — ALL INSTRUCTOR-APPROVED CLEANING RULES APPLIED</x:v>
      </x:c>
      <x:c r="B3" s="90" t="str">
        <x:v>FULLY ANALYSIS-READY — ALL INSTRUCTOR-APPROVED CLEANING RULES APPLIED</x:v>
      </x:c>
      <x:c r="C3" s="90" t="str">
        <x:v>FULLY ANALYSIS-READY — ALL INSTRUCTOR-APPROVED CLEANING RULES APPLIED</x:v>
      </x:c>
      <x:c r="D3" s="90" t="str">
        <x:v>FULLY ANALYSIS-READY — ALL INSTRUCTOR-APPROVED CLEANING RULES APPLIED</x:v>
      </x:c>
      <x:c r="E3" s="90" t="str">
        <x:v>FULLY ANALYSIS-READY — ALL INSTRUCTOR-APPROVED CLEANING RULES APPLIED</x:v>
      </x:c>
      <x:c r="F3" s="90" t="str">
        <x:v>FULLY ANALYSIS-READY — ALL INSTRUCTOR-APPROVED CLEANING RULES APPLIED</x:v>
      </x:c>
      <x:c r="G3" s="90" t="str">
        <x:v>FULLY ANALYSIS-READY — ALL INSTRUCTOR-APPROVED CLEANING RULES APPLIED</x:v>
      </x:c>
      <x:c r="H3" s="90" t="str">
        <x:v>FULLY ANALYSIS-READY — ALL INSTRUCTOR-APPROVED CLEANING RULES APPLIED</x:v>
      </x:c>
      <x:c r="I3" s="90" t="str">
        <x:v>FULLY ANALYSIS-READY — ALL INSTRUCTOR-APPROVED CLEANING RULES APPLIED</x:v>
      </x:c>
      <x:c r="J3" s="91" t="str">
        <x:v>FULLY ANALYSIS-READY — ALL INSTRUCTOR-APPROVED CLEANING RULES APPLIED</x:v>
      </x:c>
    </x:row>
    <x:row r="4">
      <x:c r="A4" s="92" t="str">
        <x:v>FULLY ANALYSIS-READY — ALL INSTRUCTOR-APPROVED CLEANING RULES APPLIED</x:v>
      </x:c>
      <x:c r="B4" s="93" t="str">
        <x:v>FULLY ANALYSIS-READY — ALL INSTRUCTOR-APPROVED CLEANING RULES APPLIED</x:v>
      </x:c>
      <x:c r="C4" s="93" t="str">
        <x:v>FULLY ANALYSIS-READY — ALL INSTRUCTOR-APPROVED CLEANING RULES APPLIED</x:v>
      </x:c>
      <x:c r="D4" s="93" t="str">
        <x:v>FULLY ANALYSIS-READY — ALL INSTRUCTOR-APPROVED CLEANING RULES APPLIED</x:v>
      </x:c>
      <x:c r="E4" s="93" t="str">
        <x:v>FULLY ANALYSIS-READY — ALL INSTRUCTOR-APPROVED CLEANING RULES APPLIED</x:v>
      </x:c>
      <x:c r="F4" s="93" t="str">
        <x:v>FULLY ANALYSIS-READY — ALL INSTRUCTOR-APPROVED CLEANING RULES APPLIED</x:v>
      </x:c>
      <x:c r="G4" s="93" t="str">
        <x:v>FULLY ANALYSIS-READY — ALL INSTRUCTOR-APPROVED CLEANING RULES APPLIED</x:v>
      </x:c>
      <x:c r="H4" s="93" t="str">
        <x:v>FULLY ANALYSIS-READY — ALL INSTRUCTOR-APPROVED CLEANING RULES APPLIED</x:v>
      </x:c>
      <x:c r="I4" s="93" t="str">
        <x:v>FULLY ANALYSIS-READY — ALL INSTRUCTOR-APPROVED CLEANING RULES APPLIED</x:v>
      </x:c>
      <x:c r="J4" s="94" t="str">
        <x:v>FULLY ANALYSIS-READY — ALL INSTRUCTOR-APPROVED CLEANING RULES APPLIED</x:v>
      </x:c>
    </x:row>
    <x:row r="6" ht="24" customHeight="1">
      <x:c r="A6" s="97" t="str">
        <x:v>Before-and-After Reconciliation</x:v>
      </x:c>
      <x:c r="B6" s="97" t="str">
        <x:v>Before-and-After Reconciliation</x:v>
      </x:c>
      <x:c r="C6" s="97" t="str">
        <x:v>Before-and-After Reconciliation</x:v>
      </x:c>
      <x:c r="D6" s="97" t="str">
        <x:v>Before-and-After Reconciliation</x:v>
      </x:c>
      <x:c r="E6" s="97" t="str">
        <x:v>Before-and-After Reconciliation</x:v>
      </x:c>
      <x:c r="G6" s="97" t="str">
        <x:v>Live Formula Checks</x:v>
      </x:c>
      <x:c r="H6" s="97" t="str">
        <x:v>Live Formula Checks</x:v>
      </x:c>
      <x:c r="I6" s="97" t="str">
        <x:v>Live Formula Checks</x:v>
      </x:c>
      <x:c r="J6" s="97" t="str">
        <x:v>Live Formula Checks</x:v>
      </x:c>
    </x:row>
    <x:row r="7" ht="30" customHeight="1">
      <x:c r="A7" s="22" t="str">
        <x:v>Metric</x:v>
      </x:c>
      <x:c r="B7" s="22" t="str">
        <x:v>Original</x:v>
      </x:c>
      <x:c r="C7" s="22" t="str">
        <x:v>Official Cleaned</x:v>
      </x:c>
      <x:c r="D7" s="22" t="str">
        <x:v>Result</x:v>
      </x:c>
      <x:c r="E7" s="22" t="str">
        <x:v>Evidence</x:v>
      </x:c>
      <x:c r="G7" s="106" t="str">
        <x:v>Metric</x:v>
      </x:c>
      <x:c r="H7" s="106" t="str">
        <x:v>Formula Result</x:v>
      </x:c>
      <x:c r="I7" s="106" t="str">
        <x:v>Expected</x:v>
      </x:c>
      <x:c r="J7" s="106" t="str">
        <x:v>Status</x:v>
      </x:c>
    </x:row>
    <x:row r="8">
      <x:c r="A8" s="60" t="str">
        <x:v>Rows</x:v>
      </x:c>
      <x:c r="B8" s="98" t="n">
        <x:v>400</x:v>
      </x:c>
      <x:c r="C8" s="98" t="n">
        <x:v>400</x:v>
      </x:c>
      <x:c r="D8" s="60" t="str">
        <x:v>PASS</x:v>
      </x:c>
      <x:c r="E8" s="60" t="str">
        <x:v>Reconciled to the official cleaned dataset.</x:v>
      </x:c>
      <x:c r="G8" s="60" t="str">
        <x:v>Row count</x:v>
      </x:c>
      <x:c r="H8" s="60" t="n">
        <x:f>COUNTA('Cleaned_Data'!A2:A401)</x:f>
        <x:v>400</x:v>
      </x:c>
      <x:c r="I8" s="60" t="n">
        <x:v>400</x:v>
      </x:c>
      <x:c r="J8" s="60" t="str">
        <x:f>IF(ABS(H8-I8)&lt;0.01,"PASS","FAIL")</x:f>
        <x:v>PASS</x:v>
      </x:c>
    </x:row>
    <x:row r="9">
      <x:c r="A9" s="61" t="str">
        <x:v>Unique transactions</x:v>
      </x:c>
      <x:c r="B9" s="99" t="n">
        <x:v>400</x:v>
      </x:c>
      <x:c r="C9" s="99" t="n">
        <x:v>400</x:v>
      </x:c>
      <x:c r="D9" s="61" t="str">
        <x:v>PASS</x:v>
      </x:c>
      <x:c r="E9" s="61" t="str">
        <x:v>Reconciled to the official cleaned dataset.</x:v>
      </x:c>
      <x:c r="G9" s="61" t="str">
        <x:v>Budget total</x:v>
      </x:c>
      <x:c r="H9" s="100" t="n">
        <x:f>SUM('Cleaned_Data'!P2:P401)</x:f>
        <x:v>431518839.82999974</x:v>
      </x:c>
      <x:c r="I9" s="100" t="n">
        <x:v>431518839.83</x:v>
      </x:c>
      <x:c r="J9" s="61" t="str">
        <x:f>IF(ABS(H9-I9)&lt;0.01,"PASS","FAIL")</x:f>
        <x:v>PASS</x:v>
      </x:c>
    </x:row>
    <x:row r="10">
      <x:c r="A10" s="61" t="str">
        <x:v>Unique PO numbers</x:v>
      </x:c>
      <x:c r="B10" s="99" t="n">
        <x:v>398</x:v>
      </x:c>
      <x:c r="C10" s="99" t="n">
        <x:v>400</x:v>
      </x:c>
      <x:c r="D10" s="61" t="str">
        <x:v>PASS</x:v>
      </x:c>
      <x:c r="E10" s="61" t="str">
        <x:v>Approved identifier corrections explain 398 → 400.</x:v>
      </x:c>
      <x:c r="G10" s="61" t="str">
        <x:v>PO total</x:v>
      </x:c>
      <x:c r="H10" s="100" t="n">
        <x:f>SUM('Cleaned_Data'!O2:O401)</x:f>
        <x:v>418104662.97999996</x:v>
      </x:c>
      <x:c r="I10" s="100" t="n">
        <x:v>418104662.98</x:v>
      </x:c>
      <x:c r="J10" s="61" t="str">
        <x:f>IF(ABS(H10-I10)&lt;0.01,"PASS","FAIL")</x:f>
        <x:v>PASS</x:v>
      </x:c>
    </x:row>
    <x:row r="11">
      <x:c r="A11" s="61" t="str">
        <x:v>Projects</x:v>
      </x:c>
      <x:c r="B11" s="99" t="n">
        <x:v>10</x:v>
      </x:c>
      <x:c r="C11" s="99" t="n">
        <x:v>10</x:v>
      </x:c>
      <x:c r="D11" s="61" t="str">
        <x:v>PASS</x:v>
      </x:c>
      <x:c r="E11" s="61" t="str">
        <x:v>Reconciled to the official cleaned dataset.</x:v>
      </x:c>
      <x:c r="G11" s="61" t="str">
        <x:v>Variance total</x:v>
      </x:c>
      <x:c r="H11" s="100" t="n">
        <x:f>SUM('Cleaned_Data'!Q2:Q401)</x:f>
        <x:v>-13414176.85000001</x:v>
      </x:c>
      <x:c r="I11" s="100" t="n">
        <x:v>-13414176.85</x:v>
      </x:c>
      <x:c r="J11" s="61" t="str">
        <x:f>IF(ABS(H11-I11)&lt;0.01,"PASS","FAIL")</x:f>
        <x:v>PASS</x:v>
      </x:c>
    </x:row>
    <x:row r="12">
      <x:c r="A12" s="61" t="str">
        <x:v>Suppliers</x:v>
      </x:c>
      <x:c r="B12" s="99" t="n">
        <x:v>24</x:v>
      </x:c>
      <x:c r="C12" s="99" t="n">
        <x:v>24</x:v>
      </x:c>
      <x:c r="D12" s="61" t="str">
        <x:v>PASS</x:v>
      </x:c>
      <x:c r="E12" s="61" t="str">
        <x:v>Reconciled to the official cleaned dataset.</x:v>
      </x:c>
      <x:c r="G12" s="61" t="str">
        <x:v>Financial identity gap</x:v>
      </x:c>
      <x:c r="H12" s="100" t="n">
        <x:f>SUM('Cleaned_Data'!O2:O401)-SUM('Cleaned_Data'!P2:P401)-SUM('Cleaned_Data'!Q2:Q401)</x:f>
        <x:v>2.253800630569458e-7</x:v>
      </x:c>
      <x:c r="I12" s="100" t="n">
        <x:v>0</x:v>
      </x:c>
      <x:c r="J12" s="61" t="str">
        <x:f>IF(ABS(H12-I12)&lt;0.01,"PASS","FAIL")</x:f>
        <x:v>PASS</x:v>
      </x:c>
    </x:row>
    <x:row r="13">
      <x:c r="A13" s="61" t="str">
        <x:v>Material categories</x:v>
      </x:c>
      <x:c r="B13" s="99" t="n">
        <x:v>6</x:v>
      </x:c>
      <x:c r="C13" s="99" t="n">
        <x:v>6</x:v>
      </x:c>
      <x:c r="D13" s="61" t="str">
        <x:v>PASS</x:v>
      </x:c>
      <x:c r="E13" s="61" t="str">
        <x:v>Reconciled to the official cleaned dataset.</x:v>
      </x:c>
      <x:c r="G13" s="61" t="str">
        <x:v>Delivered orders</x:v>
      </x:c>
      <x:c r="H13" s="61" t="n">
        <x:f>COUNTIF('Cleaned_Data'!U2:U401,"Delivered")</x:f>
        <x:v>204</x:v>
      </x:c>
      <x:c r="I13" s="61" t="n">
        <x:v>204</x:v>
      </x:c>
      <x:c r="J13" s="61" t="str">
        <x:f>IF(ABS(H13-I13)&lt;0.01,"PASS","FAIL")</x:f>
        <x:v>PASS</x:v>
      </x:c>
    </x:row>
    <x:row r="14">
      <x:c r="A14" s="61" t="str">
        <x:v>Procurement methods</x:v>
      </x:c>
      <x:c r="B14" s="99" t="n">
        <x:v>5</x:v>
      </x:c>
      <x:c r="C14" s="99" t="n">
        <x:v>5</x:v>
      </x:c>
      <x:c r="D14" s="61" t="str">
        <x:v>PASS</x:v>
      </x:c>
      <x:c r="E14" s="61" t="str">
        <x:v>Reconciled to the official cleaned dataset.</x:v>
      </x:c>
      <x:c r="G14" s="61" t="str">
        <x:v>Delivered on time</x:v>
      </x:c>
      <x:c r="H14" s="61" t="n">
        <x:f>COUNTIFS('Cleaned_Data'!U2:U401,"Delivered",'Cleaned_Data'!T2:T401,"Yes")</x:f>
        <x:v>151</x:v>
      </x:c>
      <x:c r="I14" s="61" t="n">
        <x:v>151</x:v>
      </x:c>
      <x:c r="J14" s="61" t="str">
        <x:f>IF(ABS(H14-I14)&lt;0.01,"PASS","FAIL")</x:f>
        <x:v>PASS</x:v>
      </x:c>
    </x:row>
    <x:row r="15">
      <x:c r="A15" s="61" t="str">
        <x:v>Total budget (CAD)</x:v>
      </x:c>
      <x:c r="B15" s="100" t="n">
        <x:v>431518839.83</x:v>
      </x:c>
      <x:c r="C15" s="100" t="n">
        <x:v>431518839.83</x:v>
      </x:c>
      <x:c r="D15" s="61" t="str">
        <x:v>PASS</x:v>
      </x:c>
      <x:c r="E15" s="61" t="str">
        <x:v>Reconciled to the official cleaned dataset.</x:v>
      </x:c>
      <x:c r="G15" s="61" t="str">
        <x:v>Delivered on-time rate</x:v>
      </x:c>
      <x:c r="H15" s="107" t="n">
        <x:f>H14/H13</x:f>
        <x:v>0.7401960784313726</x:v>
      </x:c>
      <x:c r="I15" s="107" t="n">
        <x:v>0.7401960784</x:v>
      </x:c>
      <x:c r="J15" s="61" t="str">
        <x:f>IF(ABS(H15-I15)&lt;0.01,"PASS","FAIL")</x:f>
        <x:v>PASS</x:v>
      </x:c>
    </x:row>
    <x:row r="16">
      <x:c r="A16" s="61" t="str">
        <x:v>Total PO value (CAD)</x:v>
      </x:c>
      <x:c r="B16" s="100" t="n">
        <x:v>432466429.12</x:v>
      </x:c>
      <x:c r="C16" s="100" t="n">
        <x:v>418104662.98</x:v>
      </x:c>
      <x:c r="D16" s="61" t="str">
        <x:v>PASS</x:v>
      </x:c>
      <x:c r="E16" s="61" t="str">
        <x:v>Reconciled to the official cleaned dataset.</x:v>
      </x:c>
      <x:c r="G16" s="61" t="str">
        <x:v>Missing lead times</x:v>
      </x:c>
      <x:c r="H16" s="61" t="n">
        <x:f>COUNTBLANK('Cleaned_Data'!S2:S401)</x:f>
        <x:v>0</x:v>
      </x:c>
      <x:c r="I16" s="61" t="n">
        <x:v>0</x:v>
      </x:c>
      <x:c r="J16" s="61" t="str">
        <x:f>IF(ABS(H16-I16)&lt;0.01,"PASS","FAIL")</x:f>
        <x:v>PASS</x:v>
      </x:c>
    </x:row>
    <x:row r="17">
      <x:c r="A17" s="61" t="str">
        <x:v>Total cost variance (CAD)</x:v>
      </x:c>
      <x:c r="B17" s="100" t="n">
        <x:v>-13414176.85</x:v>
      </x:c>
      <x:c r="C17" s="100" t="n">
        <x:v>-13414176.85</x:v>
      </x:c>
      <x:c r="D17" s="61" t="str">
        <x:v>PASS</x:v>
      </x:c>
      <x:c r="E17" s="61" t="str">
        <x:v>Reconciled to the official cleaned dataset.</x:v>
      </x:c>
      <x:c r="G17" s="62" t="str">
        <x:v>Missing unit rates</x:v>
      </x:c>
      <x:c r="H17" s="62" t="n">
        <x:f>COUNTBLANK('Cleaned_Data'!M2:M401)</x:f>
        <x:v>0</x:v>
      </x:c>
      <x:c r="I17" s="62" t="n">
        <x:v>0</x:v>
      </x:c>
      <x:c r="J17" s="62" t="str">
        <x:f>IF(ABS(H17-I17)&lt;0.01,"PASS","FAIL")</x:f>
        <x:v>PASS</x:v>
      </x:c>
    </x:row>
    <x:row r="18">
      <x:c r="A18" s="62" t="str">
        <x:v>PO - Budget - Variance gap</x:v>
      </x:c>
      <x:c r="B18" s="101" t="n">
        <x:v>14361766.14</x:v>
      </x:c>
      <x:c r="C18" s="101" t="n">
        <x:v>0</x:v>
      </x:c>
      <x:c r="D18" s="62" t="str">
        <x:v>PASS</x:v>
      </x:c>
      <x:c r="E18" s="62" t="str">
        <x:v>Reconciled to the official cleaned dataset.</x:v>
      </x:c>
    </x:row>
    <x:row r="20" ht="24" customHeight="1">
      <x:c r="A20" s="97" t="str">
        <x:v>PASS / FAIL Acceptance Checklist</x:v>
      </x:c>
      <x:c r="B20" s="97" t="str">
        <x:v>PASS / FAIL Acceptance Checklist</x:v>
      </x:c>
      <x:c r="C20" s="97" t="str">
        <x:v>PASS / FAIL Acceptance Checklist</x:v>
      </x:c>
      <x:c r="D20" s="97" t="str">
        <x:v>PASS / FAIL Acceptance Checklist</x:v>
      </x:c>
      <x:c r="E20" s="97" t="str">
        <x:v>PASS / FAIL Acceptance Checklist</x:v>
      </x:c>
      <x:c r="F20" s="97" t="str">
        <x:v>PASS / FAIL Acceptance Checklist</x:v>
      </x:c>
      <x:c r="G20" s="97" t="str">
        <x:v>PASS / FAIL Acceptance Checklist</x:v>
      </x:c>
      <x:c r="H20" s="97" t="str">
        <x:v>PASS / FAIL Acceptance Checklist</x:v>
      </x:c>
      <x:c r="I20" s="97" t="str">
        <x:v>PASS / FAIL Acceptance Checklist</x:v>
      </x:c>
      <x:c r="J20" s="97" t="str">
        <x:v>PASS / FAIL Acceptance Checklist</x:v>
      </x:c>
    </x:row>
    <x:row r="21" ht="30" customHeight="1">
      <x:c r="A21" s="53" t="str">
        <x:v>Acceptance Test</x:v>
      </x:c>
      <x:c r="B21" s="53" t="str">
        <x:v>Before Cleaning</x:v>
      </x:c>
      <x:c r="C21" s="53" t="str">
        <x:v>After Cleaning</x:v>
      </x:c>
      <x:c r="D21" s="53" t="str">
        <x:v>Result</x:v>
      </x:c>
      <x:c r="E21" s="53" t="str">
        <x:v>Evidence</x:v>
      </x:c>
    </x:row>
    <x:row r="22">
      <x:c r="A22" s="60" t="str">
        <x:v>Original workbook remains unchanged</x:v>
      </x:c>
      <x:c r="B22" s="60" t="str">
        <x:v>9026be03c394bf83fd1749be6d729a32ce722a4eb93a5510469d6b80d9cd5f3a</x:v>
      </x:c>
      <x:c r="C22" s="60" t="str">
        <x:v>9026be03c394bf83fd1749be6d729a32ce722a4eb93a5510469d6b80d9cd5f3a</x:v>
      </x:c>
      <x:c r="D22" s="60" t="str">
        <x:v>PASS</x:v>
      </x:c>
      <x:c r="E22" s="60" t="str">
        <x:v>SHA-256 matches the pre-audit source hash.</x:v>
      </x:c>
    </x:row>
    <x:row r="23">
      <x:c r="A23" s="61" t="str">
        <x:v>Official cleaned workbook remains unchanged</x:v>
      </x:c>
      <x:c r="B23" s="61" t="str">
        <x:v>1ce74d0b6030c1a1edf31b6f355de5afd34c50f6b575f92b1fe440a4afd921a9</x:v>
      </x:c>
      <x:c r="C23" s="61" t="str">
        <x:v>1ce74d0b6030c1a1edf31b6f355de5afd34c50f6b575f92b1fe440a4afd921a9</x:v>
      </x:c>
      <x:c r="D23" s="61" t="str">
        <x:v>PASS</x:v>
      </x:c>
      <x:c r="E23" s="61" t="str">
        <x:v>SHA-256 matches the supplied official cleaned workbook.</x:v>
      </x:c>
    </x:row>
    <x:row r="24">
      <x:c r="A24" s="61" t="str">
        <x:v>Row count</x:v>
      </x:c>
      <x:c r="B24" s="61" t="str">
        <x:v>400</x:v>
      </x:c>
      <x:c r="C24" s="61" t="str">
        <x:v>400</x:v>
      </x:c>
      <x:c r="D24" s="61" t="str">
        <x:v>PASS</x:v>
      </x:c>
      <x:c r="E24" s="61" t="str">
        <x:v>All 400 transactions are retained.</x:v>
      </x:c>
    </x:row>
    <x:row r="25">
      <x:c r="A25" s="61" t="str">
        <x:v>Unique transactions</x:v>
      </x:c>
      <x:c r="B25" s="61" t="str">
        <x:v>400</x:v>
      </x:c>
      <x:c r="C25" s="61" t="str">
        <x:v>400</x:v>
      </x:c>
      <x:c r="D25" s="61" t="str">
        <x:v>PASS</x:v>
      </x:c>
      <x:c r="E25" s="61" t="str">
        <x:v>No exact duplicate transaction rows.</x:v>
      </x:c>
    </x:row>
    <x:row r="26">
      <x:c r="A26" s="61" t="str">
        <x:v>Unique PO numbers</x:v>
      </x:c>
      <x:c r="B26" s="61" t="str">
        <x:v>398</x:v>
      </x:c>
      <x:c r="C26" s="61" t="str">
        <x:v>400</x:v>
      </x:c>
      <x:c r="D26" s="61" t="str">
        <x:v>PASS</x:v>
      </x:c>
      <x:c r="E26" s="61" t="str">
        <x:v>Two instructor-approved identifier corrections restore PO uniqueness.</x:v>
      </x:c>
    </x:row>
    <x:row r="27">
      <x:c r="A27" s="61" t="str">
        <x:v>Project totals</x:v>
      </x:c>
      <x:c r="B27" s="61" t="str">
        <x:v>10</x:v>
      </x:c>
      <x:c r="C27" s="61" t="str">
        <x:v>10</x:v>
      </x:c>
      <x:c r="D27" s="61" t="str">
        <x:v>PASS</x:v>
      </x:c>
      <x:c r="E27" s="61" t="str">
        <x:v>Project count is unchanged.</x:v>
      </x:c>
    </x:row>
    <x:row r="28">
      <x:c r="A28" s="61" t="str">
        <x:v>Supplier totals</x:v>
      </x:c>
      <x:c r="B28" s="61" t="str">
        <x:v>24</x:v>
      </x:c>
      <x:c r="C28" s="61" t="str">
        <x:v>24</x:v>
      </x:c>
      <x:c r="D28" s="61" t="str">
        <x:v>PASS</x:v>
      </x:c>
      <x:c r="E28" s="61" t="str">
        <x:v>Supplier count is unchanged.</x:v>
      </x:c>
    </x:row>
    <x:row r="29">
      <x:c r="A29" s="61" t="str">
        <x:v>Material category totals</x:v>
      </x:c>
      <x:c r="B29" s="61" t="str">
        <x:v>6</x:v>
      </x:c>
      <x:c r="C29" s="61" t="str">
        <x:v>6</x:v>
      </x:c>
      <x:c r="D29" s="61" t="str">
        <x:v>PASS</x:v>
      </x:c>
      <x:c r="E29" s="61" t="str">
        <x:v>Material category count is unchanged.</x:v>
      </x:c>
    </x:row>
    <x:row r="30">
      <x:c r="A30" s="61" t="str">
        <x:v>Procurement method totals</x:v>
      </x:c>
      <x:c r="B30" s="61" t="str">
        <x:v>5</x:v>
      </x:c>
      <x:c r="C30" s="61" t="str">
        <x:v>5</x:v>
      </x:c>
      <x:c r="D30" s="61" t="str">
        <x:v>PASS</x:v>
      </x:c>
      <x:c r="E30" s="61" t="str">
        <x:v>Procurement method count is unchanged.</x:v>
      </x:c>
    </x:row>
    <x:row r="31">
      <x:c r="A31" s="61" t="str">
        <x:v>Total budget</x:v>
      </x:c>
      <x:c r="B31" s="61" t="str">
        <x:v>431518839.83</x:v>
      </x:c>
      <x:c r="C31" s="61" t="str">
        <x:v>431518839.83</x:v>
      </x:c>
      <x:c r="D31" s="61" t="str">
        <x:v>PASS</x:v>
      </x:c>
      <x:c r="E31" s="61" t="str">
        <x:v>Cleaning did not change Budget_Value_CAD.</x:v>
      </x:c>
    </x:row>
    <x:row r="32">
      <x:c r="A32" s="61" t="str">
        <x:v>Total PO value</x:v>
      </x:c>
      <x:c r="B32" s="61" t="str">
        <x:v>432466429.12</x:v>
      </x:c>
      <x:c r="C32" s="61" t="str">
        <x:v>418104662.98</x:v>
      </x:c>
      <x:c r="D32" s="61" t="str">
        <x:v>PASS</x:v>
      </x:c>
      <x:c r="E32" s="61" t="str">
        <x:v>After-value reflects the two approved PO Value reconstructions.</x:v>
      </x:c>
    </x:row>
    <x:row r="33">
      <x:c r="A33" s="61" t="str">
        <x:v>Total cost variance</x:v>
      </x:c>
      <x:c r="B33" s="61" t="str">
        <x:v>-13414176.85</x:v>
      </x:c>
      <x:c r="C33" s="61" t="str">
        <x:v>-13414176.85</x:v>
      </x:c>
      <x:c r="D33" s="61" t="str">
        <x:v>PASS</x:v>
      </x:c>
      <x:c r="E33" s="61" t="str">
        <x:v>Cost_Variance_CAD remained authoritative and unchanged.</x:v>
      </x:c>
    </x:row>
    <x:row r="34">
      <x:c r="A34" s="61" t="str">
        <x:v>Portfolio financial reconciliation</x:v>
      </x:c>
      <x:c r="B34" s="61" t="str">
        <x:v>14361766.14</x:v>
      </x:c>
      <x:c r="C34" s="61" t="str">
        <x:v>0</x:v>
      </x:c>
      <x:c r="D34" s="61" t="str">
        <x:v>PASS</x:v>
      </x:c>
      <x:c r="E34" s="61" t="str">
        <x:v>SUM(PO Value) - SUM(Budget Value) equals SUM(Cost Variance).</x:v>
      </x:c>
    </x:row>
    <x:row r="35">
      <x:c r="A35" s="61" t="str">
        <x:v>Quantity × Unit Rate = PO Value</x:v>
      </x:c>
      <x:c r="B35" s="61" t="str">
        <x:v>Source contains missing/outlier exceptions</x:v>
      </x:c>
      <x:c r="C35" s="61" t="str">
        <x:v>400/400</x:v>
      </x:c>
      <x:c r="D35" s="61" t="str">
        <x:v>PASS</x:v>
      </x:c>
      <x:c r="E35" s="61" t="str">
        <x:v>Verified independently for every cleaned row.</x:v>
      </x:c>
    </x:row>
    <x:row r="36">
      <x:c r="A36" s="61" t="str">
        <x:v>Quantity × Budgeted Rate = Budget Value</x:v>
      </x:c>
      <x:c r="B36" s="61" t="str">
        <x:v>400 rows tested</x:v>
      </x:c>
      <x:c r="C36" s="61" t="str">
        <x:v>400/400</x:v>
      </x:c>
      <x:c r="D36" s="61" t="str">
        <x:v>PASS</x:v>
      </x:c>
      <x:c r="E36" s="61" t="str">
        <x:v>Verified independently for every cleaned row.</x:v>
      </x:c>
    </x:row>
    <x:row r="37">
      <x:c r="A37" s="61" t="str">
        <x:v>PO Value - Budget Value = Cost Variance</x:v>
      </x:c>
      <x:c r="B37" s="61" t="str">
        <x:v>398/400 source rows</x:v>
      </x:c>
      <x:c r="C37" s="61" t="str">
        <x:v>400/400</x:v>
      </x:c>
      <x:c r="D37" s="61" t="str">
        <x:v>PASS</x:v>
      </x:c>
      <x:c r="E37" s="61" t="str">
        <x:v>Approved reconstructions resolve both source exceptions.</x:v>
      </x:c>
    </x:row>
    <x:row r="38">
      <x:c r="A38" s="61" t="str">
        <x:v>Variance percentage</x:v>
      </x:c>
      <x:c r="B38" s="61" t="str">
        <x:v>400 rows tested</x:v>
      </x:c>
      <x:c r="C38" s="61" t="str">
        <x:v>400/400</x:v>
      </x:c>
      <x:c r="D38" s="61" t="str">
        <x:v>PASS</x:v>
      </x:c>
      <x:c r="E38" s="61" t="str">
        <x:v>Variance_% equals Cost Variance ÷ Budget Value, rounded to one decimal point.</x:v>
      </x:c>
    </x:row>
    <x:row r="39">
      <x:c r="A39" s="61" t="str">
        <x:v>Missing Unit_Rate_CAD</x:v>
      </x:c>
      <x:c r="B39" s="61" t="str">
        <x:v>2</x:v>
      </x:c>
      <x:c r="C39" s="61" t="str">
        <x:v>0</x:v>
      </x:c>
      <x:c r="D39" s="61" t="str">
        <x:v>PASS</x:v>
      </x:c>
      <x:c r="E39" s="61" t="str">
        <x:v>Two missing rates were derived from PO Value ÷ Quantity.</x:v>
      </x:c>
    </x:row>
    <x:row r="40">
      <x:c r="A40" s="61" t="str">
        <x:v>Missing Lead_Time_Days</x:v>
      </x:c>
      <x:c r="B40" s="61" t="str">
        <x:v>2</x:v>
      </x:c>
      <x:c r="C40" s="61" t="str">
        <x:v>0</x:v>
      </x:c>
      <x:c r="D40" s="61" t="str">
        <x:v>PASS</x:v>
      </x:c>
      <x:c r="E40" s="61" t="str">
        <x:v>Two missing Civil Works lead times were imputed with 45 days.</x:v>
      </x:c>
    </x:row>
    <x:row r="41">
      <x:c r="A41" s="61" t="str">
        <x:v>Civil Works median lead time</x:v>
      </x:c>
      <x:c r="B41" s="61" t="str">
        <x:v>45</x:v>
      </x:c>
      <x:c r="C41" s="61" t="str">
        <x:v>45 used for both missing values</x:v>
      </x:c>
      <x:c r="D41" s="61" t="str">
        <x:v>PASS</x:v>
      </x:c>
      <x:c r="E41" s="61" t="str">
        <x:v>Median calculated from observed Civil Works lead times before imputation.</x:v>
      </x:c>
    </x:row>
    <x:row r="42">
      <x:c r="A42" s="61" t="str">
        <x:v>Valid dates</x:v>
      </x:c>
      <x:c r="B42" s="61" t="str">
        <x:v>Four source text formats</x:v>
      </x:c>
      <x:c r="C42" s="61" t="str">
        <x:v>400/400 valid dates</x:v>
      </x:c>
      <x:c r="D42" s="61" t="str">
        <x:v>PASS</x:v>
      </x:c>
      <x:c r="E42" s="61" t="str">
        <x:v>All dates parse to valid 2025 calendar dates.</x:v>
      </x:c>
    </x:row>
    <x:row r="43">
      <x:c r="A43" s="61" t="str">
        <x:v>PO_Date and Month consistency</x:v>
      </x:c>
      <x:c r="B43" s="61" t="str">
        <x:v>2 source mismatches</x:v>
      </x:c>
      <x:c r="C43" s="61" t="str">
        <x:v>400/400</x:v>
      </x:c>
      <x:c r="D43" s="61" t="str">
        <x:v>PASS</x:v>
      </x:c>
      <x:c r="E43" s="61" t="str">
        <x:v>Month equals the month derived from PO_Date for every row.</x:v>
      </x:c>
    </x:row>
    <x:row r="44">
      <x:c r="A44" s="61" t="str">
        <x:v>Category spelling and capitalization</x:v>
      </x:c>
      <x:c r="B44" s="61" t="str">
        <x:v>All categorical columns checked</x:v>
      </x:c>
      <x:c r="C44" s="61" t="str">
        <x:v>No case or whitespace collisions</x:v>
      </x:c>
      <x:c r="D44" s="61" t="str">
        <x:v>PASS</x:v>
      </x:c>
      <x:c r="E44" s="61" t="str">
        <x:v>Project, region, officer, category, supplier, method, unit, and delivery fields checked.</x:v>
      </x:c>
    </x:row>
    <x:row r="45">
      <x:c r="A45" s="61" t="str">
        <x:v>Delivery counts</x:v>
      </x:c>
      <x:c r="B45" s="61" t="str">
        <x:v>Delivered 204; Partially Delivered 68; Pending 63; Cancelled 65; On Time Yes 292; No 108</x:v>
      </x:c>
      <x:c r="C45" s="61" t="str">
        <x:v>Delivered 204; Partially Delivered 68; Pending 63; Cancelled 65; On Time Yes 292; No 108</x:v>
      </x:c>
      <x:c r="D45" s="61" t="str">
        <x:v>PASS</x:v>
      </x:c>
      <x:c r="E45" s="61" t="str">
        <x:v>Cleaning did not change delivery status or on-time classifications.</x:v>
      </x:c>
    </x:row>
    <x:row r="46">
      <x:c r="A46" s="61" t="str">
        <x:v>Approved PO identifier corrections</x:v>
      </x:c>
      <x:c r="B46" s="61" t="str">
        <x:v>Two duplicate identifiers</x:v>
      </x:c>
      <x:c r="C46" s="61" t="str">
        <x:v>400 unique PO numbers</x:v>
      </x:c>
      <x:c r="D46" s="61" t="str">
        <x:v>PASS</x:v>
      </x:c>
      <x:c r="E46" s="61" t="str">
        <x:v>Rows 31 and 121 match the instructor-approved replacements.</x:v>
      </x:c>
    </x:row>
    <x:row r="47">
      <x:c r="A47" s="61" t="str">
        <x:v>Approved PO Value reconstructions</x:v>
      </x:c>
      <x:c r="B47" s="61" t="str">
        <x:v>Two source identity failures</x:v>
      </x:c>
      <x:c r="C47" s="61" t="str">
        <x:v>Both corrected</x:v>
      </x:c>
      <x:c r="D47" s="61" t="str">
        <x:v>PASS</x:v>
      </x:c>
      <x:c r="E47" s="61" t="str">
        <x:v>Rows 46 and 224 use Budget Value + Cost Variance.</x:v>
      </x:c>
    </x:row>
    <x:row r="48">
      <x:c r="A48" s="61" t="str">
        <x:v>Q1 dual-method verification</x:v>
      </x:c>
      <x:c r="B48" s="61" t="str">
        <x:v>Manual Decimal aggregation</x:v>
      </x:c>
      <x:c r="C48" s="61" t="str">
        <x:v>Pivot/groupby aggregation</x:v>
      </x:c>
      <x:c r="D48" s="61" t="str">
        <x:v>PASS</x:v>
      </x:c>
      <x:c r="E48" s="61" t="str">
        <x:v>All project and material-category metrics and ranks match.</x:v>
      </x:c>
    </x:row>
    <x:row r="49">
      <x:c r="A49" s="61" t="str">
        <x:v>Q2 dual-method verification</x:v>
      </x:c>
      <x:c r="B49" s="61" t="str">
        <x:v>Manual Decimal aggregation</x:v>
      </x:c>
      <x:c r="C49" s="61" t="str">
        <x:v>Pivot/groupby aggregation</x:v>
      </x:c>
      <x:c r="D49" s="61" t="str">
        <x:v>PASS</x:v>
      </x:c>
      <x:c r="E49" s="61" t="str">
        <x:v>All supplier metrics, qualification flags, and ranks match.</x:v>
      </x:c>
    </x:row>
    <x:row r="50">
      <x:c r="A50" s="61" t="str">
        <x:v>Q3 dual-method verification</x:v>
      </x:c>
      <x:c r="B50" s="61" t="str">
        <x:v>Manual statistics</x:v>
      </x:c>
      <x:c r="C50" s="61" t="str">
        <x:v>Pivot/groupby and SciPy statistics</x:v>
      </x:c>
      <x:c r="D50" s="61" t="str">
        <x:v>PASS</x:v>
      </x:c>
      <x:c r="E50" s="61" t="str">
        <x:v>All procurement-method metrics and inferential tests match.</x:v>
      </x:c>
    </x:row>
    <x:row r="51">
      <x:c r="A51" s="61" t="str">
        <x:v>Q4 dual-method verification</x:v>
      </x:c>
      <x:c r="B51" s="61" t="str">
        <x:v>Manual Delivered-only aggregation</x:v>
      </x:c>
      <x:c r="C51" s="61" t="str">
        <x:v>Pivot/groupby Delivered-only aggregation</x:v>
      </x:c>
      <x:c r="D51" s="61" t="str">
        <x:v>PASS</x:v>
      </x:c>
      <x:c r="E51" s="61" t="str">
        <x:v>Portfolio, material-category, and supplier metrics and ranks match.</x:v>
      </x:c>
    </x:row>
    <x:row r="52">
      <x:c r="A52" s="62" t="str">
        <x:v>Lead-time imputation sensitivity</x:v>
      </x:c>
      <x:c r="B52" s="62" t="str">
        <x:v>44.643564</x:v>
      </x:c>
      <x:c r="C52" s="62" t="str">
        <x:v>44.647059</x:v>
      </x:c>
      <x:c r="D52" s="62" t="str">
        <x:v>PASS</x:v>
      </x:c>
      <x:c r="E52" s="62" t="str">
        <x:v>Blank-versus-45-day comparison changes the portfolio average by 0.003495 day and changes no ranking or recommendation.</x:v>
      </x:c>
    </x:row>
    <x:row r="55" ht="24" customHeight="1">
      <x:c r="A55" s="97" t="str">
        <x:v>Delivery Count Reconciliation</x:v>
      </x:c>
      <x:c r="B55" s="97" t="str">
        <x:v>Delivery Count Reconciliation</x:v>
      </x:c>
      <x:c r="C55" s="97" t="str">
        <x:v>Delivery Count Reconciliation</x:v>
      </x:c>
      <x:c r="D55" s="97" t="str">
        <x:v>Delivery Count Reconciliation</x:v>
      </x:c>
      <x:c r="E55" s="97" t="str">
        <x:v>Delivery Count Reconciliation</x:v>
      </x:c>
    </x:row>
    <x:row r="56" ht="30" customHeight="1">
      <x:c r="A56" s="22" t="str">
        <x:v>Metric</x:v>
      </x:c>
      <x:c r="B56" s="22" t="str">
        <x:v>Original</x:v>
      </x:c>
      <x:c r="C56" s="22" t="str">
        <x:v>Official Cleaned</x:v>
      </x:c>
      <x:c r="D56" s="22" t="str">
        <x:v>Result</x:v>
      </x:c>
    </x:row>
    <x:row r="57">
      <x:c r="A57" s="60" t="str">
        <x:v>Delivered</x:v>
      </x:c>
      <x:c r="B57" s="60" t="n">
        <x:v>204</x:v>
      </x:c>
      <x:c r="C57" s="60" t="n">
        <x:v>204</x:v>
      </x:c>
      <x:c r="D57" s="60" t="str">
        <x:v>PASS</x:v>
      </x:c>
    </x:row>
    <x:row r="58">
      <x:c r="A58" s="61" t="str">
        <x:v>Partially Delivered</x:v>
      </x:c>
      <x:c r="B58" s="61" t="n">
        <x:v>68</x:v>
      </x:c>
      <x:c r="C58" s="61" t="n">
        <x:v>68</x:v>
      </x:c>
      <x:c r="D58" s="61" t="str">
        <x:v>PASS</x:v>
      </x:c>
    </x:row>
    <x:row r="59">
      <x:c r="A59" s="61" t="str">
        <x:v>Pending</x:v>
      </x:c>
      <x:c r="B59" s="61" t="n">
        <x:v>63</x:v>
      </x:c>
      <x:c r="C59" s="61" t="n">
        <x:v>63</x:v>
      </x:c>
      <x:c r="D59" s="61" t="str">
        <x:v>PASS</x:v>
      </x:c>
    </x:row>
    <x:row r="60">
      <x:c r="A60" s="61" t="str">
        <x:v>Cancelled</x:v>
      </x:c>
      <x:c r="B60" s="61" t="n">
        <x:v>65</x:v>
      </x:c>
      <x:c r="C60" s="61" t="n">
        <x:v>65</x:v>
      </x:c>
      <x:c r="D60" s="61" t="str">
        <x:v>PASS</x:v>
      </x:c>
    </x:row>
    <x:row r="61">
      <x:c r="A61" s="61" t="str">
        <x:v>On Time — Yes</x:v>
      </x:c>
      <x:c r="B61" s="61" t="n">
        <x:v>292</x:v>
      </x:c>
      <x:c r="C61" s="61" t="n">
        <x:v>292</x:v>
      </x:c>
      <x:c r="D61" s="61" t="str">
        <x:v>PASS</x:v>
      </x:c>
    </x:row>
    <x:row r="62">
      <x:c r="A62" s="62" t="str">
        <x:v>On Time — No</x:v>
      </x:c>
      <x:c r="B62" s="62" t="n">
        <x:v>108</x:v>
      </x:c>
      <x:c r="C62" s="62" t="n">
        <x:v>108</x:v>
      </x:c>
      <x:c r="D62" s="62" t="str">
        <x:v>PASS</x:v>
      </x:c>
    </x:row>
    <x:row r="65" ht="24" customHeight="1">
      <x:c r="A65" s="97" t="str">
        <x:v>Lead-Time Imputation Sensitivity</x:v>
      </x:c>
      <x:c r="B65" s="97" t="str">
        <x:v>Lead-Time Imputation Sensitivity</x:v>
      </x:c>
      <x:c r="C65" s="97" t="str">
        <x:v>Lead-Time Imputation Sensitivity</x:v>
      </x:c>
      <x:c r="D65" s="97" t="str">
        <x:v>Lead-Time Imputation Sensitivity</x:v>
      </x:c>
      <x:c r="E65" s="97" t="str">
        <x:v>Lead-Time Imputation Sensitivity</x:v>
      </x:c>
      <x:c r="F65" s="97" t="str">
        <x:v>Lead-Time Imputation Sensitivity</x:v>
      </x:c>
    </x:row>
    <x:row r="66" ht="30" customHeight="1">
      <x:c r="A66" s="106" t="str">
        <x:v>Metric</x:v>
      </x:c>
      <x:c r="B66" s="106" t="str">
        <x:v>Blank Scenario</x:v>
      </x:c>
      <x:c r="C66" s="106" t="str">
        <x:v>Approved 45-Day Scenario</x:v>
      </x:c>
      <x:c r="D66" s="106" t="str">
        <x:v>Change</x:v>
      </x:c>
      <x:c r="E66" s="106" t="str">
        <x:v>Result</x:v>
      </x:c>
    </x:row>
    <x:row r="67">
      <x:c r="A67" s="60" t="str">
        <x:v>Lead observations</x:v>
      </x:c>
      <x:c r="B67" s="108" t="n">
        <x:v>202</x:v>
      </x:c>
      <x:c r="C67" s="108" t="n">
        <x:v>204</x:v>
      </x:c>
      <x:c r="D67" s="108" t="n">
        <x:v>2</x:v>
      </x:c>
      <x:c r="E67" s="60" t="str">
        <x:v>PASS</x:v>
      </x:c>
    </x:row>
    <x:row r="68">
      <x:c r="A68" s="61" t="str">
        <x:v>Average lead time (days)</x:v>
      </x:c>
      <x:c r="B68" s="109" t="n">
        <x:v>44.643564</x:v>
      </x:c>
      <x:c r="C68" s="109" t="n">
        <x:v>44.647059</x:v>
      </x:c>
      <x:c r="D68" s="109" t="n">
        <x:v>0.003495</x:v>
      </x:c>
      <x:c r="E68" s="61" t="str">
        <x:v>PASS</x:v>
      </x:c>
    </x:row>
    <x:row r="69">
      <x:c r="A69" s="61" t="str">
        <x:v>Median lead time (days)</x:v>
      </x:c>
      <x:c r="B69" s="109" t="n">
        <x:v>42</x:v>
      </x:c>
      <x:c r="C69" s="109" t="n">
        <x:v>42</x:v>
      </x:c>
      <x:c r="D69" s="109" t="n">
        <x:v>0</x:v>
      </x:c>
      <x:c r="E69" s="61" t="str">
        <x:v>PASS</x:v>
      </x:c>
    </x:row>
    <x:row r="70">
      <x:c r="A70" s="61" t="str">
        <x:v>On-time delivery rate</x:v>
      </x:c>
      <x:c r="B70" s="109" t="n">
        <x:v>0.740196</x:v>
      </x:c>
      <x:c r="C70" s="109" t="n">
        <x:v>0.740196</x:v>
      </x:c>
      <x:c r="D70" s="109" t="n">
        <x:v>0</x:v>
      </x:c>
      <x:c r="E70" s="61" t="str">
        <x:v>PASS</x:v>
      </x:c>
    </x:row>
    <x:row r="71">
      <x:c r="A71" s="62" t="str">
        <x:v>Rank/recommendation changes</x:v>
      </x:c>
      <x:c r="B71" s="110" t="n">
        <x:v>0</x:v>
      </x:c>
      <x:c r="C71" s="110" t="n">
        <x:v>0</x:v>
      </x:c>
      <x:c r="D71" s="110" t="n">
        <x:v>0</x:v>
      </x:c>
      <x:c r="E71" s="62" t="str">
        <x:v>PASS</x:v>
      </x:c>
    </x:row>
    <x:row r="74" ht="24" customHeight="1">
      <x:c r="A74" s="112" t="str">
        <x:v>Consolidated Cleaning-Action Audit</x:v>
      </x:c>
      <x:c r="B74" s="112" t="str">
        <x:v>Consolidated Cleaning-Action Audit</x:v>
      </x:c>
      <x:c r="C74" s="112" t="str">
        <x:v>Consolidated Cleaning-Action Audit</x:v>
      </x:c>
      <x:c r="D74" s="112" t="str">
        <x:v>Consolidated Cleaning-Action Audit</x:v>
      </x:c>
      <x:c r="E74" s="112" t="str">
        <x:v>Consolidated Cleaning-Action Audit</x:v>
      </x:c>
      <x:c r="F74" s="112" t="str">
        <x:v>Consolidated Cleaning-Action Audit</x:v>
      </x:c>
      <x:c r="G74" s="112" t="str">
        <x:v>Consolidated Cleaning-Action Audit</x:v>
      </x:c>
      <x:c r="H74" s="112" t="str">
        <x:v>Consolidated Cleaning-Action Audit</x:v>
      </x:c>
    </x:row>
    <x:row r="75" ht="30" customHeight="1">
      <x:c r="A75" s="53" t="str">
        <x:v>Original Issue</x:v>
      </x:c>
      <x:c r="B75" s="53" t="str">
        <x:v>Cleaning Action</x:v>
      </x:c>
      <x:c r="C75" s="53" t="str">
        <x:v>Action Type</x:v>
      </x:c>
      <x:c r="D75" s="53" t="str">
        <x:v>Justification</x:v>
      </x:c>
      <x:c r="E75" s="53" t="str">
        <x:v>Affected Rows / Cells</x:v>
      </x:c>
      <x:c r="F75" s="53" t="str">
        <x:v>Validation Result</x:v>
      </x:c>
      <x:c r="G75" s="53" t="str">
        <x:v>Confidence</x:v>
      </x:c>
      <x:c r="H75" s="53" t="str">
        <x:v>Approval Status</x:v>
      </x:c>
    </x:row>
    <x:row r="76">
      <x:c r="A76" s="60" t="str">
        <x:v>Four source date formats</x:v>
      </x:c>
      <x:c r="B76" s="60" t="str">
        <x:v>Standardized display and converted text to true dates</x:v>
      </x:c>
      <x:c r="C76" s="60" t="str">
        <x:v>standardization</x:v>
      </x:c>
      <x:c r="D76" s="60" t="str">
        <x:v>Calendar dates were preserved exactly.</x:v>
      </x:c>
      <x:c r="E76" s="60" t="str">
        <x:v>Rows 2–401; B2:B401</x:v>
      </x:c>
      <x:c r="F76" s="60" t="str">
        <x:v>PASS — 400/400 valid 2025 dates</x:v>
      </x:c>
      <x:c r="G76" s="60" t="str">
        <x:v>High</x:v>
      </x:c>
      <x:c r="H76" s="60" t="str">
        <x:v>Instructor Approved</x:v>
      </x:c>
    </x:row>
    <x:row r="77">
      <x:c r="A77" s="61" t="str">
        <x:v>Two Month values disagreed with PO_Date</x:v>
      </x:c>
      <x:c r="B77" s="61" t="str">
        <x:v>Regenerated Month from PO_Date</x:v>
      </x:c>
      <x:c r="C77" s="61" t="str">
        <x:v>deterministic correction</x:v>
      </x:c>
      <x:c r="D77" s="61" t="str">
        <x:v>PO_Date is the authoritative calendar field.</x:v>
      </x:c>
      <x:c r="E77" s="61" t="str">
        <x:v>Rows 91 and 201; C91, C201</x:v>
      </x:c>
      <x:c r="F77" s="61" t="str">
        <x:v>PASS — 400/400 date/month matches</x:v>
      </x:c>
      <x:c r="G77" s="61" t="str">
        <x:v>High</x:v>
      </x:c>
      <x:c r="H77" s="61" t="str">
        <x:v>Instructor Approved</x:v>
      </x:c>
    </x:row>
    <x:row r="78">
      <x:c r="A78" s="61" t="str">
        <x:v>Two duplicate PO identifiers</x:v>
      </x:c>
      <x:c r="B78" s="61" t="str">
        <x:v>Applied the approved sequence corrections</x:v>
      </x:c>
      <x:c r="C78" s="61" t="str">
        <x:v>deterministic correction</x:v>
      </x:c>
      <x:c r="D78" s="61" t="str">
        <x:v>Instructor confirmed PO-2025-0030 and PO-2025-0120.</x:v>
      </x:c>
      <x:c r="E78" s="61" t="str">
        <x:v>Rows 31 and 121; A31, A121</x:v>
      </x:c>
      <x:c r="F78" s="61" t="str">
        <x:v>PASS — 400 unique PO numbers</x:v>
      </x:c>
      <x:c r="G78" s="61" t="str">
        <x:v>High</x:v>
      </x:c>
      <x:c r="H78" s="61" t="str">
        <x:v>Instructor Approved</x:v>
      </x:c>
    </x:row>
    <x:row r="79">
      <x:c r="A79" s="61" t="str">
        <x:v>Two missing Unit_Rate_CAD values</x:v>
      </x:c>
      <x:c r="B79" s="61" t="str">
        <x:v>Derived PO Value ÷ Quantity</x:v>
      </x:c>
      <x:c r="C79" s="61" t="str">
        <x:v>derived value</x:v>
      </x:c>
      <x:c r="D79" s="61" t="str">
        <x:v>The quotient is mathematically determined by authoritative fields.</x:v>
      </x:c>
      <x:c r="E79" s="61" t="str">
        <x:v>Rows 17 and 202; M17, M202</x:v>
      </x:c>
      <x:c r="F79" s="61" t="str">
        <x:v>PASS — unit rate reproduces PO Value</x:v>
      </x:c>
      <x:c r="G79" s="61" t="str">
        <x:v>High</x:v>
      </x:c>
      <x:c r="H79" s="61" t="str">
        <x:v>Instructor Approved</x:v>
      </x:c>
    </x:row>
    <x:row r="80">
      <x:c r="A80" s="61" t="str">
        <x:v>Two PO values broke the financial identity</x:v>
      </x:c>
      <x:c r="B80" s="61" t="str">
        <x:v>Reconstructed PO Value and Unit Rate</x:v>
      </x:c>
      <x:c r="C80" s="61" t="str">
        <x:v>derived value</x:v>
      </x:c>
      <x:c r="D80" s="61" t="str">
        <x:v>Instructor confirmed Budget Value and Cost Variance as authoritative; PO Value = Budget + Variance.</x:v>
      </x:c>
      <x:c r="E80" s="61" t="str">
        <x:v>Rows 46 and 224; M46, O46, M224, O224</x:v>
      </x:c>
      <x:c r="F80" s="61" t="str">
        <x:v>PASS — all three financial identities hold</x:v>
      </x:c>
      <x:c r="G80" s="61" t="str">
        <x:v>High</x:v>
      </x:c>
      <x:c r="H80" s="61" t="str">
        <x:v>Instructor Approved</x:v>
      </x:c>
    </x:row>
    <x:row r="81">
      <x:c r="A81" s="62" t="str">
        <x:v>Two missing Civil Works lead times</x:v>
      </x:c>
      <x:c r="B81" s="62" t="str">
        <x:v>Imputed the approved category median of 45 days</x:v>
      </x:c>
      <x:c r="C81" s="62" t="str">
        <x:v>imputation</x:v>
      </x:c>
      <x:c r="D81" s="62" t="str">
        <x:v>Instructor approved the observed Civil Works category median.</x:v>
      </x:c>
      <x:c r="E81" s="62" t="str">
        <x:v>Rows 79 and 303; S79, S303</x:v>
      </x:c>
      <x:c r="F81" s="62" t="str">
        <x:v>PASS — sensitivity changes no rank or recommendation</x:v>
      </x:c>
      <x:c r="G81" s="62" t="str">
        <x:v>High</x:v>
      </x:c>
      <x:c r="H81" s="62" t="str">
        <x:v>Instructor Approved</x:v>
      </x:c>
    </x:row>
    <x:row r="84" ht="24" customHeight="1">
      <x:c r="A84" s="97" t="str">
        <x:v>High-Risk Cleaning Actions</x:v>
      </x:c>
      <x:c r="B84" s="97" t="str">
        <x:v>High-Risk Cleaning Actions</x:v>
      </x:c>
      <x:c r="C84" s="97" t="str">
        <x:v>High-Risk Cleaning Actions</x:v>
      </x:c>
      <x:c r="D84" s="97" t="str">
        <x:v>High-Risk Cleaning Actions</x:v>
      </x:c>
      <x:c r="E84" s="97" t="str">
        <x:v>High-Risk Cleaning Actions</x:v>
      </x:c>
      <x:c r="F84" s="97" t="str">
        <x:v>High-Risk Cleaning Actions</x:v>
      </x:c>
      <x:c r="G84" s="97" t="str">
        <x:v>High-Risk Cleaning Actions</x:v>
      </x:c>
      <x:c r="H84" s="97" t="str">
        <x:v>High-Risk Cleaning Actions</x:v>
      </x:c>
    </x:row>
    <x:row r="85" ht="30" customHeight="1">
      <x:c r="A85" s="22" t="str">
        <x:v>Original Issue</x:v>
      </x:c>
      <x:c r="B85" s="22" t="str">
        <x:v>Approved Action</x:v>
      </x:c>
      <x:c r="C85" s="22" t="str">
        <x:v>Affected Rows / Cells</x:v>
      </x:c>
      <x:c r="D85" s="22" t="str">
        <x:v>Validation Result</x:v>
      </x:c>
      <x:c r="E85" s="22" t="str">
        <x:v>Confidence</x:v>
      </x:c>
      <x:c r="F85" s="22" t="str">
        <x:v>Approval Status</x:v>
      </x:c>
    </x:row>
    <x:row r="86">
      <x:c r="A86" s="60" t="str">
        <x:v>Two duplicate PO identifiers</x:v>
      </x:c>
      <x:c r="B86" s="60" t="str">
        <x:v>Applied the approved sequence corrections</x:v>
      </x:c>
      <x:c r="C86" s="60" t="str">
        <x:v>Rows 31 and 121; A31, A121</x:v>
      </x:c>
      <x:c r="D86" s="60" t="str">
        <x:v>PASS — 400 unique PO numbers</x:v>
      </x:c>
      <x:c r="E86" s="60" t="str">
        <x:v>High</x:v>
      </x:c>
      <x:c r="F86" s="60" t="str">
        <x:v>Instructor Approved</x:v>
      </x:c>
    </x:row>
    <x:row r="87">
      <x:c r="A87" s="61" t="str">
        <x:v>Two missing Unit_Rate_CAD values</x:v>
      </x:c>
      <x:c r="B87" s="61" t="str">
        <x:v>Derived PO Value ÷ Quantity</x:v>
      </x:c>
      <x:c r="C87" s="61" t="str">
        <x:v>Rows 17 and 202; M17, M202</x:v>
      </x:c>
      <x:c r="D87" s="61" t="str">
        <x:v>PASS — unit rate reproduces PO Value</x:v>
      </x:c>
      <x:c r="E87" s="61" t="str">
        <x:v>High</x:v>
      </x:c>
      <x:c r="F87" s="61" t="str">
        <x:v>Instructor Approved</x:v>
      </x:c>
    </x:row>
    <x:row r="88">
      <x:c r="A88" s="61" t="str">
        <x:v>Two PO values broke the financial identity</x:v>
      </x:c>
      <x:c r="B88" s="61" t="str">
        <x:v>Reconstructed PO Value and Unit Rate</x:v>
      </x:c>
      <x:c r="C88" s="61" t="str">
        <x:v>Rows 46 and 224; M46, O46, M224, O224</x:v>
      </x:c>
      <x:c r="D88" s="61" t="str">
        <x:v>PASS — all three financial identities hold</x:v>
      </x:c>
      <x:c r="E88" s="61" t="str">
        <x:v>High</x:v>
      </x:c>
      <x:c r="F88" s="61" t="str">
        <x:v>Instructor Approved</x:v>
      </x:c>
    </x:row>
    <x:row r="89">
      <x:c r="A89" s="62" t="str">
        <x:v>Two missing Civil Works lead times</x:v>
      </x:c>
      <x:c r="B89" s="62" t="str">
        <x:v>Imputed the approved category median of 45 days</x:v>
      </x:c>
      <x:c r="C89" s="62" t="str">
        <x:v>Rows 79 and 303; S79, S303</x:v>
      </x:c>
      <x:c r="D89" s="62" t="str">
        <x:v>PASS — sensitivity changes no rank or recommendation</x:v>
      </x:c>
      <x:c r="E89" s="62" t="str">
        <x:v>High</x:v>
      </x:c>
      <x:c r="F89" s="62" t="str">
        <x:v>Instructor Approved</x:v>
      </x:c>
    </x:row>
    <x:row r="92" ht="24" customHeight="1">
      <x:c r="A92" s="97" t="str">
        <x:v>Unresolved Instructor Decisions</x:v>
      </x:c>
      <x:c r="B92" s="97" t="str">
        <x:v>Unresolved Instructor Decisions</x:v>
      </x:c>
      <x:c r="C92" s="97" t="str">
        <x:v>Unresolved Instructor Decisions</x:v>
      </x:c>
      <x:c r="D92" s="97" t="str">
        <x:v>Unresolved Instructor Decisions</x:v>
      </x:c>
      <x:c r="E92" s="97" t="str">
        <x:v>Unresolved Instructor Decisions</x:v>
      </x:c>
      <x:c r="F92" s="97" t="str">
        <x:v>Unresolved Instructor Decisions</x:v>
      </x:c>
      <x:c r="G92" s="97" t="str">
        <x:v>Unresolved Instructor Decisions</x:v>
      </x:c>
      <x:c r="H92" s="97" t="str">
        <x:v>Unresolved Instructor Decisions</x:v>
      </x:c>
    </x:row>
    <x:row r="93">
      <x:c r="A93" s="126" t="str">
        <x:v>None. All previously flagged identifier, financial reconstruction, Q4 denominator, and lead-time decisions were explicitly approved by the instructor.</x:v>
      </x:c>
      <x:c r="B93" s="127" t="str">
        <x:v>None. All previously flagged identifier, financial reconstruction, Q4 denominator, and lead-time decisions were explicitly approved by the instructor.</x:v>
      </x:c>
      <x:c r="C93" s="127" t="str">
        <x:v>None. All previously flagged identifier, financial reconstruction, Q4 denominator, and lead-time decisions were explicitly approved by the instructor.</x:v>
      </x:c>
      <x:c r="D93" s="127" t="str">
        <x:v>None. All previously flagged identifier, financial reconstruction, Q4 denominator, and lead-time decisions were explicitly approved by the instructor.</x:v>
      </x:c>
      <x:c r="E93" s="127" t="str">
        <x:v>None. All previously flagged identifier, financial reconstruction, Q4 denominator, and lead-time decisions were explicitly approved by the instructor.</x:v>
      </x:c>
      <x:c r="F93" s="127" t="str">
        <x:v>None. All previously flagged identifier, financial reconstruction, Q4 denominator, and lead-time decisions were explicitly approved by the instructor.</x:v>
      </x:c>
      <x:c r="G93" s="127" t="str">
        <x:v>None. All previously flagged identifier, financial reconstruction, Q4 denominator, and lead-time decisions were explicitly approved by the instructor.</x:v>
      </x:c>
      <x:c r="H93" s="128" t="str">
        <x:v>None. All previously flagged identifier, financial reconstruction, Q4 denominator, and lead-time decisions were explicitly approved by the instructor.</x:v>
      </x:c>
    </x:row>
    <x:row r="94">
      <x:c r="A94" s="129" t="str">
        <x:v>None. All previously flagged identifier, financial reconstruction, Q4 denominator, and lead-time decisions were explicitly approved by the instructor.</x:v>
      </x:c>
      <x:c r="B94" s="130" t="str">
        <x:v>None. All previously flagged identifier, financial reconstruction, Q4 denominator, and lead-time decisions were explicitly approved by the instructor.</x:v>
      </x:c>
      <x:c r="C94" s="130" t="str">
        <x:v>None. All previously flagged identifier, financial reconstruction, Q4 denominator, and lead-time decisions were explicitly approved by the instructor.</x:v>
      </x:c>
      <x:c r="D94" s="130" t="str">
        <x:v>None. All previously flagged identifier, financial reconstruction, Q4 denominator, and lead-time decisions were explicitly approved by the instructor.</x:v>
      </x:c>
      <x:c r="E94" s="130" t="str">
        <x:v>None. All previously flagged identifier, financial reconstruction, Q4 denominator, and lead-time decisions were explicitly approved by the instructor.</x:v>
      </x:c>
      <x:c r="F94" s="130" t="str">
        <x:v>None. All previously flagged identifier, financial reconstruction, Q4 denominator, and lead-time decisions were explicitly approved by the instructor.</x:v>
      </x:c>
      <x:c r="G94" s="130" t="str">
        <x:v>None. All previously flagged identifier, financial reconstruction, Q4 denominator, and lead-time decisions were explicitly approved by the instructor.</x:v>
      </x:c>
      <x:c r="H94" s="131" t="str">
        <x:v>None. All previously flagged identifier, financial reconstruction, Q4 denominator, and lead-time decisions were explicitly approved by the instructor.</x:v>
      </x:c>
    </x:row>
  </x:sheetData>
  <x:mergeCells>
    <x:mergeCell ref="A1:J2"/>
    <x:mergeCell ref="A3:J4"/>
    <x:mergeCell ref="A6:E6"/>
    <x:mergeCell ref="G6:J6"/>
    <x:mergeCell ref="A20:J20"/>
    <x:mergeCell ref="A55:E55"/>
    <x:mergeCell ref="A65:F65"/>
    <x:mergeCell ref="A74:H74"/>
    <x:mergeCell ref="A84:H84"/>
    <x:mergeCell ref="A92:H92"/>
    <x:mergeCell ref="A93:H94"/>
  </x:mergeCells>
  <x:conditionalFormatting sqref="D8:D18">
    <x:cfRule type="containsText" dxfId="6" priority="1" operator="containsText" text="PASS"/>
    <x:cfRule type="containsText" dxfId="7" priority="2" operator="containsText" text="MATCH"/>
    <x:cfRule type="containsText" dxfId="8" priority="3" operator="containsText" text="FAIL"/>
    <x:cfRule type="containsText" dxfId="9" priority="4" operator="containsText" text="MISMATCH"/>
  </x:conditionalFormatting>
  <x:conditionalFormatting sqref="J8:J17">
    <x:cfRule type="containsText" dxfId="10" priority="5" operator="containsText" text="PASS"/>
    <x:cfRule type="containsText" dxfId="11" priority="6" operator="containsText" text="MATCH"/>
    <x:cfRule type="containsText" dxfId="12" priority="7" operator="containsText" text="FAIL"/>
    <x:cfRule type="containsText" dxfId="13" priority="8" operator="containsText" text="MISMATCH"/>
  </x:conditionalFormatting>
  <x:conditionalFormatting sqref="D22:D52">
    <x:cfRule type="containsText" dxfId="14" priority="9" operator="containsText" text="PASS"/>
    <x:cfRule type="containsText" dxfId="15" priority="10" operator="containsText" text="MATCH"/>
    <x:cfRule type="containsText" dxfId="16" priority="11" operator="containsText" text="FAIL"/>
    <x:cfRule type="containsText" dxfId="17" priority="12" operator="containsText" text="MISMATCH"/>
  </x:conditionalFormatting>
  <x:conditionalFormatting sqref="D57:D62">
    <x:cfRule type="containsText" dxfId="18" priority="13" operator="containsText" text="PASS"/>
    <x:cfRule type="containsText" dxfId="19" priority="14" operator="containsText" text="MATCH"/>
    <x:cfRule type="containsText" dxfId="20" priority="15" operator="containsText" text="FAIL"/>
    <x:cfRule type="containsText" dxfId="21" priority="16" operator="containsText" text="MISMATCH"/>
  </x:conditionalFormatting>
  <x:conditionalFormatting sqref="E67:E71">
    <x:cfRule type="containsText" dxfId="22" priority="17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1" hidden="0" customWidth="1"/>
    <x:col min="3" max="3" width="52" hidden="0" customWidth="1"/>
    <x:col min="4" max="4" width="58" hidden="0" customWidth="1"/>
    <x:col min="5" max="5" width="52" hidden="0" customWidth="1"/>
  </x:cols>
  <x:sheetData>
    <x:row r="1" ht="30" customHeight="1">
      <x:c r="A1" s="68" t="str">
        <x:v>ConstructEdge Procurement — Data Dictionary &amp; Analysis Rules</x:v>
      </x:c>
      <x:c r="B1" s="68" t="str">
        <x:v>ConstructEdge Procurement — Data Dictionary &amp; Analysis Rules</x:v>
      </x:c>
      <x:c r="C1" s="68" t="str">
        <x:v>ConstructEdge Procurement — Data Dictionary &amp; Analysis Rules</x:v>
      </x:c>
      <x:c r="D1" s="68" t="str">
        <x:v>ConstructEdge Procurement — Data Dictionary &amp; Analysis Rules</x:v>
      </x:c>
      <x:c r="E1" s="68" t="str">
        <x:v>ConstructEdge Procurement — Data Dictionary &amp; Analysis Rules</x:v>
      </x:c>
    </x:row>
    <x:row r="2" ht="30" customHeight="1">
      <x:c r="A2" s="68" t="str">
        <x:v>ConstructEdge Procurement — Data Dictionary &amp; Analysis Rules</x:v>
      </x:c>
      <x:c r="B2" s="68" t="str">
        <x:v>ConstructEdge Procurement — Data Dictionary &amp; Analysis Rules</x:v>
      </x:c>
      <x:c r="C2" s="68" t="str">
        <x:v>ConstructEdge Procurement — Data Dictionary &amp; Analysis Rules</x:v>
      </x:c>
      <x:c r="D2" s="68" t="str">
        <x:v>ConstructEdge Procurement — Data Dictionary &amp; Analysis Rules</x:v>
      </x:c>
      <x:c r="E2" s="68" t="str">
        <x:v>ConstructEdge Procurement — Data Dictionary &amp; Analysis Rules</x:v>
      </x:c>
    </x:row>
    <x:row r="3" ht="28" customHeight="1">
      <x:c r="A3" s="135" t="str">
        <x:v>Definitions, formulas, inclusion rules, sign conventions, and ranking logic used consistently across all deliverables.</x:v>
      </x:c>
      <x:c r="B3" s="135" t="str">
        <x:v>Definitions, formulas, inclusion rules, sign conventions, and ranking logic used consistently across all deliverables.</x:v>
      </x:c>
      <x:c r="C3" s="135" t="str">
        <x:v>Definitions, formulas, inclusion rules, sign conventions, and ranking logic used consistently across all deliverables.</x:v>
      </x:c>
      <x:c r="D3" s="135" t="str">
        <x:v>Definitions, formulas, inclusion rules, sign conventions, and ranking logic used consistently across all deliverables.</x:v>
      </x:c>
      <x:c r="E3" s="135" t="str">
        <x:v>Definitions, formulas, inclusion rules, sign conventions, and ranking logic used consistently across all deliverables.</x:v>
      </x:c>
    </x:row>
    <x:row r="4" ht="28" customHeight="1">
      <x:c r="A4" s="135" t="str">
        <x:v>Definitions, formulas, inclusion rules, sign conventions, and ranking logic used consistently across all deliverables.</x:v>
      </x:c>
      <x:c r="B4" s="135" t="str">
        <x:v>Definitions, formulas, inclusion rules, sign conventions, and ranking logic used consistently across all deliverables.</x:v>
      </x:c>
      <x:c r="C4" s="135" t="str">
        <x:v>Definitions, formulas, inclusion rules, sign conventions, and ranking logic used consistently across all deliverables.</x:v>
      </x:c>
      <x:c r="D4" s="135" t="str">
        <x:v>Definitions, formulas, inclusion rules, sign conventions, and ranking logic used consistently across all deliverables.</x:v>
      </x:c>
      <x:c r="E4" s="135" t="str">
        <x:v>Definitions, formulas, inclusion rules, sign conventions, and ranking logic used consistently across all deliverables.</x:v>
      </x:c>
    </x:row>
    <x:row r="6" ht="30" customHeight="1">
      <x:c r="A6" s="22" t="str">
        <x:v>Scope</x:v>
      </x:c>
      <x:c r="B6" s="22" t="str">
        <x:v>Field</x:v>
      </x:c>
      <x:c r="C6" s="22" t="str">
        <x:v>Definition</x:v>
      </x:c>
      <x:c r="D6" s="22" t="str">
        <x:v>Formula / Rule</x:v>
      </x:c>
      <x:c r="E6" s="22" t="str">
        <x:v>Analysis Treatment</x:v>
      </x:c>
    </x:row>
    <x:row r="7">
      <x:c r="A7" s="60" t="str">
        <x:v>Source field</x:v>
      </x:c>
      <x:c r="B7" s="60" t="str">
        <x:v>PO_Number</x:v>
      </x:c>
      <x:c r="C7" s="60" t="str">
        <x:v>Unique purchase-order identifier after approved corrections.</x:v>
      </x:c>
      <x:c r="D7" s="60" t="str">
        <x:v>Text identifier; no aggregation.</x:v>
      </x:c>
      <x:c r="E7" s="60" t="str">
        <x:v>400 unique values in the official cleaned dataset.</x:v>
      </x:c>
    </x:row>
    <x:row r="8">
      <x:c r="A8" s="61" t="str">
        <x:v>Source field</x:v>
      </x:c>
      <x:c r="B8" s="61" t="str">
        <x:v>PO_Date</x:v>
      </x:c>
      <x:c r="C8" s="61" t="str">
        <x:v>Purchase-order date.</x:v>
      </x:c>
      <x:c r="D8" s="61" t="str">
        <x:v>True spreadsheet date displayed as yyyy-mm-dd.</x:v>
      </x:c>
      <x:c r="E8" s="61" t="str">
        <x:v>All 400 dates included.</x:v>
      </x:c>
    </x:row>
    <x:row r="9">
      <x:c r="A9" s="61" t="str">
        <x:v>Source field</x:v>
      </x:c>
      <x:c r="B9" s="61" t="str">
        <x:v>Month</x:v>
      </x:c>
      <x:c r="C9" s="61" t="str">
        <x:v>Calendar month of PO_Date.</x:v>
      </x:c>
      <x:c r="D9" s="61" t="str">
        <x:v>TEXT(PO_Date,"mmmm")</x:v>
      </x:c>
      <x:c r="E9" s="61" t="str">
        <x:v>Validated against PO_Date for every row.</x:v>
      </x:c>
    </x:row>
    <x:row r="10">
      <x:c r="A10" s="61" t="str">
        <x:v>Source field</x:v>
      </x:c>
      <x:c r="B10" s="61" t="str">
        <x:v>Project_Name</x:v>
      </x:c>
      <x:c r="C10" s="61" t="str">
        <x:v>Construction project associated with the purchase order.</x:v>
      </x:c>
      <x:c r="D10" s="61" t="str">
        <x:v>Categorical field.</x:v>
      </x:c>
      <x:c r="E10" s="61" t="str">
        <x:v>Used for Q1 project aggregation.</x:v>
      </x:c>
    </x:row>
    <x:row r="11">
      <x:c r="A11" s="61" t="str">
        <x:v>Source field</x:v>
      </x:c>
      <x:c r="B11" s="61" t="str">
        <x:v>Region</x:v>
      </x:c>
      <x:c r="C11" s="61" t="str">
        <x:v>Geographic operating region.</x:v>
      </x:c>
      <x:c r="D11" s="61" t="str">
        <x:v>Categorical field.</x:v>
      </x:c>
      <x:c r="E11" s="61" t="str">
        <x:v>Retained; not used as a primary Q1–Q5 grouping.</x:v>
      </x:c>
    </x:row>
    <x:row r="12">
      <x:c r="A12" s="61" t="str">
        <x:v>Source field</x:v>
      </x:c>
      <x:c r="B12" s="61" t="str">
        <x:v>Procurement_Officer</x:v>
      </x:c>
      <x:c r="C12" s="61" t="str">
        <x:v>Officer responsible for the procurement transaction.</x:v>
      </x:c>
      <x:c r="D12" s="61" t="str">
        <x:v>Categorical field.</x:v>
      </x:c>
      <x:c r="E12" s="61" t="str">
        <x:v>Retained for traceability.</x:v>
      </x:c>
    </x:row>
    <x:row r="13">
      <x:c r="A13" s="61" t="str">
        <x:v>Source field</x:v>
      </x:c>
      <x:c r="B13" s="61" t="str">
        <x:v>Material_Category</x:v>
      </x:c>
      <x:c r="C13" s="61" t="str">
        <x:v>Procurement material/work category.</x:v>
      </x:c>
      <x:c r="D13" s="61" t="str">
        <x:v>Categorical field.</x:v>
      </x:c>
      <x:c r="E13" s="61" t="str">
        <x:v>Used for Q1 and Q4 aggregation.</x:v>
      </x:c>
    </x:row>
    <x:row r="14">
      <x:c r="A14" s="61" t="str">
        <x:v>Source field</x:v>
      </x:c>
      <x:c r="B14" s="61" t="str">
        <x:v>Item_Description</x:v>
      </x:c>
      <x:c r="C14" s="61" t="str">
        <x:v>Description of the item or work purchased.</x:v>
      </x:c>
      <x:c r="D14" s="61" t="str">
        <x:v>Text field.</x:v>
      </x:c>
      <x:c r="E14" s="61" t="str">
        <x:v>Retained for transaction detail.</x:v>
      </x:c>
    </x:row>
    <x:row r="15">
      <x:c r="A15" s="61" t="str">
        <x:v>Source field</x:v>
      </x:c>
      <x:c r="B15" s="61" t="str">
        <x:v>Supplier_Name</x:v>
      </x:c>
      <x:c r="C15" s="61" t="str">
        <x:v>Supplier for the purchase order.</x:v>
      </x:c>
      <x:c r="D15" s="61" t="str">
        <x:v>Categorical field.</x:v>
      </x:c>
      <x:c r="E15" s="61" t="str">
        <x:v>Used for Q2 and Q4 supplier analysis.</x:v>
      </x:c>
    </x:row>
    <x:row r="16">
      <x:c r="A16" s="61" t="str">
        <x:v>Source field</x:v>
      </x:c>
      <x:c r="B16" s="61" t="str">
        <x:v>Procurement_Method</x:v>
      </x:c>
      <x:c r="C16" s="61" t="str">
        <x:v>Method used to procure the order.</x:v>
      </x:c>
      <x:c r="D16" s="61" t="str">
        <x:v>Categorical field with five observed values.</x:v>
      </x:c>
      <x:c r="E16" s="61" t="str">
        <x:v>Used for Q3; Invitational has no observed records.</x:v>
      </x:c>
    </x:row>
    <x:row r="17">
      <x:c r="A17" s="61" t="str">
        <x:v>Source field</x:v>
      </x:c>
      <x:c r="B17" s="61" t="str">
        <x:v>Quantity</x:v>
      </x:c>
      <x:c r="C17" s="61" t="str">
        <x:v>Number of units purchased.</x:v>
      </x:c>
      <x:c r="D17" s="61" t="str">
        <x:v>Positive numeric value.</x:v>
      </x:c>
      <x:c r="E17" s="61" t="str">
        <x:v>Used to validate PO Value and Budget Value.</x:v>
      </x:c>
    </x:row>
    <x:row r="18">
      <x:c r="A18" s="61" t="str">
        <x:v>Source field</x:v>
      </x:c>
      <x:c r="B18" s="61" t="str">
        <x:v>Unit</x:v>
      </x:c>
      <x:c r="C18" s="61" t="str">
        <x:v>Unit of measure.</x:v>
      </x:c>
      <x:c r="D18" s="61" t="str">
        <x:v>Categorical field.</x:v>
      </x:c>
      <x:c r="E18" s="61" t="str">
        <x:v>Retained for transaction detail.</x:v>
      </x:c>
    </x:row>
    <x:row r="19">
      <x:c r="A19" s="61" t="str">
        <x:v>Source field</x:v>
      </x:c>
      <x:c r="B19" s="61" t="str">
        <x:v>Unit_Rate_CAD</x:v>
      </x:c>
      <x:c r="C19" s="61" t="str">
        <x:v>Actual unit price in Canadian dollars.</x:v>
      </x:c>
      <x:c r="D19" s="61" t="str">
        <x:v>PO_Value_CAD ÷ Quantity.</x:v>
      </x:c>
      <x:c r="E19" s="61" t="str">
        <x:v>Four corrected/derived values documented in Audit_Log.</x:v>
      </x:c>
    </x:row>
    <x:row r="20">
      <x:c r="A20" s="61" t="str">
        <x:v>Source field</x:v>
      </x:c>
      <x:c r="B20" s="61" t="str">
        <x:v>Budgeted_Rate_CAD</x:v>
      </x:c>
      <x:c r="C20" s="61" t="str">
        <x:v>Budgeted unit price in Canadian dollars.</x:v>
      </x:c>
      <x:c r="D20" s="61" t="str">
        <x:v>Budget_Value_CAD ÷ Quantity.</x:v>
      </x:c>
      <x:c r="E20" s="61" t="str">
        <x:v>Authoritative source field.</x:v>
      </x:c>
    </x:row>
    <x:row r="21">
      <x:c r="A21" s="61" t="str">
        <x:v>Source field</x:v>
      </x:c>
      <x:c r="B21" s="61" t="str">
        <x:v>PO_Value_CAD</x:v>
      </x:c>
      <x:c r="C21" s="61" t="str">
        <x:v>Actual purchase-order value in Canadian dollars.</x:v>
      </x:c>
      <x:c r="D21" s="61" t="str">
        <x:v>Quantity × Unit_Rate_CAD.</x:v>
      </x:c>
      <x:c r="E21" s="61" t="str">
        <x:v>Rows 46 and 224 reconstructed as Budget Value + Cost Variance.</x:v>
      </x:c>
    </x:row>
    <x:row r="22">
      <x:c r="A22" s="61" t="str">
        <x:v>Source field</x:v>
      </x:c>
      <x:c r="B22" s="61" t="str">
        <x:v>Budget_Value_CAD</x:v>
      </x:c>
      <x:c r="C22" s="61" t="str">
        <x:v>Budgeted purchase-order value in Canadian dollars.</x:v>
      </x:c>
      <x:c r="D22" s="61" t="str">
        <x:v>Quantity × Budgeted_Rate_CAD.</x:v>
      </x:c>
      <x:c r="E22" s="61" t="str">
        <x:v>Authoritative for all records.</x:v>
      </x:c>
    </x:row>
    <x:row r="23">
      <x:c r="A23" s="61" t="str">
        <x:v>Source field</x:v>
      </x:c>
      <x:c r="B23" s="61" t="str">
        <x:v>Cost_Variance_CAD</x:v>
      </x:c>
      <x:c r="C23" s="61" t="str">
        <x:v>Difference between actual PO value and budget.</x:v>
      </x:c>
      <x:c r="D23" s="61" t="str">
        <x:v>PO_Value_CAD - Budget_Value_CAD.</x:v>
      </x:c>
      <x:c r="E23" s="61" t="str">
        <x:v>Positive = over budget; negative = under budget.</x:v>
      </x:c>
    </x:row>
    <x:row r="24">
      <x:c r="A24" s="61" t="str">
        <x:v>Source field</x:v>
      </x:c>
      <x:c r="B24" s="61" t="str">
        <x:v>Variance_%</x:v>
      </x:c>
      <x:c r="C24" s="61" t="str">
        <x:v>Cost variance as a percentage of budget.</x:v>
      </x:c>
      <x:c r="D24" s="61" t="str">
        <x:v>Cost_Variance_CAD ÷ Budget_Value_CAD × 100.</x:v>
      </x:c>
      <x:c r="E24" s="61" t="str">
        <x:v>Stored as percentage points rounded to one decimal.</x:v>
      </x:c>
    </x:row>
    <x:row r="25">
      <x:c r="A25" s="61" t="str">
        <x:v>Source field</x:v>
      </x:c>
      <x:c r="B25" s="61" t="str">
        <x:v>Lead_Time_Days</x:v>
      </x:c>
      <x:c r="C25" s="61" t="str">
        <x:v>Supplier lead time in calendar days.</x:v>
      </x:c>
      <x:c r="D25" s="61" t="str">
        <x:v>Observed value; two approved Civil Works imputations = 45.</x:v>
      </x:c>
      <x:c r="E25" s="61" t="str">
        <x:v>Q4 uses Delivered orders only.</x:v>
      </x:c>
    </x:row>
    <x:row r="26">
      <x:c r="A26" s="61" t="str">
        <x:v>Source field</x:v>
      </x:c>
      <x:c r="B26" s="61" t="str">
        <x:v>On_Time_Delivery</x:v>
      </x:c>
      <x:c r="C26" s="61" t="str">
        <x:v>Whether delivery was recorded on time.</x:v>
      </x:c>
      <x:c r="D26" s="61" t="str">
        <x:v>Yes/No categorical field.</x:v>
      </x:c>
      <x:c r="E26" s="61" t="str">
        <x:v>Q4 numerator counts Yes among Delivered orders.</x:v>
      </x:c>
    </x:row>
    <x:row r="27">
      <x:c r="A27" s="61" t="str">
        <x:v>Source field</x:v>
      </x:c>
      <x:c r="B27" s="61" t="str">
        <x:v>Delivery_Status</x:v>
      </x:c>
      <x:c r="C27" s="61" t="str">
        <x:v>Current delivery state.</x:v>
      </x:c>
      <x:c r="D27" s="61" t="str">
        <x:v>Delivered, Partially Delivered, Pending, or Cancelled.</x:v>
      </x:c>
      <x:c r="E27" s="61" t="str">
        <x:v>Q4 includes Delivered only; all other statuses excluded.</x:v>
      </x:c>
    </x:row>
    <x:row r="28">
      <x:c r="A28" s="61" t="str">
        <x:v>Analysis rule</x:v>
      </x:c>
      <x:c r="B28" s="61" t="str">
        <x:v>Q1 Net Cost Overrun (CAD)</x:v>
      </x:c>
      <x:c r="C28" s="61" t="str">
        <x:v>Net aggregate cost variance for a project or category.</x:v>
      </x:c>
      <x:c r="D28" s="61" t="str">
        <x:v>SUM(Cost_Variance_CAD).</x:v>
      </x:c>
      <x:c r="E28" s="61" t="str">
        <x:v>Rank descending; positive values are overruns.</x:v>
      </x:c>
    </x:row>
    <x:row r="29">
      <x:c r="A29" s="61" t="str">
        <x:v>Analysis rule</x:v>
      </x:c>
      <x:c r="B29" s="61" t="str">
        <x:v>Q1 Net Cost Overrun (%)</x:v>
      </x:c>
      <x:c r="C29" s="61" t="str">
        <x:v>Net aggregate variance relative to aggregate budget.</x:v>
      </x:c>
      <x:c r="D29" s="61" t="str">
        <x:v>SUM(Cost_Variance_CAD) ÷ SUM(Budget_Value_CAD).</x:v>
      </x:c>
      <x:c r="E29" s="61" t="str">
        <x:v>Weighted aggregate percentage, not average row percentage.</x:v>
      </x:c>
    </x:row>
    <x:row r="30">
      <x:c r="A30" s="61" t="str">
        <x:v>Analysis rule</x:v>
      </x:c>
      <x:c r="B30" s="61" t="str">
        <x:v>Q2 Consistently Above Budget</x:v>
      </x:c>
      <x:c r="C30" s="61" t="str">
        <x:v>Supplier-level majority and net-positive rule.</x:v>
      </x:c>
      <x:c r="D30" s="61" t="str">
        <x:v>&gt;50% of POs above budget AND total Cost_Variance_CAD &gt; 0.</x:v>
      </x:c>
      <x:c r="E30" s="61" t="str">
        <x:v>Qualifiers ranked by average variance descending.</x:v>
      </x:c>
    </x:row>
    <x:row r="31">
      <x:c r="A31" s="61" t="str">
        <x:v>Analysis rule</x:v>
      </x:c>
      <x:c r="B31" s="61" t="str">
        <x:v>Q3 Procurement Method Effect</x:v>
      </x:c>
      <x:c r="C31" s="61" t="str">
        <x:v>Association between method and normalized row variance.</x:v>
      </x:c>
      <x:c r="D31" s="61" t="str">
        <x:v>One-way ANOVA and Kruskal-Wallis on Variance_%; α = 0.05.</x:v>
      </x:c>
      <x:c r="E31" s="61" t="str">
        <x:v>Observational, not causal.</x:v>
      </x:c>
    </x:row>
    <x:row r="32">
      <x:c r="A32" s="61" t="str">
        <x:v>Analysis rule</x:v>
      </x:c>
      <x:c r="B32" s="61" t="str">
        <x:v>Q4 On-Time Delivery Rate</x:v>
      </x:c>
      <x:c r="C32" s="61" t="str">
        <x:v>Share of Delivered orders recorded Yes.</x:v>
      </x:c>
      <x:c r="D32" s="61" t="str">
        <x:v>COUNTIFS(Delivery_Status, Delivered, On_Time_Delivery, Yes) ÷ COUNTIF(Delivery_Status, Delivered).</x:v>
      </x:c>
      <x:c r="E32" s="61" t="str">
        <x:v>Pending, Cancelled, and Partially Delivered excluded.</x:v>
      </x:c>
    </x:row>
    <x:row r="33">
      <x:c r="A33" s="61" t="str">
        <x:v>Analysis rule</x:v>
      </x:c>
      <x:c r="B33" s="61" t="str">
        <x:v>Q4 Delivery Rank</x:v>
      </x:c>
      <x:c r="C33" s="61" t="str">
        <x:v>Best-to-worst delivery-performance order.</x:v>
      </x:c>
      <x:c r="D33" s="61" t="str">
        <x:v>On-time rate descending; average lead time ascending; name ascending.</x:v>
      </x:c>
      <x:c r="E33" s="61" t="str">
        <x:v>Applied separately to categories and suppliers.</x:v>
      </x:c>
    </x:row>
    <x:row r="34">
      <x:c r="A34" s="62" t="str">
        <x:v>Sensitivity rule</x:v>
      </x:c>
      <x:c r="B34" s="62" t="str">
        <x:v>Lead-time imputation sensitivity</x:v>
      </x:c>
      <x:c r="C34" s="62" t="str">
        <x:v>Comparison of blank lead times with approved 45-day values.</x:v>
      </x:c>
      <x:c r="D34" s="62" t="str">
        <x:v>Recalculate Delivered-only lead-time metrics and ranks under both scenarios.</x:v>
      </x:c>
      <x:c r="E34" s="62" t="str">
        <x:v>No category rank, supplier rank, on-time rate, or recommendation changes.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5ed33496ed564a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9" hidden="0" customWidth="1"/>
    <x:col min="4" max="4" width="18" hidden="0" customWidth="1"/>
    <x:col min="5" max="5" width="18" hidden="0" customWidth="1"/>
    <x:col min="6" max="6" width="21" hidden="0" customWidth="1"/>
    <x:col min="7" max="7" width="20" hidden="0" customWidth="1"/>
    <x:col min="8" max="8" width="23" hidden="0" customWidth="1"/>
    <x:col min="9" max="9" width="4" hidden="0" customWidth="1"/>
    <x:col min="10" max="10" width="29" hidden="0" customWidth="1"/>
    <x:col min="11" max="11" width="19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0" customHeight="1">
      <x:c r="A1" s="68" t="str">
        <x:v>Q1 — Highest Cost Overruns by Project and Material Category</x:v>
      </x:c>
      <x:c r="B1" s="68" t="str">
        <x:v>Q1 — Highest Cost Overruns by Project and Material Category</x:v>
      </x:c>
      <x:c r="C1" s="68" t="str">
        <x:v>Q1 — Highest Cost Overruns by Project and Material Category</x:v>
      </x:c>
      <x:c r="D1" s="68" t="str">
        <x:v>Q1 — Highest Cost Overruns by Project and Material Category</x:v>
      </x:c>
      <x:c r="E1" s="68" t="str">
        <x:v>Q1 — Highest Cost Overruns by Project and Material Category</x:v>
      </x:c>
      <x:c r="F1" s="68" t="str">
        <x:v>Q1 — Highest Cost Overruns by Project and Material Category</x:v>
      </x:c>
      <x:c r="G1" s="68" t="str">
        <x:v>Q1 — Highest Cost Overruns by Project and Material Category</x:v>
      </x:c>
      <x:c r="H1" s="68" t="str">
        <x:v>Q1 — Highest Cost Overruns by Project and Material Category</x:v>
      </x:c>
      <x:c r="I1" s="68" t="str">
        <x:v>Q1 — Highest Cost Overruns by Project and Material Category</x:v>
      </x:c>
      <x:c r="J1" s="68" t="str">
        <x:v>Q1 — Highest Cost Overruns by Project and Material Category</x:v>
      </x:c>
      <x:c r="K1" s="68" t="str">
        <x:v>Q1 — Highest Cost Overruns by Project and Material Category</x:v>
      </x:c>
      <x:c r="L1" s="68" t="str">
        <x:v>Q1 — Highest Cost Overruns by Project and Material Category</x:v>
      </x:c>
      <x:c r="M1" s="68" t="str">
        <x:v>Q1 — Highest Cost Overruns by Project and Material Category</x:v>
      </x:c>
      <x:c r="N1" s="68" t="str">
        <x:v>Q1 — Highest Cost Overruns by Project and Material Category</x:v>
      </x:c>
      <x:c r="O1" s="68" t="str">
        <x:v>Q1 — Highest Cost Overruns by Project and Material Category</x:v>
      </x:c>
      <x:c r="P1" s="68" t="str">
        <x:v>Q1 — Highest Cost Overruns by Project and Material Category</x:v>
      </x:c>
      <x:c r="Q1" s="68" t="str">
        <x:v>Q1 — Highest Cost Overruns by Project and Material Category</x:v>
      </x:c>
    </x:row>
    <x:row r="2" ht="30" customHeight="1">
      <x:c r="A2" s="68" t="str">
        <x:v>Q1 — Highest Cost Overruns by Project and Material Category</x:v>
      </x:c>
      <x:c r="B2" s="68" t="str">
        <x:v>Q1 — Highest Cost Overruns by Project and Material Category</x:v>
      </x:c>
      <x:c r="C2" s="68" t="str">
        <x:v>Q1 — Highest Cost Overruns by Project and Material Category</x:v>
      </x:c>
      <x:c r="D2" s="68" t="str">
        <x:v>Q1 — Highest Cost Overruns by Project and Material Category</x:v>
      </x:c>
      <x:c r="E2" s="68" t="str">
        <x:v>Q1 — Highest Cost Overruns by Project and Material Category</x:v>
      </x:c>
      <x:c r="F2" s="68" t="str">
        <x:v>Q1 — Highest Cost Overruns by Project and Material Category</x:v>
      </x:c>
      <x:c r="G2" s="68" t="str">
        <x:v>Q1 — Highest Cost Overruns by Project and Material Category</x:v>
      </x:c>
      <x:c r="H2" s="68" t="str">
        <x:v>Q1 — Highest Cost Overruns by Project and Material Category</x:v>
      </x:c>
      <x:c r="I2" s="68" t="str">
        <x:v>Q1 — Highest Cost Overruns by Project and Material Category</x:v>
      </x:c>
      <x:c r="J2" s="68" t="str">
        <x:v>Q1 — Highest Cost Overruns by Project and Material Category</x:v>
      </x:c>
      <x:c r="K2" s="68" t="str">
        <x:v>Q1 — Highest Cost Overruns by Project and Material Category</x:v>
      </x:c>
      <x:c r="L2" s="68" t="str">
        <x:v>Q1 — Highest Cost Overruns by Project and Material Category</x:v>
      </x:c>
      <x:c r="M2" s="68" t="str">
        <x:v>Q1 — Highest Cost Overruns by Project and Material Category</x:v>
      </x:c>
      <x:c r="N2" s="68" t="str">
        <x:v>Q1 — Highest Cost Overruns by Project and Material Category</x:v>
      </x:c>
      <x:c r="O2" s="68" t="str">
        <x:v>Q1 — Highest Cost Overruns by Project and Material Category</x:v>
      </x:c>
      <x:c r="P2" s="68" t="str">
        <x:v>Q1 — Highest Cost Overruns by Project and Material Category</x:v>
      </x:c>
      <x:c r="Q2" s="68" t="str">
        <x:v>Q1 — Highest Cost Overruns by Project and Material Category</x:v>
      </x:c>
    </x:row>
    <x:row r="3" ht="28" customHeight="1">
      <x:c r="A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B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C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D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E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F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G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H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I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J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K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L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M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N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O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P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Q3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</x:row>
    <x:row r="4" ht="28" customHeight="1">
      <x:c r="A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B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C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D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E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F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G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H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I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J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K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L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M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N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O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P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  <x:c r="Q4" s="135" t="str">
        <x:v>Aggregate Budget_Value_CAD, PO_Value_CAD, and Cost_Variance_CAD by project or material category. Net Cost Overrun (%) = SUM(Cost_Variance_CAD) ÷ SUM(Budget_Value_CAD). Rank descending by net Cost_Variance_CAD. Gross positive exposure is reported separately as the sum of positive row-level variances. Positive variance means over budget; negative variance means under budget.</x:v>
      </x:c>
    </x:row>
    <x:row r="6" ht="30" customHeight="1">
      <x:c r="A6" s="22" t="str">
        <x:v>Rank</x:v>
      </x:c>
      <x:c r="B6" s="22" t="str">
        <x:v>Project</x:v>
      </x:c>
      <x:c r="C6" s="22" t="str">
        <x:v>POs</x:v>
      </x:c>
      <x:c r="D6" s="22" t="str">
        <x:v>Budget (CAD)</x:v>
      </x:c>
      <x:c r="E6" s="22" t="str">
        <x:v>PO Value (CAD)</x:v>
      </x:c>
      <x:c r="F6" s="22" t="str">
        <x:v>Net Cost Variance (CAD)</x:v>
      </x:c>
      <x:c r="G6" s="22" t="str">
        <x:v>Net Cost Variance (%)</x:v>
      </x:c>
      <x:c r="H6" s="22" t="str">
        <x:v>Gross Positive Overrun (CAD)</x:v>
      </x:c>
      <x:c r="J6" s="106" t="str">
        <x:v>Top Net-Overrun Project</x:v>
      </x:c>
      <x:c r="K6" s="106" t="str">
        <x:v>Net Variance (CAD)</x:v>
      </x:c>
    </x:row>
    <x:row r="7">
      <x:c r="A7" s="60" t="n">
        <x:v>1</x:v>
      </x:c>
      <x:c r="B7" s="60" t="str">
        <x:v>Quarry Park Mixed-Use Development</x:v>
      </x:c>
      <x:c r="C7" s="60" t="n">
        <x:v>45</x:v>
      </x:c>
      <x:c r="D7" s="136" t="n">
        <x:v>33382149.77</x:v>
      </x:c>
      <x:c r="E7" s="136" t="n">
        <x:v>33661817.55</x:v>
      </x:c>
      <x:c r="F7" s="136" t="n">
        <x:v>279667.78</x:v>
      </x:c>
      <x:c r="G7" s="137" t="n">
        <x:v>0.008378</x:v>
      </x:c>
      <x:c r="H7" s="136" t="n">
        <x:v>1509812.75</x:v>
      </x:c>
      <x:c r="J7" t="str">
        <x:v>Quarry Park</x:v>
      </x:c>
      <x:c r="K7" s="139" t="n">
        <x:v>279667.78</x:v>
      </x:c>
    </x:row>
    <x:row r="8">
      <x:c r="A8" s="61" t="n">
        <x:v>2</x:v>
      </x:c>
      <x:c r="B8" s="61" t="str">
        <x:v>Calgary SE Ring Road Extension</x:v>
      </x:c>
      <x:c r="C8" s="61" t="n">
        <x:v>51</x:v>
      </x:c>
      <x:c r="D8" s="100" t="n">
        <x:v>31938788.87</x:v>
      </x:c>
      <x:c r="E8" s="100" t="n">
        <x:v>32073382.35</x:v>
      </x:c>
      <x:c r="F8" s="100" t="n">
        <x:v>134593.48</x:v>
      </x:c>
      <x:c r="G8" s="107" t="n">
        <x:v>0.004214</x:v>
      </x:c>
      <x:c r="H8" s="100" t="n">
        <x:v>1755819.27</x:v>
      </x:c>
      <x:c r="J8" t="str">
        <x:v>Calgary SE Ring Road</x:v>
      </x:c>
      <x:c r="K8" s="139" t="n">
        <x:v>134593.48</x:v>
      </x:c>
    </x:row>
    <x:row r="9">
      <x:c r="A9" s="61" t="n">
        <x:v>3</x:v>
      </x:c>
      <x:c r="B9" s="61" t="str">
        <x:v>Deerfoot Trail Widening - North</x:v>
      </x:c>
      <x:c r="C9" s="61" t="n">
        <x:v>33</x:v>
      </x:c>
      <x:c r="D9" s="100" t="n">
        <x:v>24935786.41</x:v>
      </x:c>
      <x:c r="E9" s="100" t="n">
        <x:v>24964933.75</x:v>
      </x:c>
      <x:c r="F9" s="100" t="n">
        <x:v>29147.34</x:v>
      </x:c>
      <x:c r="G9" s="107" t="n">
        <x:v>0.001169</x:v>
      </x:c>
      <x:c r="H9" s="100" t="n">
        <x:v>1203606.17</x:v>
      </x:c>
      <x:c r="J9" t="str">
        <x:v>Deerfoot Trail</x:v>
      </x:c>
      <x:c r="K9" s="139" t="n">
        <x:v>29147.34</x:v>
      </x:c>
    </x:row>
    <x:row r="10">
      <x:c r="A10" s="61" t="n">
        <x:v>4</x:v>
      </x:c>
      <x:c r="B10" s="61" t="str">
        <x:v>Springbank Off-Stream Reservoir</x:v>
      </x:c>
      <x:c r="C10" s="61" t="n">
        <x:v>35</x:v>
      </x:c>
      <x:c r="D10" s="100" t="n">
        <x:v>29608366.5</x:v>
      </x:c>
      <x:c r="E10" s="100" t="n">
        <x:v>29115790.5</x:v>
      </x:c>
      <x:c r="F10" s="100" t="n">
        <x:v>-492576</x:v>
      </x:c>
      <x:c r="G10" s="107" t="n">
        <x:v>-0.016636</x:v>
      </x:c>
      <x:c r="H10" s="100" t="n">
        <x:v>1116583.22</x:v>
      </x:c>
    </x:row>
    <x:row r="11">
      <x:c r="A11" s="61" t="n">
        <x:v>5</x:v>
      </x:c>
      <x:c r="B11" s="61" t="str">
        <x:v>Saddledome Arena Retrofit</x:v>
      </x:c>
      <x:c r="C11" s="61" t="n">
        <x:v>35</x:v>
      </x:c>
      <x:c r="D11" s="100" t="n">
        <x:v>32680933.55</x:v>
      </x:c>
      <x:c r="E11" s="100" t="n">
        <x:v>32155249.51</x:v>
      </x:c>
      <x:c r="F11" s="100" t="n">
        <x:v>-525684.04</x:v>
      </x:c>
      <x:c r="G11" s="107" t="n">
        <x:v>-0.016085</x:v>
      </x:c>
      <x:c r="H11" s="100" t="n">
        <x:v>869203.87</x:v>
      </x:c>
    </x:row>
    <x:row r="12">
      <x:c r="A12" s="61" t="n">
        <x:v>6</x:v>
      </x:c>
      <x:c r="B12" s="61" t="str">
        <x:v>Rocky View Industrial Logistics Hub</x:v>
      </x:c>
      <x:c r="C12" s="61" t="n">
        <x:v>36</x:v>
      </x:c>
      <x:c r="D12" s="100" t="n">
        <x:v>49955398.91</x:v>
      </x:c>
      <x:c r="E12" s="100" t="n">
        <x:v>48228807.73</x:v>
      </x:c>
      <x:c r="F12" s="100" t="n">
        <x:v>-1726591.18</x:v>
      </x:c>
      <x:c r="G12" s="107" t="n">
        <x:v>-0.034563</x:v>
      </x:c>
      <x:c r="H12" s="100" t="n">
        <x:v>1877249.43</x:v>
      </x:c>
    </x:row>
    <x:row r="13">
      <x:c r="A13" s="61" t="n">
        <x:v>7</x:v>
      </x:c>
      <x:c r="B13" s="61" t="str">
        <x:v>Stampede Park Infrastructure Upgrade</x:v>
      </x:c>
      <x:c r="C13" s="61" t="n">
        <x:v>47</x:v>
      </x:c>
      <x:c r="D13" s="100" t="n">
        <x:v>67622962.23</x:v>
      </x:c>
      <x:c r="E13" s="100" t="n">
        <x:v>65860643.83</x:v>
      </x:c>
      <x:c r="F13" s="100" t="n">
        <x:v>-1762318.4</x:v>
      </x:c>
      <x:c r="G13" s="107" t="n">
        <x:v>-0.026061</x:v>
      </x:c>
      <x:c r="H13" s="100" t="n">
        <x:v>1247607.08</x:v>
      </x:c>
    </x:row>
    <x:row r="14">
      <x:c r="A14" s="61" t="n">
        <x:v>8</x:v>
      </x:c>
      <x:c r="B14" s="61" t="str">
        <x:v>Foothills Medical Centre Expansion</x:v>
      </x:c>
      <x:c r="C14" s="61" t="n">
        <x:v>45</x:v>
      </x:c>
      <x:c r="D14" s="100" t="n">
        <x:v>65672122.28</x:v>
      </x:c>
      <x:c r="E14" s="100" t="n">
        <x:v>63346845.88</x:v>
      </x:c>
      <x:c r="F14" s="100" t="n">
        <x:v>-2325276.4</x:v>
      </x:c>
      <x:c r="G14" s="107" t="n">
        <x:v>-0.035407</x:v>
      </x:c>
      <x:c r="H14" s="100" t="n">
        <x:v>2159345.87</x:v>
      </x:c>
    </x:row>
    <x:row r="15">
      <x:c r="A15" s="61" t="n">
        <x:v>9</x:v>
      </x:c>
      <x:c r="B15" s="61" t="str">
        <x:v>Bow River Crossing Overpass</x:v>
      </x:c>
      <x:c r="C15" s="61" t="n">
        <x:v>46</x:v>
      </x:c>
      <x:c r="D15" s="100" t="n">
        <x:v>63804334.08</x:v>
      </x:c>
      <x:c r="E15" s="100" t="n">
        <x:v>60309902.37</x:v>
      </x:c>
      <x:c r="F15" s="100" t="n">
        <x:v>-3494431.71</x:v>
      </x:c>
      <x:c r="G15" s="107" t="n">
        <x:v>-0.054768</x:v>
      </x:c>
      <x:c r="H15" s="100" t="n">
        <x:v>1891195.62</x:v>
      </x:c>
    </x:row>
    <x:row r="16">
      <x:c r="A16" s="62" t="n">
        <x:v>10</x:v>
      </x:c>
      <x:c r="B16" s="62" t="str">
        <x:v>University District Residential Phase 3</x:v>
      </x:c>
      <x:c r="C16" s="62" t="n">
        <x:v>27</x:v>
      </x:c>
      <x:c r="D16" s="101" t="n">
        <x:v>31917997.23</x:v>
      </x:c>
      <x:c r="E16" s="101" t="n">
        <x:v>28387289.51</x:v>
      </x:c>
      <x:c r="F16" s="101" t="n">
        <x:v>-3530707.72</x:v>
      </x:c>
      <x:c r="G16" s="138" t="n">
        <x:v>-0.110618</x:v>
      </x:c>
      <x:c r="H16" s="101" t="n">
        <x:v>335740.46</x:v>
      </x:c>
    </x:row>
    <x:row r="19" ht="24" customHeight="1">
      <x:c r="A19" s="97" t="str">
        <x:v>Material Category Ranking</x:v>
      </x:c>
      <x:c r="B19" s="97" t="str">
        <x:v>Material Category Ranking</x:v>
      </x:c>
      <x:c r="C19" s="97" t="str">
        <x:v>Material Category Ranking</x:v>
      </x:c>
      <x:c r="D19" s="97" t="str">
        <x:v>Material Category Ranking</x:v>
      </x:c>
      <x:c r="E19" s="97" t="str">
        <x:v>Material Category Ranking</x:v>
      </x:c>
      <x:c r="F19" s="97" t="str">
        <x:v>Material Category Ranking</x:v>
      </x:c>
      <x:c r="G19" s="97" t="str">
        <x:v>Material Category Ranking</x:v>
      </x:c>
      <x:c r="H19" s="97" t="str">
        <x:v>Material Category Ranking</x:v>
      </x:c>
    </x:row>
    <x:row r="20" ht="30" customHeight="1">
      <x:c r="A20" s="106" t="str">
        <x:v>Rank</x:v>
      </x:c>
      <x:c r="B20" s="106" t="str">
        <x:v>Material Category</x:v>
      </x:c>
      <x:c r="C20" s="106" t="str">
        <x:v>POs</x:v>
      </x:c>
      <x:c r="D20" s="106" t="str">
        <x:v>Budget (CAD)</x:v>
      </x:c>
      <x:c r="E20" s="106" t="str">
        <x:v>PO Value (CAD)</x:v>
      </x:c>
      <x:c r="F20" s="106" t="str">
        <x:v>Net Cost Variance (CAD)</x:v>
      </x:c>
      <x:c r="G20" s="106" t="str">
        <x:v>Net Cost Variance (%)</x:v>
      </x:c>
      <x:c r="H20" s="106" t="str">
        <x:v>Gross Positive Overrun (CAD)</x:v>
      </x:c>
    </x:row>
    <x:row r="21">
      <x:c r="A21" s="60" t="n">
        <x:v>1</x:v>
      </x:c>
      <x:c r="B21" s="60" t="str">
        <x:v>Finishing</x:v>
      </x:c>
      <x:c r="C21" s="60" t="n">
        <x:v>84</x:v>
      </x:c>
      <x:c r="D21" s="136" t="n">
        <x:v>1454544.74</x:v>
      </x:c>
      <x:c r="E21" s="136" t="n">
        <x:v>1394551.53</x:v>
      </x:c>
      <x:c r="F21" s="136" t="n">
        <x:v>-59993.21</x:v>
      </x:c>
      <x:c r="G21" s="137" t="n">
        <x:v>-0.041245</x:v>
      </x:c>
      <x:c r="H21" s="136" t="n">
        <x:v>36073.62</x:v>
      </x:c>
    </x:row>
    <x:row r="22">
      <x:c r="A22" s="61" t="n">
        <x:v>2</x:v>
      </x:c>
      <x:c r="B22" s="61" t="str">
        <x:v>Concrete &amp; Structural</x:v>
      </x:c>
      <x:c r="C22" s="61" t="n">
        <x:v>59</x:v>
      </x:c>
      <x:c r="D22" s="100" t="n">
        <x:v>1713966.47</x:v>
      </x:c>
      <x:c r="E22" s="100" t="n">
        <x:v>1652618.64</x:v>
      </x:c>
      <x:c r="F22" s="100" t="n">
        <x:v>-61347.83</x:v>
      </x:c>
      <x:c r="G22" s="107" t="n">
        <x:v>-0.035793</x:v>
      </x:c>
      <x:c r="H22" s="100" t="n">
        <x:v>43547.84</x:v>
      </x:c>
    </x:row>
    <x:row r="23">
      <x:c r="A23" s="61" t="n">
        <x:v>3</x:v>
      </x:c>
      <x:c r="B23" s="61" t="str">
        <x:v>Civil Works</x:v>
      </x:c>
      <x:c r="C23" s="61" t="n">
        <x:v>77</x:v>
      </x:c>
      <x:c r="D23" s="100" t="n">
        <x:v>973127.05</x:v>
      </x:c>
      <x:c r="E23" s="100" t="n">
        <x:v>908730.54</x:v>
      </x:c>
      <x:c r="F23" s="100" t="n">
        <x:v>-64396.51</x:v>
      </x:c>
      <x:c r="G23" s="107" t="n">
        <x:v>-0.066175</x:v>
      </x:c>
      <x:c r="H23" s="100" t="n">
        <x:v>19955.87</x:v>
      </x:c>
    </x:row>
    <x:row r="24">
      <x:c r="A24" s="61" t="n">
        <x:v>4</x:v>
      </x:c>
      <x:c r="B24" s="61" t="str">
        <x:v>Safety &amp; Temp Works</x:v>
      </x:c>
      <x:c r="C24" s="61" t="n">
        <x:v>59</x:v>
      </x:c>
      <x:c r="D24" s="100" t="n">
        <x:v>37707056.12</x:v>
      </x:c>
      <x:c r="E24" s="100" t="n">
        <x:v>37265221.6</x:v>
      </x:c>
      <x:c r="F24" s="100" t="n">
        <x:v>-441834.52</x:v>
      </x:c>
      <x:c r="G24" s="107" t="n">
        <x:v>-0.011718</x:v>
      </x:c>
      <x:c r="H24" s="100" t="n">
        <x:v>1511864.52</x:v>
      </x:c>
    </x:row>
    <x:row r="25">
      <x:c r="A25" s="61" t="n">
        <x:v>5</x:v>
      </x:c>
      <x:c r="B25" s="61" t="str">
        <x:v>MEP - Mechanical</x:v>
      </x:c>
      <x:c r="C25" s="61" t="n">
        <x:v>54</x:v>
      </x:c>
      <x:c r="D25" s="100" t="n">
        <x:v>154347147.09</x:v>
      </x:c>
      <x:c r="E25" s="100" t="n">
        <x:v>148743280.03</x:v>
      </x:c>
      <x:c r="F25" s="100" t="n">
        <x:v>-5603867.06</x:v>
      </x:c>
      <x:c r="G25" s="107" t="n">
        <x:v>-0.036307</x:v>
      </x:c>
      <x:c r="H25" s="100" t="n">
        <x:v>5163221.9</x:v>
      </x:c>
    </x:row>
    <x:row r="26">
      <x:c r="A26" s="62" t="n">
        <x:v>6</x:v>
      </x:c>
      <x:c r="B26" s="62" t="str">
        <x:v>MEP - Electrical</x:v>
      </x:c>
      <x:c r="C26" s="62" t="n">
        <x:v>67</x:v>
      </x:c>
      <x:c r="D26" s="101" t="n">
        <x:v>235322998.36</x:v>
      </x:c>
      <x:c r="E26" s="101" t="n">
        <x:v>228140260.64</x:v>
      </x:c>
      <x:c r="F26" s="101" t="n">
        <x:v>-7182737.72</x:v>
      </x:c>
      <x:c r="G26" s="138" t="n">
        <x:v>-0.030523</x:v>
      </x:c>
      <x:c r="H26" s="101" t="n">
        <x:v>7191499.99</x:v>
      </x:c>
    </x:row>
    <x:row r="28">
      <x:c r="A28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B28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C28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D28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E28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F28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G28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H28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</x:row>
    <x:row r="29">
      <x:c r="A29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B29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C29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D29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E29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F29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G29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  <x:c r="H29" s="143" t="str">
        <x:v>Executive interpretation: Quarry Park, Calgary SE Ring Road, and Deerfoot Trail are the only projects with positive net cost variance. No material category is net over budget; MEP - Electrical has the largest gross positive exposure before under-budget orders offset it.</x:v>
      </x:c>
    </x:row>
  </x:sheetData>
  <x:mergeCells>
    <x:mergeCell ref="A1:Q2"/>
    <x:mergeCell ref="A3:Q4"/>
    <x:mergeCell ref="A19:H19"/>
    <x:mergeCell ref="A28:H29"/>
  </x:mergeCells>
  <x:conditionalFormatting sqref="F7:F16">
    <x:cfRule type="cellIs" dxfId="23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a71694390bb44d8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4" hidden="0" customWidth="1"/>
    <x:col min="4" max="4" width="9" hidden="0" customWidth="1"/>
    <x:col min="5" max="5" width="17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4" hidden="0" customWidth="1"/>
    <x:col min="11" max="11" width="29" hidden="0" customWidth="1"/>
    <x:col min="12" max="12" width="21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68" t="str">
        <x:v>Q2 — Suppliers Consistently Pricing Above Budget</x:v>
      </x:c>
      <x:c r="B1" s="68" t="str">
        <x:v>Q2 — Suppliers Consistently Pricing Above Budget</x:v>
      </x:c>
      <x:c r="C1" s="68" t="str">
        <x:v>Q2 — Suppliers Consistently Pricing Above Budget</x:v>
      </x:c>
      <x:c r="D1" s="68" t="str">
        <x:v>Q2 — Suppliers Consistently Pricing Above Budget</x:v>
      </x:c>
      <x:c r="E1" s="68" t="str">
        <x:v>Q2 — Suppliers Consistently Pricing Above Budget</x:v>
      </x:c>
      <x:c r="F1" s="68" t="str">
        <x:v>Q2 — Suppliers Consistently Pricing Above Budget</x:v>
      </x:c>
      <x:c r="G1" s="68" t="str">
        <x:v>Q2 — Suppliers Consistently Pricing Above Budget</x:v>
      </x:c>
      <x:c r="H1" s="68" t="str">
        <x:v>Q2 — Suppliers Consistently Pricing Above Budget</x:v>
      </x:c>
      <x:c r="I1" s="68" t="str">
        <x:v>Q2 — Suppliers Consistently Pricing Above Budget</x:v>
      </x:c>
      <x:c r="J1" s="68" t="str">
        <x:v>Q2 — Suppliers Consistently Pricing Above Budget</x:v>
      </x:c>
      <x:c r="K1" s="68" t="str">
        <x:v>Q2 — Suppliers Consistently Pricing Above Budget</x:v>
      </x:c>
      <x:c r="L1" s="68" t="str">
        <x:v>Q2 — Suppliers Consistently Pricing Above Budget</x:v>
      </x:c>
      <x:c r="M1" s="68" t="str">
        <x:v>Q2 — Suppliers Consistently Pricing Above Budget</x:v>
      </x:c>
      <x:c r="N1" s="68" t="str">
        <x:v>Q2 — Suppliers Consistently Pricing Above Budget</x:v>
      </x:c>
      <x:c r="O1" s="68" t="str">
        <x:v>Q2 — Suppliers Consistently Pricing Above Budget</x:v>
      </x:c>
      <x:c r="P1" s="68" t="str">
        <x:v>Q2 — Suppliers Consistently Pricing Above Budget</x:v>
      </x:c>
      <x:c r="Q1" s="68" t="str">
        <x:v>Q2 — Suppliers Consistently Pricing Above Budget</x:v>
      </x:c>
    </x:row>
    <x:row r="2" ht="30" customHeight="1">
      <x:c r="A2" s="68" t="str">
        <x:v>Q2 — Suppliers Consistently Pricing Above Budget</x:v>
      </x:c>
      <x:c r="B2" s="68" t="str">
        <x:v>Q2 — Suppliers Consistently Pricing Above Budget</x:v>
      </x:c>
      <x:c r="C2" s="68" t="str">
        <x:v>Q2 — Suppliers Consistently Pricing Above Budget</x:v>
      </x:c>
      <x:c r="D2" s="68" t="str">
        <x:v>Q2 — Suppliers Consistently Pricing Above Budget</x:v>
      </x:c>
      <x:c r="E2" s="68" t="str">
        <x:v>Q2 — Suppliers Consistently Pricing Above Budget</x:v>
      </x:c>
      <x:c r="F2" s="68" t="str">
        <x:v>Q2 — Suppliers Consistently Pricing Above Budget</x:v>
      </x:c>
      <x:c r="G2" s="68" t="str">
        <x:v>Q2 — Suppliers Consistently Pricing Above Budget</x:v>
      </x:c>
      <x:c r="H2" s="68" t="str">
        <x:v>Q2 — Suppliers Consistently Pricing Above Budget</x:v>
      </x:c>
      <x:c r="I2" s="68" t="str">
        <x:v>Q2 — Suppliers Consistently Pricing Above Budget</x:v>
      </x:c>
      <x:c r="J2" s="68" t="str">
        <x:v>Q2 — Suppliers Consistently Pricing Above Budget</x:v>
      </x:c>
      <x:c r="K2" s="68" t="str">
        <x:v>Q2 — Suppliers Consistently Pricing Above Budget</x:v>
      </x:c>
      <x:c r="L2" s="68" t="str">
        <x:v>Q2 — Suppliers Consistently Pricing Above Budget</x:v>
      </x:c>
      <x:c r="M2" s="68" t="str">
        <x:v>Q2 — Suppliers Consistently Pricing Above Budget</x:v>
      </x:c>
      <x:c r="N2" s="68" t="str">
        <x:v>Q2 — Suppliers Consistently Pricing Above Budget</x:v>
      </x:c>
      <x:c r="O2" s="68" t="str">
        <x:v>Q2 — Suppliers Consistently Pricing Above Budget</x:v>
      </x:c>
      <x:c r="P2" s="68" t="str">
        <x:v>Q2 — Suppliers Consistently Pricing Above Budget</x:v>
      </x:c>
      <x:c r="Q2" s="68" t="str">
        <x:v>Q2 — Suppliers Consistently Pricing Above Budget</x:v>
      </x:c>
    </x:row>
    <x:row r="3" ht="28" customHeight="1">
      <x:c r="A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B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C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D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E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F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G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H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I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J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K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L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M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N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O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P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Q3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</x:row>
    <x:row r="4" ht="28" customHeight="1">
      <x:c r="A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B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C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D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E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F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G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H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I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J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K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L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M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N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O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P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  <x:c r="Q4" s="135" t="str">
        <x:v>A supplier is consistently above budget when more than 50% of its purchase orders have positive Cost_Variance_CAD and its total Cost_Variance_CAD is positive. Qualifying suppliers are ranked by Average Variance (CAD) descending; percentage of orders above budget is the tie-breaker.</x:v>
      </x:c>
    </x:row>
    <x:row r="6" ht="30" customHeight="1">
      <x:c r="A6" s="22" t="str">
        <x:v>Rank</x:v>
      </x:c>
      <x:c r="B6" s="22" t="str">
        <x:v>Supplier</x:v>
      </x:c>
      <x:c r="C6" s="22" t="str">
        <x:v>Consistently Above Budget</x:v>
      </x:c>
      <x:c r="D6" s="22" t="str">
        <x:v>POs</x:v>
      </x:c>
      <x:c r="E6" s="22" t="str">
        <x:v>POs Above Budget</x:v>
      </x:c>
      <x:c r="F6" s="22" t="str">
        <x:v>% Orders Above Budget</x:v>
      </x:c>
      <x:c r="G6" s="22" t="str">
        <x:v>Average Variance (CAD)</x:v>
      </x:c>
      <x:c r="H6" s="22" t="str">
        <x:v>Total Variance (CAD)</x:v>
      </x:c>
      <x:c r="I6" s="22" t="str">
        <x:v>Total Variance (%)</x:v>
      </x:c>
      <x:c r="K6" s="106" t="str">
        <x:v>Qualifying Supplier</x:v>
      </x:c>
      <x:c r="L6" s="106" t="str">
        <x:v>Average Variance (CAD)</x:v>
      </x:c>
    </x:row>
    <x:row r="7">
      <x:c r="A7" s="60" t="n">
        <x:v>1</x:v>
      </x:c>
      <x:c r="B7" s="60" t="str">
        <x:v>Houle Electric</x:v>
      </x:c>
      <x:c r="C7" s="60" t="str">
        <x:v>Yes</x:v>
      </x:c>
      <x:c r="D7" s="60" t="n">
        <x:v>11</x:v>
      </x:c>
      <x:c r="E7" s="60" t="n">
        <x:v>7</x:v>
      </x:c>
      <x:c r="F7" s="137" t="n">
        <x:v>0.636364</x:v>
      </x:c>
      <x:c r="G7" s="136" t="n">
        <x:v>74583.32</x:v>
      </x:c>
      <x:c r="H7" s="136" t="n">
        <x:v>820416.48</x:v>
      </x:c>
      <x:c r="I7" s="137" t="n">
        <x:v>0.021592</x:v>
      </x:c>
      <x:c r="K7" t="str">
        <x:v>Houle Electric</x:v>
      </x:c>
      <x:c r="L7" s="139" t="n">
        <x:v>74583.32</x:v>
      </x:c>
    </x:row>
    <x:row r="8">
      <x:c r="A8" s="61" t="n">
        <x:v>2</x:v>
      </x:c>
      <x:c r="B8" s="61" t="str">
        <x:v>PCL Mechanical</x:v>
      </x:c>
      <x:c r="C8" s="61" t="str">
        <x:v>Yes</x:v>
      </x:c>
      <x:c r="D8" s="61" t="n">
        <x:v>15</x:v>
      </x:c>
      <x:c r="E8" s="61" t="n">
        <x:v>8</x:v>
      </x:c>
      <x:c r="F8" s="107" t="n">
        <x:v>0.533333</x:v>
      </x:c>
      <x:c r="G8" s="100" t="n">
        <x:v>73899.09</x:v>
      </x:c>
      <x:c r="H8" s="100" t="n">
        <x:v>1108486.32</x:v>
      </x:c>
      <x:c r="I8" s="107" t="n">
        <x:v>0.020946</x:v>
      </x:c>
      <x:c r="K8" t="str">
        <x:v>PCL Mechanical</x:v>
      </x:c>
      <x:c r="L8" s="139" t="n">
        <x:v>73899.09</x:v>
      </x:c>
    </x:row>
    <x:row r="9">
      <x:c r="A9" s="61" t="n">
        <x:v>3</x:v>
      </x:c>
      <x:c r="B9" s="61" t="str">
        <x:v>Levitt-Safety Calgary</x:v>
      </x:c>
      <x:c r="C9" s="61" t="str">
        <x:v>Yes</x:v>
      </x:c>
      <x:c r="D9" s="61" t="n">
        <x:v>13</x:v>
      </x:c>
      <x:c r="E9" s="61" t="n">
        <x:v>8</x:v>
      </x:c>
      <x:c r="F9" s="107" t="n">
        <x:v>0.615385</x:v>
      </x:c>
      <x:c r="G9" s="100" t="n">
        <x:v>7227.21</x:v>
      </x:c>
      <x:c r="H9" s="100" t="n">
        <x:v>93953.71</x:v>
      </x:c>
      <x:c r="I9" s="107" t="n">
        <x:v>0.019227</x:v>
      </x:c>
      <x:c r="K9" t="str">
        <x:v>Levitt-Safety Calgary</x:v>
      </x:c>
      <x:c r="L9" s="139" t="n">
        <x:v>7227.21</x:v>
      </x:c>
    </x:row>
    <x:row r="10">
      <x:c r="A10" s="61" t="str"/>
      <x:c r="B10" s="61" t="str">
        <x:v>Lafarge Canada - Calgary</x:v>
      </x:c>
      <x:c r="C10" s="61" t="str">
        <x:v>No</x:v>
      </x:c>
      <x:c r="D10" s="61" t="n">
        <x:v>13</x:v>
      </x:c>
      <x:c r="E10" s="61" t="n">
        <x:v>4</x:v>
      </x:c>
      <x:c r="F10" s="107" t="n">
        <x:v>0.307692</x:v>
      </x:c>
      <x:c r="G10" s="100" t="n">
        <x:v>378.21</x:v>
      </x:c>
      <x:c r="H10" s="100" t="n">
        <x:v>4916.67</x:v>
      </x:c>
      <x:c r="I10" s="107" t="n">
        <x:v>0.013887</x:v>
      </x:c>
    </x:row>
    <x:row r="11">
      <x:c r="A11" s="61" t="str"/>
      <x:c r="B11" s="61" t="str">
        <x:v>Dryvit Systems Canada</x:v>
      </x:c>
      <x:c r="C11" s="61" t="str">
        <x:v>No</x:v>
      </x:c>
      <x:c r="D11" s="61" t="n">
        <x:v>23</x:v>
      </x:c>
      <x:c r="E11" s="61" t="n">
        <x:v>13</x:v>
      </x:c>
      <x:c r="F11" s="107" t="n">
        <x:v>0.565217</x:v>
      </x:c>
      <x:c r="G11" s="100" t="n">
        <x:v>-205.3</x:v>
      </x:c>
      <x:c r="H11" s="100" t="n">
        <x:v>-4722.01</x:v>
      </x:c>
      <x:c r="I11" s="107" t="n">
        <x:v>-0.013225</x:v>
      </x:c>
    </x:row>
    <x:row r="12">
      <x:c r="A12" s="61" t="str"/>
      <x:c r="B12" s="61" t="str">
        <x:v>Kiewit Infrastructure</x:v>
      </x:c>
      <x:c r="C12" s="61" t="str">
        <x:v>No</x:v>
      </x:c>
      <x:c r="D12" s="61" t="n">
        <x:v>18</x:v>
      </x:c>
      <x:c r="E12" s="61" t="n">
        <x:v>7</x:v>
      </x:c>
      <x:c r="F12" s="107" t="n">
        <x:v>0.388889</x:v>
      </x:c>
      <x:c r="G12" s="100" t="n">
        <x:v>-530.43</x:v>
      </x:c>
      <x:c r="H12" s="100" t="n">
        <x:v>-9547.81</x:v>
      </x:c>
      <x:c r="I12" s="107" t="n">
        <x:v>-0.038785</x:v>
      </x:c>
    </x:row>
    <x:row r="13">
      <x:c r="A13" s="61" t="str"/>
      <x:c r="B13" s="61" t="str">
        <x:v>EllisDon Civil</x:v>
      </x:c>
      <x:c r="C13" s="61" t="str">
        <x:v>No</x:v>
      </x:c>
      <x:c r="D13" s="61" t="n">
        <x:v>15</x:v>
      </x:c>
      <x:c r="E13" s="61" t="n">
        <x:v>5</x:v>
      </x:c>
      <x:c r="F13" s="107" t="n">
        <x:v>0.333333</x:v>
      </x:c>
      <x:c r="G13" s="100" t="n">
        <x:v>-746.29</x:v>
      </x:c>
      <x:c r="H13" s="100" t="n">
        <x:v>-11194.36</x:v>
      </x:c>
      <x:c r="I13" s="107" t="n">
        <x:v>-0.074868</x:v>
      </x:c>
    </x:row>
    <x:row r="14">
      <x:c r="A14" s="61" t="str"/>
      <x:c r="B14" s="61" t="str">
        <x:v>Centura Tile Calgary</x:v>
      </x:c>
      <x:c r="C14" s="61" t="str">
        <x:v>No</x:v>
      </x:c>
      <x:c r="D14" s="61" t="n">
        <x:v>25</x:v>
      </x:c>
      <x:c r="E14" s="61" t="n">
        <x:v>12</x:v>
      </x:c>
      <x:c r="F14" s="107" t="n">
        <x:v>0.48</x:v>
      </x:c>
      <x:c r="G14" s="100" t="n">
        <x:v>-534.57</x:v>
      </x:c>
      <x:c r="H14" s="100" t="n">
        <x:v>-13364.18</x:v>
      </x:c>
      <x:c r="I14" s="107" t="n">
        <x:v>-0.029025</x:v>
      </x:c>
    </x:row>
    <x:row r="15">
      <x:c r="A15" s="61" t="str"/>
      <x:c r="B15" s="61" t="str">
        <x:v>Tremco Roofing</x:v>
      </x:c>
      <x:c r="C15" s="61" t="str">
        <x:v>No</x:v>
      </x:c>
      <x:c r="D15" s="61" t="n">
        <x:v>18</x:v>
      </x:c>
      <x:c r="E15" s="61" t="n">
        <x:v>7</x:v>
      </x:c>
      <x:c r="F15" s="107" t="n">
        <x:v>0.388889</x:v>
      </x:c>
      <x:c r="G15" s="100" t="n">
        <x:v>-946.14</x:v>
      </x:c>
      <x:c r="H15" s="100" t="n">
        <x:v>-17030.58</x:v>
      </x:c>
      <x:c r="I15" s="107" t="n">
        <x:v>-0.050333</x:v>
      </x:c>
    </x:row>
    <x:row r="16">
      <x:c r="A16" s="61" t="str"/>
      <x:c r="B16" s="61" t="str">
        <x:v>Ledcor Civil Alberta</x:v>
      </x:c>
      <x:c r="C16" s="61" t="str">
        <x:v>No</x:v>
      </x:c>
      <x:c r="D16" s="61" t="n">
        <x:v>25</x:v>
      </x:c>
      <x:c r="E16" s="61" t="n">
        <x:v>12</x:v>
      </x:c>
      <x:c r="F16" s="107" t="n">
        <x:v>0.48</x:v>
      </x:c>
      <x:c r="G16" s="100" t="n">
        <x:v>-792.56</x:v>
      </x:c>
      <x:c r="H16" s="100" t="n">
        <x:v>-19813.88</x:v>
      </x:c>
      <x:c r="I16" s="107" t="n">
        <x:v>-0.070172</x:v>
      </x:c>
    </x:row>
    <x:row r="17">
      <x:c r="A17" s="61" t="str"/>
      <x:c r="B17" s="61" t="str">
        <x:v>Evraz Steel Calgary</x:v>
      </x:c>
      <x:c r="C17" s="61" t="str">
        <x:v>No</x:v>
      </x:c>
      <x:c r="D17" s="61" t="n">
        <x:v>16</x:v>
      </x:c>
      <x:c r="E17" s="61" t="n">
        <x:v>9</x:v>
      </x:c>
      <x:c r="F17" s="107" t="n">
        <x:v>0.5625</x:v>
      </x:c>
      <x:c r="G17" s="100" t="n">
        <x:v>-1255.07</x:v>
      </x:c>
      <x:c r="H17" s="100" t="n">
        <x:v>-20081.14</x:v>
      </x:c>
      <x:c r="I17" s="107" t="n">
        <x:v>-0.038065</x:v>
      </x:c>
    </x:row>
    <x:row r="18">
      <x:c r="A18" s="61" t="str"/>
      <x:c r="B18" s="61" t="str">
        <x:v>Alberta Precast</x:v>
      </x:c>
      <x:c r="C18" s="61" t="str">
        <x:v>No</x:v>
      </x:c>
      <x:c r="D18" s="61" t="n">
        <x:v>18</x:v>
      </x:c>
      <x:c r="E18" s="61" t="n">
        <x:v>7</x:v>
      </x:c>
      <x:c r="F18" s="107" t="n">
        <x:v>0.388889</x:v>
      </x:c>
      <x:c r="G18" s="100" t="n">
        <x:v>-1276.56</x:v>
      </x:c>
      <x:c r="H18" s="100" t="n">
        <x:v>-22978.08</x:v>
      </x:c>
      <x:c r="I18" s="107" t="n">
        <x:v>-0.044628</x:v>
      </x:c>
    </x:row>
    <x:row r="19">
      <x:c r="A19" s="61" t="str"/>
      <x:c r="B19" s="61" t="str">
        <x:v>Inland Concrete</x:v>
      </x:c>
      <x:c r="C19" s="61" t="str">
        <x:v>No</x:v>
      </x:c>
      <x:c r="D19" s="61" t="n">
        <x:v>12</x:v>
      </x:c>
      <x:c r="E19" s="61" t="n">
        <x:v>2</x:v>
      </x:c>
      <x:c r="F19" s="107" t="n">
        <x:v>0.166667</x:v>
      </x:c>
      <x:c r="G19" s="100" t="n">
        <x:v>-1933.77</x:v>
      </x:c>
      <x:c r="H19" s="100" t="n">
        <x:v>-23205.28</x:v>
      </x:c>
      <x:c r="I19" s="107" t="n">
        <x:v>-0.073091</x:v>
      </x:c>
    </x:row>
    <x:row r="20">
      <x:c r="A20" s="61" t="str"/>
      <x:c r="B20" s="61" t="str">
        <x:v>Graham Construction</x:v>
      </x:c>
      <x:c r="C20" s="61" t="str">
        <x:v>No</x:v>
      </x:c>
      <x:c r="D20" s="61" t="n">
        <x:v>19</x:v>
      </x:c>
      <x:c r="E20" s="61" t="n">
        <x:v>4</x:v>
      </x:c>
      <x:c r="F20" s="107" t="n">
        <x:v>0.210526</x:v>
      </x:c>
      <x:c r="G20" s="100" t="n">
        <x:v>-1254.76</x:v>
      </x:c>
      <x:c r="H20" s="100" t="n">
        <x:v>-23840.46</x:v>
      </x:c>
      <x:c r="I20" s="107" t="n">
        <x:v>-0.080796</x:v>
      </x:c>
    </x:row>
    <x:row r="21">
      <x:c r="A21" s="61" t="str"/>
      <x:c r="B21" s="61" t="str">
        <x:v>Armstrong World Industries</x:v>
      </x:c>
      <x:c r="C21" s="61" t="str">
        <x:v>No</x:v>
      </x:c>
      <x:c r="D21" s="61" t="n">
        <x:v>18</x:v>
      </x:c>
      <x:c r="E21" s="61" t="n">
        <x:v>4</x:v>
      </x:c>
      <x:c r="F21" s="107" t="n">
        <x:v>0.222222</x:v>
      </x:c>
      <x:c r="G21" s="100" t="n">
        <x:v>-1382.02</x:v>
      </x:c>
      <x:c r="H21" s="100" t="n">
        <x:v>-24876.44</x:v>
      </x:c>
      <x:c r="I21" s="107" t="n">
        <x:v>-0.083281</x:v>
      </x:c>
    </x:row>
    <x:row r="22">
      <x:c r="A22" s="61" t="str"/>
      <x:c r="B22" s="61" t="str">
        <x:v>BrandSafway Canada</x:v>
      </x:c>
      <x:c r="C22" s="61" t="str">
        <x:v>No</x:v>
      </x:c>
      <x:c r="D22" s="61" t="n">
        <x:v>13</x:v>
      </x:c>
      <x:c r="E22" s="61" t="n">
        <x:v>6</x:v>
      </x:c>
      <x:c r="F22" s="107" t="n">
        <x:v>0.461538</x:v>
      </x:c>
      <x:c r="G22" s="100" t="n">
        <x:v>-10038.7</x:v>
      </x:c>
      <x:c r="H22" s="100" t="n">
        <x:v>-130503.15</x:v>
      </x:c>
      <x:c r="I22" s="107" t="n">
        <x:v>-0.013779</x:v>
      </x:c>
    </x:row>
    <x:row r="23">
      <x:c r="A23" s="61" t="str"/>
      <x:c r="B23" s="61" t="str">
        <x:v>Sunbelt Rentals Canada</x:v>
      </x:c>
      <x:c r="C23" s="61" t="str">
        <x:v>No</x:v>
      </x:c>
      <x:c r="D23" s="61" t="n">
        <x:v>15</x:v>
      </x:c>
      <x:c r="E23" s="61" t="n">
        <x:v>5</x:v>
      </x:c>
      <x:c r="F23" s="107" t="n">
        <x:v>0.333333</x:v>
      </x:c>
      <x:c r="G23" s="100" t="n">
        <x:v>-10937.37</x:v>
      </x:c>
      <x:c r="H23" s="100" t="n">
        <x:v>-164060.54</x:v>
      </x:c>
      <x:c r="I23" s="107" t="n">
        <x:v>-0.015143</x:v>
      </x:c>
    </x:row>
    <x:row r="24">
      <x:c r="A24" s="61" t="str"/>
      <x:c r="B24" s="61" t="str">
        <x:v>Safway Alberta</x:v>
      </x:c>
      <x:c r="C24" s="61" t="str">
        <x:v>No</x:v>
      </x:c>
      <x:c r="D24" s="61" t="n">
        <x:v>18</x:v>
      </x:c>
      <x:c r="E24" s="61" t="n">
        <x:v>6</x:v>
      </x:c>
      <x:c r="F24" s="107" t="n">
        <x:v>0.333333</x:v>
      </x:c>
      <x:c r="G24" s="100" t="n">
        <x:v>-13401.36</x:v>
      </x:c>
      <x:c r="H24" s="100" t="n">
        <x:v>-241224.54</x:v>
      </x:c>
      <x:c r="I24" s="107" t="n">
        <x:v>-0.019274</x:v>
      </x:c>
    </x:row>
    <x:row r="25">
      <x:c r="A25" s="61" t="str"/>
      <x:c r="B25" s="61" t="str">
        <x:v>Ainsworth Inc.</x:v>
      </x:c>
      <x:c r="C25" s="61" t="str">
        <x:v>No</x:v>
      </x:c>
      <x:c r="D25" s="61" t="n">
        <x:v>10</x:v>
      </x:c>
      <x:c r="E25" s="61" t="n">
        <x:v>2</x:v>
      </x:c>
      <x:c r="F25" s="107" t="n">
        <x:v>0.2</x:v>
      </x:c>
      <x:c r="G25" s="100" t="n">
        <x:v>-108114.63</x:v>
      </x:c>
      <x:c r="H25" s="100" t="n">
        <x:v>-1081146.31</x:v>
      </x:c>
      <x:c r="I25" s="107" t="n">
        <x:v>-0.050866</x:v>
      </x:c>
    </x:row>
    <x:row r="26">
      <x:c r="A26" s="61" t="str"/>
      <x:c r="B26" s="61" t="str">
        <x:v>Johnson Controls Alberta</x:v>
      </x:c>
      <x:c r="C26" s="61" t="str">
        <x:v>No</x:v>
      </x:c>
      <x:c r="D26" s="61" t="n">
        <x:v>10</x:v>
      </x:c>
      <x:c r="E26" s="61" t="n">
        <x:v>3</x:v>
      </x:c>
      <x:c r="F26" s="107" t="n">
        <x:v>0.3</x:v>
      </x:c>
      <x:c r="G26" s="100" t="n">
        <x:v>-136640.16</x:v>
      </x:c>
      <x:c r="H26" s="100" t="n">
        <x:v>-1366401.6</x:v>
      </x:c>
      <x:c r="I26" s="107" t="n">
        <x:v>-0.041167</x:v>
      </x:c>
    </x:row>
    <x:row r="27">
      <x:c r="A27" s="61" t="str"/>
      <x:c r="B27" s="61" t="str">
        <x:v>Schneider Electric Canada</x:v>
      </x:c>
      <x:c r="C27" s="61" t="str">
        <x:v>No</x:v>
      </x:c>
      <x:c r="D27" s="61" t="n">
        <x:v>18</x:v>
      </x:c>
      <x:c r="E27" s="61" t="n">
        <x:v>12</x:v>
      </x:c>
      <x:c r="F27" s="107" t="n">
        <x:v>0.666667</x:v>
      </x:c>
      <x:c r="G27" s="100" t="n">
        <x:v>-78439.36</x:v>
      </x:c>
      <x:c r="H27" s="100" t="n">
        <x:v>-1411908.53</x:v>
      </x:c>
      <x:c r="I27" s="107" t="n">
        <x:v>-0.02226</x:v>
      </x:c>
    </x:row>
    <x:row r="28">
      <x:c r="A28" s="61" t="str"/>
      <x:c r="B28" s="61" t="str">
        <x:v>Stuart Olson Electrical</x:v>
      </x:c>
      <x:c r="C28" s="61" t="str">
        <x:v>No</x:v>
      </x:c>
      <x:c r="D28" s="61" t="n">
        <x:v>20</x:v>
      </x:c>
      <x:c r="E28" s="61" t="n">
        <x:v>9</x:v>
      </x:c>
      <x:c r="F28" s="107" t="n">
        <x:v>0.45</x:v>
      </x:c>
      <x:c r="G28" s="100" t="n">
        <x:v>-101675.68</x:v>
      </x:c>
      <x:c r="H28" s="100" t="n">
        <x:v>-2033513.55</x:v>
      </x:c>
      <x:c r="I28" s="107" t="n">
        <x:v>-0.02723</x:v>
      </x:c>
    </x:row>
    <x:row r="29">
      <x:c r="A29" s="61" t="str"/>
      <x:c r="B29" s="61" t="str">
        <x:v>Stantec MEP</x:v>
      </x:c>
      <x:c r="C29" s="61" t="str">
        <x:v>No</x:v>
      </x:c>
      <x:c r="D29" s="61" t="n">
        <x:v>19</x:v>
      </x:c>
      <x:c r="E29" s="61" t="n">
        <x:v>7</x:v>
      </x:c>
      <x:c r="F29" s="107" t="n">
        <x:v>0.368421</x:v>
      </x:c>
      <x:c r="G29" s="100" t="n">
        <x:v>-224463.45</x:v>
      </x:c>
      <x:c r="H29" s="100" t="n">
        <x:v>-4264805.47</x:v>
      </x:c>
      <x:c r="I29" s="107" t="n">
        <x:v>-0.090782</x:v>
      </x:c>
    </x:row>
    <x:row r="30">
      <x:c r="A30" s="62" t="str"/>
      <x:c r="B30" s="62" t="str">
        <x:v>Flint Energy Services</x:v>
      </x:c>
      <x:c r="C30" s="62" t="str">
        <x:v>No</x:v>
      </x:c>
      <x:c r="D30" s="62" t="n">
        <x:v>18</x:v>
      </x:c>
      <x:c r="E30" s="62" t="n">
        <x:v>4</x:v>
      </x:c>
      <x:c r="F30" s="138" t="n">
        <x:v>0.222222</x:v>
      </x:c>
      <x:c r="G30" s="101" t="n">
        <x:v>-253207.34</x:v>
      </x:c>
      <x:c r="H30" s="101" t="n">
        <x:v>-4557732.12</x:v>
      </x:c>
      <x:c r="I30" s="138" t="n">
        <x:v>-0.07696</x:v>
      </x:c>
    </x:row>
    <x:row r="32">
      <x:c r="A32" s="143" t="str">
        <x:v>Executive interpretation: Houle Electric, PCL Mechanical, and Levitt-Safety Calgary satisfy both the majority-of-orders and net-positive tests. Their combined net positive variance is $2,022,856.51.</x:v>
      </x:c>
      <x:c r="B32" s="143" t="str">
        <x:v>Executive interpretation: Houle Electric, PCL Mechanical, and Levitt-Safety Calgary satisfy both the majority-of-orders and net-positive tests. Their combined net positive variance is $2,022,856.51.</x:v>
      </x:c>
      <x:c r="C32" s="143" t="str">
        <x:v>Executive interpretation: Houle Electric, PCL Mechanical, and Levitt-Safety Calgary satisfy both the majority-of-orders and net-positive tests. Their combined net positive variance is $2,022,856.51.</x:v>
      </x:c>
      <x:c r="D32" s="143" t="str">
        <x:v>Executive interpretation: Houle Electric, PCL Mechanical, and Levitt-Safety Calgary satisfy both the majority-of-orders and net-positive tests. Their combined net positive variance is $2,022,856.51.</x:v>
      </x:c>
      <x:c r="E32" s="143" t="str">
        <x:v>Executive interpretation: Houle Electric, PCL Mechanical, and Levitt-Safety Calgary satisfy both the majority-of-orders and net-positive tests. Their combined net positive variance is $2,022,856.51.</x:v>
      </x:c>
      <x:c r="F32" s="143" t="str">
        <x:v>Executive interpretation: Houle Electric, PCL Mechanical, and Levitt-Safety Calgary satisfy both the majority-of-orders and net-positive tests. Their combined net positive variance is $2,022,856.51.</x:v>
      </x:c>
      <x:c r="G32" s="143" t="str">
        <x:v>Executive interpretation: Houle Electric, PCL Mechanical, and Levitt-Safety Calgary satisfy both the majority-of-orders and net-positive tests. Their combined net positive variance is $2,022,856.51.</x:v>
      </x:c>
      <x:c r="H32" s="143" t="str">
        <x:v>Executive interpretation: Houle Electric, PCL Mechanical, and Levitt-Safety Calgary satisfy both the majority-of-orders and net-positive tests. Their combined net positive variance is $2,022,856.51.</x:v>
      </x:c>
      <x:c r="I32" s="143" t="str">
        <x:v>Executive interpretation: Houle Electric, PCL Mechanical, and Levitt-Safety Calgary satisfy both the majority-of-orders and net-positive tests. Their combined net positive variance is $2,022,856.51.</x:v>
      </x:c>
    </x:row>
    <x:row r="33">
      <x:c r="A33" s="143" t="str">
        <x:v>Executive interpretation: Houle Electric, PCL Mechanical, and Levitt-Safety Calgary satisfy both the majority-of-orders and net-positive tests. Their combined net positive variance is $2,022,856.51.</x:v>
      </x:c>
      <x:c r="B33" s="143" t="str">
        <x:v>Executive interpretation: Houle Electric, PCL Mechanical, and Levitt-Safety Calgary satisfy both the majority-of-orders and net-positive tests. Their combined net positive variance is $2,022,856.51.</x:v>
      </x:c>
      <x:c r="C33" s="143" t="str">
        <x:v>Executive interpretation: Houle Electric, PCL Mechanical, and Levitt-Safety Calgary satisfy both the majority-of-orders and net-positive tests. Their combined net positive variance is $2,022,856.51.</x:v>
      </x:c>
      <x:c r="D33" s="143" t="str">
        <x:v>Executive interpretation: Houle Electric, PCL Mechanical, and Levitt-Safety Calgary satisfy both the majority-of-orders and net-positive tests. Their combined net positive variance is $2,022,856.51.</x:v>
      </x:c>
      <x:c r="E33" s="143" t="str">
        <x:v>Executive interpretation: Houle Electric, PCL Mechanical, and Levitt-Safety Calgary satisfy both the majority-of-orders and net-positive tests. Their combined net positive variance is $2,022,856.51.</x:v>
      </x:c>
      <x:c r="F33" s="143" t="str">
        <x:v>Executive interpretation: Houle Electric, PCL Mechanical, and Levitt-Safety Calgary satisfy both the majority-of-orders and net-positive tests. Their combined net positive variance is $2,022,856.51.</x:v>
      </x:c>
      <x:c r="G33" s="143" t="str">
        <x:v>Executive interpretation: Houle Electric, PCL Mechanical, and Levitt-Safety Calgary satisfy both the majority-of-orders and net-positive tests. Their combined net positive variance is $2,022,856.51.</x:v>
      </x:c>
      <x:c r="H33" s="143" t="str">
        <x:v>Executive interpretation: Houle Electric, PCL Mechanical, and Levitt-Safety Calgary satisfy both the majority-of-orders and net-positive tests. Their combined net positive variance is $2,022,856.51.</x:v>
      </x:c>
      <x:c r="I33" s="143" t="str">
        <x:v>Executive interpretation: Houle Electric, PCL Mechanical, and Levitt-Safety Calgary satisfy both the majority-of-orders and net-positive tests. Their combined net positive variance is $2,022,856.51.</x:v>
      </x:c>
    </x:row>
  </x:sheetData>
  <x:mergeCells>
    <x:mergeCell ref="A1:Q2"/>
    <x:mergeCell ref="A3:Q4"/>
    <x:mergeCell ref="A32:I33"/>
  </x:mergeCells>
  <x:conditionalFormatting sqref="C7:C30">
    <x:cfRule type="containsText" dxfId="24" priority="1" operator="containsText" text="Yes"/>
  </x:conditionalFormatting>
  <x:pageMargins left="0.7" right="0.7" top="0.75" bottom="0.75" header="0.3" footer="0.3"/>
  <x:drawing xmlns:r="http://schemas.openxmlformats.org/officeDocument/2006/relationships" r:id="Rda0a364e456a46f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9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23" hidden="0" customWidth="1"/>
    <x:col min="9" max="9" width="22" hidden="0" customWidth="1"/>
    <x:col min="10" max="10" width="4" hidden="0" customWidth="1"/>
    <x:col min="11" max="11" width="27" hidden="0" customWidth="1"/>
    <x:col min="12" max="12" width="21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68" t="str">
        <x:v>Q3 — Does Procurement Method Affect Cost Variance?</x:v>
      </x:c>
      <x:c r="B1" s="68" t="str">
        <x:v>Q3 — Does Procurement Method Affect Cost Variance?</x:v>
      </x:c>
      <x:c r="C1" s="68" t="str">
        <x:v>Q3 — Does Procurement Method Affect Cost Variance?</x:v>
      </x:c>
      <x:c r="D1" s="68" t="str">
        <x:v>Q3 — Does Procurement Method Affect Cost Variance?</x:v>
      </x:c>
      <x:c r="E1" s="68" t="str">
        <x:v>Q3 — Does Procurement Method Affect Cost Variance?</x:v>
      </x:c>
      <x:c r="F1" s="68" t="str">
        <x:v>Q3 — Does Procurement Method Affect Cost Variance?</x:v>
      </x:c>
      <x:c r="G1" s="68" t="str">
        <x:v>Q3 — Does Procurement Method Affect Cost Variance?</x:v>
      </x:c>
      <x:c r="H1" s="68" t="str">
        <x:v>Q3 — Does Procurement Method Affect Cost Variance?</x:v>
      </x:c>
      <x:c r="I1" s="68" t="str">
        <x:v>Q3 — Does Procurement Method Affect Cost Variance?</x:v>
      </x:c>
      <x:c r="J1" s="68" t="str">
        <x:v>Q3 — Does Procurement Method Affect Cost Variance?</x:v>
      </x:c>
      <x:c r="K1" s="68" t="str">
        <x:v>Q3 — Does Procurement Method Affect Cost Variance?</x:v>
      </x:c>
      <x:c r="L1" s="68" t="str">
        <x:v>Q3 — Does Procurement Method Affect Cost Variance?</x:v>
      </x:c>
      <x:c r="M1" s="68" t="str">
        <x:v>Q3 — Does Procurement Method Affect Cost Variance?</x:v>
      </x:c>
      <x:c r="N1" s="68" t="str">
        <x:v>Q3 — Does Procurement Method Affect Cost Variance?</x:v>
      </x:c>
      <x:c r="O1" s="68" t="str">
        <x:v>Q3 — Does Procurement Method Affect Cost Variance?</x:v>
      </x:c>
      <x:c r="P1" s="68" t="str">
        <x:v>Q3 — Does Procurement Method Affect Cost Variance?</x:v>
      </x:c>
      <x:c r="Q1" s="68" t="str">
        <x:v>Q3 — Does Procurement Method Affect Cost Variance?</x:v>
      </x:c>
    </x:row>
    <x:row r="2" ht="30" customHeight="1">
      <x:c r="A2" s="68" t="str">
        <x:v>Q3 — Does Procurement Method Affect Cost Variance?</x:v>
      </x:c>
      <x:c r="B2" s="68" t="str">
        <x:v>Q3 — Does Procurement Method Affect Cost Variance?</x:v>
      </x:c>
      <x:c r="C2" s="68" t="str">
        <x:v>Q3 — Does Procurement Method Affect Cost Variance?</x:v>
      </x:c>
      <x:c r="D2" s="68" t="str">
        <x:v>Q3 — Does Procurement Method Affect Cost Variance?</x:v>
      </x:c>
      <x:c r="E2" s="68" t="str">
        <x:v>Q3 — Does Procurement Method Affect Cost Variance?</x:v>
      </x:c>
      <x:c r="F2" s="68" t="str">
        <x:v>Q3 — Does Procurement Method Affect Cost Variance?</x:v>
      </x:c>
      <x:c r="G2" s="68" t="str">
        <x:v>Q3 — Does Procurement Method Affect Cost Variance?</x:v>
      </x:c>
      <x:c r="H2" s="68" t="str">
        <x:v>Q3 — Does Procurement Method Affect Cost Variance?</x:v>
      </x:c>
      <x:c r="I2" s="68" t="str">
        <x:v>Q3 — Does Procurement Method Affect Cost Variance?</x:v>
      </x:c>
      <x:c r="J2" s="68" t="str">
        <x:v>Q3 — Does Procurement Method Affect Cost Variance?</x:v>
      </x:c>
      <x:c r="K2" s="68" t="str">
        <x:v>Q3 — Does Procurement Method Affect Cost Variance?</x:v>
      </x:c>
      <x:c r="L2" s="68" t="str">
        <x:v>Q3 — Does Procurement Method Affect Cost Variance?</x:v>
      </x:c>
      <x:c r="M2" s="68" t="str">
        <x:v>Q3 — Does Procurement Method Affect Cost Variance?</x:v>
      </x:c>
      <x:c r="N2" s="68" t="str">
        <x:v>Q3 — Does Procurement Method Affect Cost Variance?</x:v>
      </x:c>
      <x:c r="O2" s="68" t="str">
        <x:v>Q3 — Does Procurement Method Affect Cost Variance?</x:v>
      </x:c>
      <x:c r="P2" s="68" t="str">
        <x:v>Q3 — Does Procurement Method Affect Cost Variance?</x:v>
      </x:c>
      <x:c r="Q2" s="68" t="str">
        <x:v>Q3 — Does Procurement Method Affect Cost Variance?</x:v>
      </x:c>
    </x:row>
    <x:row r="3" ht="28" customHeight="1">
      <x:c r="A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B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C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D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E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F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G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H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I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J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K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L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M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N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O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P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Q3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</x:row>
    <x:row r="4" ht="28" customHeight="1">
      <x:c r="A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B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C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D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E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F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G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H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I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J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K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L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M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N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O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P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  <x:c r="Q4" s="135" t="str">
        <x:v>Descriptive statistics are calculated from Cost_Variance_CAD by Procurement_Method. Because order sizes differ, the inferential test uses row-level Variance_% to compare methods on a normalized basis. Invitational procurement is not present in the dataset.</x:v>
      </x:c>
    </x:row>
    <x:row r="6" ht="30" customHeight="1">
      <x:c r="A6" s="22" t="str">
        <x:v>Reporting Label</x:v>
      </x:c>
      <x:c r="B6" s="22" t="str">
        <x:v>Dataset Value</x:v>
      </x:c>
      <x:c r="C6" s="22" t="str">
        <x:v>POs</x:v>
      </x:c>
      <x:c r="D6" s="22" t="str">
        <x:v>Total Variance (CAD)</x:v>
      </x:c>
      <x:c r="E6" s="22" t="str">
        <x:v>Net Variance (%)</x:v>
      </x:c>
      <x:c r="F6" s="22" t="str">
        <x:v>Average Variance (CAD)</x:v>
      </x:c>
      <x:c r="G6" s="22" t="str">
        <x:v>Median Variance (CAD)</x:v>
      </x:c>
      <x:c r="H6" s="22" t="str">
        <x:v>Std. Dev. Variance (CAD)</x:v>
      </x:c>
      <x:c r="I6" s="22" t="str">
        <x:v>Average Row Variance (%)</x:v>
      </x:c>
      <x:c r="K6" s="106" t="str">
        <x:v>Procurement Method</x:v>
      </x:c>
      <x:c r="L6" s="106" t="str">
        <x:v>Average Row Variance (%)</x:v>
      </x:c>
    </x:row>
    <x:row r="7">
      <x:c r="A7" s="60" t="str">
        <x:v>3-Quote Comparison</x:v>
      </x:c>
      <x:c r="B7" s="60" t="str">
        <x:v>3-Quote Comparison</x:v>
      </x:c>
      <x:c r="C7" s="60" t="n">
        <x:v>80</x:v>
      </x:c>
      <x:c r="D7" s="136" t="n">
        <x:v>-3557430.96</x:v>
      </x:c>
      <x:c r="E7" s="137" t="n">
        <x:v>-0.036194</x:v>
      </x:c>
      <x:c r="F7" s="136" t="n">
        <x:v>-44467.89</x:v>
      </x:c>
      <x:c r="G7" s="136" t="n">
        <x:v>-506.88</x:v>
      </x:c>
      <x:c r="H7" s="136" t="n">
        <x:v>321525.23</x:v>
      </x:c>
      <x:c r="I7" s="137" t="n">
        <x:v>-0.023525</x:v>
      </x:c>
      <x:c r="K7" t="str">
        <x:v>3-Quote Comparison</x:v>
      </x:c>
      <x:c r="L7" s="144" t="n">
        <x:v>-0.023525</x:v>
      </x:c>
    </x:row>
    <x:row r="8">
      <x:c r="A8" s="61" t="str">
        <x:v>Direct Award</x:v>
      </x:c>
      <x:c r="B8" s="61" t="str">
        <x:v>LPO – Direct Award</x:v>
      </x:c>
      <x:c r="C8" s="61" t="n">
        <x:v>87</x:v>
      </x:c>
      <x:c r="D8" s="100" t="n">
        <x:v>-1860303.93</x:v>
      </x:c>
      <x:c r="E8" s="107" t="n">
        <x:v>-0.021395</x:v>
      </x:c>
      <x:c r="F8" s="100" t="n">
        <x:v>-21382.8</x:v>
      </x:c>
      <x:c r="G8" s="100" t="n">
        <x:v>-374.33</x:v>
      </x:c>
      <x:c r="H8" s="100" t="n">
        <x:v>237596.53</x:v>
      </x:c>
      <x:c r="I8" s="107" t="n">
        <x:v>-0.02521839</x:v>
      </x:c>
      <x:c r="K8" t="str">
        <x:v>Direct Award</x:v>
      </x:c>
      <x:c r="L8" s="144" t="n">
        <x:v>-0.02521839</x:v>
      </x:c>
    </x:row>
    <x:row r="9">
      <x:c r="A9" s="61" t="str">
        <x:v>Emergency Procurement</x:v>
      </x:c>
      <x:c r="B9" s="61" t="str">
        <x:v>Emergency Procurement</x:v>
      </x:c>
      <x:c r="C9" s="61" t="n">
        <x:v>76</x:v>
      </x:c>
      <x:c r="D9" s="100" t="n">
        <x:v>-2208024.04</x:v>
      </x:c>
      <x:c r="E9" s="107" t="n">
        <x:v>-0.027572</x:v>
      </x:c>
      <x:c r="F9" s="100" t="n">
        <x:v>-29052.95</x:v>
      </x:c>
      <x:c r="G9" s="100" t="n">
        <x:v>-556.82</x:v>
      </x:c>
      <x:c r="H9" s="100" t="n">
        <x:v>210435.48</x:v>
      </x:c>
      <x:c r="I9" s="107" t="n">
        <x:v>-0.02092105</x:v>
      </x:c>
      <x:c r="K9" t="str">
        <x:v>Emergency Procurement</x:v>
      </x:c>
      <x:c r="L9" s="144" t="n">
        <x:v>-0.02092105</x:v>
      </x:c>
    </x:row>
    <x:row r="10">
      <x:c r="A10" s="61" t="str">
        <x:v>Open Tender</x:v>
      </x:c>
      <x:c r="B10" s="61" t="str">
        <x:v>Tender – Open</x:v>
      </x:c>
      <x:c r="C10" s="61" t="n">
        <x:v>76</x:v>
      </x:c>
      <x:c r="D10" s="100" t="n">
        <x:v>-2039038.8</x:v>
      </x:c>
      <x:c r="E10" s="107" t="n">
        <x:v>-0.029479</x:v>
      </x:c>
      <x:c r="F10" s="100" t="n">
        <x:v>-26829.46</x:v>
      </x:c>
      <x:c r="G10" s="100" t="n">
        <x:v>-682.58</x:v>
      </x:c>
      <x:c r="H10" s="100" t="n">
        <x:v>200547.81</x:v>
      </x:c>
      <x:c r="I10" s="107" t="n">
        <x:v>-0.03435526</x:v>
      </x:c>
      <x:c r="K10" t="str">
        <x:v>Open Tender</x:v>
      </x:c>
      <x:c r="L10" s="144" t="n">
        <x:v>-0.03435526</x:v>
      </x:c>
    </x:row>
    <x:row r="11">
      <x:c r="A11" s="62" t="str">
        <x:v>Standing Offer</x:v>
      </x:c>
      <x:c r="B11" s="62" t="str">
        <x:v>Standing Offer Agreement</x:v>
      </x:c>
      <x:c r="C11" s="62" t="n">
        <x:v>81</x:v>
      </x:c>
      <x:c r="D11" s="101" t="n">
        <x:v>-3749379.12</x:v>
      </x:c>
      <x:c r="E11" s="138" t="n">
        <x:v>-0.038642</x:v>
      </x:c>
      <x:c r="F11" s="101" t="n">
        <x:v>-46288.63</x:v>
      </x:c>
      <x:c r="G11" s="101" t="n">
        <x:v>-376.29</x:v>
      </x:c>
      <x:c r="H11" s="101" t="n">
        <x:v>225230.78</x:v>
      </x:c>
      <x:c r="I11" s="138" t="n">
        <x:v>-0.03406173</x:v>
      </x:c>
      <x:c r="K11" t="str">
        <x:v>Standing Offer</x:v>
      </x:c>
      <x:c r="L11" s="144" t="n">
        <x:v>-0.03406173</x:v>
      </x:c>
    </x:row>
    <x:row r="14" ht="24" customHeight="1">
      <x:c r="A14" s="97" t="str">
        <x:v>Independent Statistical Tests</x:v>
      </x:c>
      <x:c r="B14" s="97" t="str">
        <x:v>Independent Statistical Tests</x:v>
      </x:c>
      <x:c r="C14" s="97" t="str">
        <x:v>Independent Statistical Tests</x:v>
      </x:c>
      <x:c r="D14" s="97" t="str">
        <x:v>Independent Statistical Tests</x:v>
      </x:c>
      <x:c r="E14" s="97" t="str">
        <x:v>Independent Statistical Tests</x:v>
      </x:c>
    </x:row>
    <x:row r="15" ht="30" customHeight="1">
      <x:c r="A15" s="106" t="str">
        <x:v>Test</x:v>
      </x:c>
      <x:c r="B15" s="106" t="str">
        <x:v>Method 1</x:v>
      </x:c>
      <x:c r="C15" s="106" t="str">
        <x:v>Method 2</x:v>
      </x:c>
      <x:c r="D15" s="106" t="str">
        <x:v>Validation</x:v>
      </x:c>
      <x:c r="E15" s="106" t="str">
        <x:v>Interpretation</x:v>
      </x:c>
    </x:row>
    <x:row r="16">
      <x:c r="A16" s="60" t="str">
        <x:v>ANOVA F — row Variance_%</x:v>
      </x:c>
      <x:c r="B16" s="108" t="n">
        <x:v>0.2753066115892565</x:v>
      </x:c>
      <x:c r="C16" s="108" t="n">
        <x:v>0.2753066115892565</x:v>
      </x:c>
      <x:c r="D16" s="60" t="str">
        <x:v>MATCH</x:v>
      </x:c>
      <x:c r="E16" s="60" t="str">
        <x:v>Independent calculations agree.</x:v>
      </x:c>
    </x:row>
    <x:row r="17">
      <x:c r="A17" s="61" t="str">
        <x:v>ANOVA p-value — row Variance_%</x:v>
      </x:c>
      <x:c r="B17" s="109" t="n">
        <x:v>0.8938794631550717</x:v>
      </x:c>
      <x:c r="C17" s="109" t="n">
        <x:v>0.8938794631550717</x:v>
      </x:c>
      <x:c r="D17" s="61" t="str">
        <x:v>MATCH</x:v>
      </x:c>
      <x:c r="E17" s="61" t="str">
        <x:v>No statistically detectable method difference at α = 0.05.</x:v>
      </x:c>
    </x:row>
    <x:row r="18">
      <x:c r="A18" s="61" t="str">
        <x:v>Eta squared — row Variance_%</x:v>
      </x:c>
      <x:c r="B18" s="109" t="n">
        <x:v>0.0027801641924634695</x:v>
      </x:c>
      <x:c r="C18" s="109" t="n">
        <x:v>0.0027801641924634695</x:v>
      </x:c>
      <x:c r="D18" s="61" t="str">
        <x:v>MATCH</x:v>
      </x:c>
      <x:c r="E18" s="61" t="str">
        <x:v>Procurement method explains approximately 0.28% of row-level variance.</x:v>
      </x:c>
    </x:row>
    <x:row r="19">
      <x:c r="A19" s="61" t="str">
        <x:v>Kruskal-Wallis H — row Variance_%</x:v>
      </x:c>
      <x:c r="B19" s="109" t="n">
        <x:v>1.2015687978610072</x:v>
      </x:c>
      <x:c r="C19" s="109" t="n">
        <x:v>1.2015687978610072</x:v>
      </x:c>
      <x:c r="D19" s="61" t="str">
        <x:v>MATCH</x:v>
      </x:c>
      <x:c r="E19" s="61" t="str">
        <x:v>Independent calculations agree.</x:v>
      </x:c>
    </x:row>
    <x:row r="20">
      <x:c r="A20" s="61" t="str">
        <x:v>Kruskal-Wallis p-value — row Variance_%</x:v>
      </x:c>
      <x:c r="B20" s="109" t="n">
        <x:v>0.8778402579212353</x:v>
      </x:c>
      <x:c r="C20" s="109" t="n">
        <x:v>0.8778402579212353</x:v>
      </x:c>
      <x:c r="D20" s="61" t="str">
        <x:v>MATCH</x:v>
      </x:c>
      <x:c r="E20" s="61" t="str">
        <x:v>No statistically detectable method difference at α = 0.05.</x:v>
      </x:c>
    </x:row>
    <x:row r="21">
      <x:c r="A21" s="61" t="str">
        <x:v>ANOVA F — Cost_Variance_CAD</x:v>
      </x:c>
      <x:c r="B21" s="109" t="n">
        <x:v>0.17090656124975484</x:v>
      </x:c>
      <x:c r="C21" s="109" t="n">
        <x:v>0.17090656124975478</x:v>
      </x:c>
      <x:c r="D21" s="61" t="str">
        <x:v>MATCH</x:v>
      </x:c>
      <x:c r="E21" s="61" t="str">
        <x:v>Independent calculations agree.</x:v>
      </x:c>
    </x:row>
    <x:row r="22">
      <x:c r="A22" s="62" t="str">
        <x:v>ANOVA p-value — Cost_Variance_CAD</x:v>
      </x:c>
      <x:c r="B22" s="110" t="n">
        <x:v>0.9531946822052177</x:v>
      </x:c>
      <x:c r="C22" s="110" t="n">
        <x:v>0.9531946822052177</x:v>
      </x:c>
      <x:c r="D22" s="62" t="str">
        <x:v>MATCH</x:v>
      </x:c>
      <x:c r="E22" s="62" t="str">
        <x:v>No statistically detectable method difference at α = 0.05.</x:v>
      </x:c>
    </x:row>
    <x:row r="24">
      <x:c r="A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B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C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D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E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F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G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H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I24" s="146" t="str">
        <x:v>Executive interpretation: No procurement method is net over budget, and both normalized and CAD ANOVA tests return p-values well above 0.05. Method choice does not appear to be a material driver of overruns in this dataset.</x:v>
      </x:c>
    </x:row>
    <x:row r="25">
      <x:c r="A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B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C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D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E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F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G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H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  <x:c r="I25" s="146" t="str">
        <x:v>Executive interpretation: No procurement method is net over budget, and both normalized and CAD ANOVA tests return p-values well above 0.05. Method choice does not appear to be a material driver of overruns in this dataset.</x:v>
      </x:c>
    </x:row>
  </x:sheetData>
  <x:mergeCells>
    <x:mergeCell ref="A1:Q2"/>
    <x:mergeCell ref="A3:Q4"/>
    <x:mergeCell ref="A14:E14"/>
    <x:mergeCell ref="A24:I25"/>
  </x:mergeCells>
  <x:conditionalFormatting sqref="D16:D22">
    <x:cfRule type="containsText" dxfId="25" priority="1" operator="containsText" text="PASS"/>
    <x:cfRule type="containsText" dxfId="26" priority="2" operator="containsText" text="MATCH"/>
    <x:cfRule type="containsText" dxfId="27" priority="3" operator="containsText" text="FAIL"/>
    <x:cfRule type="containsText" dxfId="28" priority="4" operator="containsText" text="MISMATCH"/>
  </x:conditionalFormatting>
  <x:pageMargins left="0.7" right="0.7" top="0.75" bottom="0.75" header="0.3" footer="0.3"/>
  <x:drawing xmlns:r="http://schemas.openxmlformats.org/officeDocument/2006/relationships" r:id="R0cd2140f81c8440a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17" hidden="0" customWidth="1"/>
    <x:col min="4" max="4" width="19" hidden="0" customWidth="1"/>
    <x:col min="5" max="5" width="18" hidden="0" customWidth="1"/>
    <x:col min="6" max="6" width="11" hidden="0" customWidth="1"/>
    <x:col min="7" max="7" width="10" hidden="0" customWidth="1"/>
    <x:col min="8" max="8" width="17" hidden="0" customWidth="1"/>
    <x:col min="9" max="9" width="4" hidden="0" customWidth="1"/>
    <x:col min="10" max="10" width="29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68" t="str">
        <x:v>Q4 — Supplier Delivery Performance (Delivered Orders Only)</x:v>
      </x:c>
      <x:c r="B1" s="68" t="str">
        <x:v>Q4 — Supplier Delivery Performance (Delivered Orders Only)</x:v>
      </x:c>
      <x:c r="C1" s="68" t="str">
        <x:v>Q4 — Supplier Delivery Performance (Delivered Orders Only)</x:v>
      </x:c>
      <x:c r="D1" s="68" t="str">
        <x:v>Q4 — Supplier Delivery Performance (Delivered Orders Only)</x:v>
      </x:c>
      <x:c r="E1" s="68" t="str">
        <x:v>Q4 — Supplier Delivery Performance (Delivered Orders Only)</x:v>
      </x:c>
      <x:c r="F1" s="68" t="str">
        <x:v>Q4 — Supplier Delivery Performance (Delivered Orders Only)</x:v>
      </x:c>
      <x:c r="G1" s="68" t="str">
        <x:v>Q4 — Supplier Delivery Performance (Delivered Orders Only)</x:v>
      </x:c>
      <x:c r="H1" s="68" t="str">
        <x:v>Q4 — Supplier Delivery Performance (Delivered Orders Only)</x:v>
      </x:c>
      <x:c r="I1" s="68" t="str">
        <x:v>Q4 — Supplier Delivery Performance (Delivered Orders Only)</x:v>
      </x:c>
      <x:c r="J1" s="68" t="str">
        <x:v>Q4 — Supplier Delivery Performance (Delivered Orders Only)</x:v>
      </x:c>
      <x:c r="K1" s="68" t="str">
        <x:v>Q4 — Supplier Delivery Performance (Delivered Orders Only)</x:v>
      </x:c>
      <x:c r="L1" s="68" t="str">
        <x:v>Q4 — Supplier Delivery Performance (Delivered Orders Only)</x:v>
      </x:c>
      <x:c r="M1" s="68" t="str">
        <x:v>Q4 — Supplier Delivery Performance (Delivered Orders Only)</x:v>
      </x:c>
      <x:c r="N1" s="68" t="str">
        <x:v>Q4 — Supplier Delivery Performance (Delivered Orders Only)</x:v>
      </x:c>
      <x:c r="O1" s="68" t="str">
        <x:v>Q4 — Supplier Delivery Performance (Delivered Orders Only)</x:v>
      </x:c>
      <x:c r="P1" s="68" t="str">
        <x:v>Q4 — Supplier Delivery Performance (Delivered Orders Only)</x:v>
      </x:c>
      <x:c r="Q1" s="68" t="str">
        <x:v>Q4 — Supplier Delivery Performance (Delivered Orders Only)</x:v>
      </x:c>
    </x:row>
    <x:row r="2" ht="30" customHeight="1">
      <x:c r="A2" s="68" t="str">
        <x:v>Q4 — Supplier Delivery Performance (Delivered Orders Only)</x:v>
      </x:c>
      <x:c r="B2" s="68" t="str">
        <x:v>Q4 — Supplier Delivery Performance (Delivered Orders Only)</x:v>
      </x:c>
      <x:c r="C2" s="68" t="str">
        <x:v>Q4 — Supplier Delivery Performance (Delivered Orders Only)</x:v>
      </x:c>
      <x:c r="D2" s="68" t="str">
        <x:v>Q4 — Supplier Delivery Performance (Delivered Orders Only)</x:v>
      </x:c>
      <x:c r="E2" s="68" t="str">
        <x:v>Q4 — Supplier Delivery Performance (Delivered Orders Only)</x:v>
      </x:c>
      <x:c r="F2" s="68" t="str">
        <x:v>Q4 — Supplier Delivery Performance (Delivered Orders Only)</x:v>
      </x:c>
      <x:c r="G2" s="68" t="str">
        <x:v>Q4 — Supplier Delivery Performance (Delivered Orders Only)</x:v>
      </x:c>
      <x:c r="H2" s="68" t="str">
        <x:v>Q4 — Supplier Delivery Performance (Delivered Orders Only)</x:v>
      </x:c>
      <x:c r="I2" s="68" t="str">
        <x:v>Q4 — Supplier Delivery Performance (Delivered Orders Only)</x:v>
      </x:c>
      <x:c r="J2" s="68" t="str">
        <x:v>Q4 — Supplier Delivery Performance (Delivered Orders Only)</x:v>
      </x:c>
      <x:c r="K2" s="68" t="str">
        <x:v>Q4 — Supplier Delivery Performance (Delivered Orders Only)</x:v>
      </x:c>
      <x:c r="L2" s="68" t="str">
        <x:v>Q4 — Supplier Delivery Performance (Delivered Orders Only)</x:v>
      </x:c>
      <x:c r="M2" s="68" t="str">
        <x:v>Q4 — Supplier Delivery Performance (Delivered Orders Only)</x:v>
      </x:c>
      <x:c r="N2" s="68" t="str">
        <x:v>Q4 — Supplier Delivery Performance (Delivered Orders Only)</x:v>
      </x:c>
      <x:c r="O2" s="68" t="str">
        <x:v>Q4 — Supplier Delivery Performance (Delivered Orders Only)</x:v>
      </x:c>
      <x:c r="P2" s="68" t="str">
        <x:v>Q4 — Supplier Delivery Performance (Delivered Orders Only)</x:v>
      </x:c>
      <x:c r="Q2" s="68" t="str">
        <x:v>Q4 — Supplier Delivery Performance (Delivered Orders Only)</x:v>
      </x:c>
    </x:row>
    <x:row r="3" ht="28" customHeight="1">
      <x:c r="A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B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C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D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E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F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G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H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I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J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K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L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M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N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O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P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Q3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</x:row>
    <x:row r="4" ht="28" customHeight="1">
      <x:c r="A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B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C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D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E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F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G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H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I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J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K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L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M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N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O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P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  <x:c r="Q4" s="135" t="str">
        <x:v>Filter Delivery_Status = Delivered. Average Lead Time = AVERAGE(Lead_Time_Days); Median Lead Time = MEDIAN(Lead_Time_Days); On-Time Delivery Rate = COUNT(On_Time_Delivery = Yes) ÷ Delivered Orders. 63 Pending, 65 Cancelled, and 68 Partially Delivered orders.</x:v>
      </x:c>
    </x:row>
    <x:row r="6" ht="30" customHeight="1">
      <x:c r="A6" s="22" t="str">
        <x:v>Delivered Orders</x:v>
      </x:c>
      <x:c r="B6" s="22" t="str">
        <x:v>Average Lead Time</x:v>
      </x:c>
      <x:c r="C6" s="22" t="str">
        <x:v>Median Lead Time</x:v>
      </x:c>
      <x:c r="D6" s="22" t="str">
        <x:v>On-Time Orders</x:v>
      </x:c>
      <x:c r="E6" s="22" t="str">
        <x:v>Late Orders</x:v>
      </x:c>
      <x:c r="F6" s="22" t="str">
        <x:v>On-Time Delivery Rate</x:v>
      </x:c>
      <x:c r="J6" s="106" t="str">
        <x:v>Material Category</x:v>
      </x:c>
      <x:c r="K6" s="106" t="str">
        <x:v>On-Time Rate</x:v>
      </x:c>
    </x:row>
    <x:row r="7">
      <x:c r="A7" s="150" t="n">
        <x:v>204</x:v>
      </x:c>
      <x:c r="B7" s="155" t="n">
        <x:v>44.647059</x:v>
      </x:c>
      <x:c r="C7" s="155" t="n">
        <x:v>42</x:v>
      </x:c>
      <x:c r="D7" s="150" t="n">
        <x:v>151</x:v>
      </x:c>
      <x:c r="E7" s="150" t="n">
        <x:v>53</x:v>
      </x:c>
      <x:c r="F7" s="156" t="n">
        <x:v>0.740196</x:v>
      </x:c>
      <x:c r="J7" t="str">
        <x:v>Safety &amp; Temp Works</x:v>
      </x:c>
      <x:c r="K7" s="144" t="n">
        <x:v>0.828571</x:v>
      </x:c>
    </x:row>
    <x:row r="8">
      <x:c r="A8" s="154" t="str">
        <x:v>204-order denominator</x:v>
      </x:c>
      <x:c r="B8" s="154" t="str">
        <x:v>days</x:v>
      </x:c>
      <x:c r="C8" s="154" t="str">
        <x:v>days</x:v>
      </x:c>
      <x:c r="D8" s="154" t="str">
        <x:v>Yes</x:v>
      </x:c>
      <x:c r="E8" s="154" t="str">
        <x:v>No</x:v>
      </x:c>
      <x:c r="F8" s="154" t="str">
        <x:v>Delivered-only definition</x:v>
      </x:c>
      <x:c r="J8" t="str">
        <x:v>Civil Works</x:v>
      </x:c>
      <x:c r="K8" s="144" t="n">
        <x:v>0.8</x:v>
      </x:c>
    </x:row>
    <x:row r="9">
      <x:c r="J9" t="str">
        <x:v>MEP - Electrical</x:v>
      </x:c>
      <x:c r="K9" s="144" t="n">
        <x:v>0.757576</x:v>
      </x:c>
    </x:row>
    <x:row r="10" ht="24" customHeight="1">
      <x:c r="A10" s="97" t="str">
        <x:v>Performance by Material Category</x:v>
      </x:c>
      <x:c r="B10" s="97" t="str">
        <x:v>Performance by Material Category</x:v>
      </x:c>
      <x:c r="C10" s="97" t="str">
        <x:v>Performance by Material Category</x:v>
      </x:c>
      <x:c r="D10" s="97" t="str">
        <x:v>Performance by Material Category</x:v>
      </x:c>
      <x:c r="E10" s="97" t="str">
        <x:v>Performance by Material Category</x:v>
      </x:c>
      <x:c r="F10" s="97" t="str">
        <x:v>Performance by Material Category</x:v>
      </x:c>
      <x:c r="G10" s="97" t="str">
        <x:v>Performance by Material Category</x:v>
      </x:c>
      <x:c r="H10" s="97" t="str">
        <x:v>Performance by Material Category</x:v>
      </x:c>
      <x:c r="J10" t="str">
        <x:v>MEP - Mechanical</x:v>
      </x:c>
      <x:c r="K10" s="144" t="n">
        <x:v>0.75</x:v>
      </x:c>
    </x:row>
    <x:row r="11" ht="30" customHeight="1">
      <x:c r="A11" s="106" t="str">
        <x:v>Rank</x:v>
      </x:c>
      <x:c r="B11" s="106" t="str">
        <x:v>Material Category</x:v>
      </x:c>
      <x:c r="C11" s="106" t="str">
        <x:v>Delivered Orders</x:v>
      </x:c>
      <x:c r="D11" s="106" t="str">
        <x:v>Average Lead Time</x:v>
      </x:c>
      <x:c r="E11" s="106" t="str">
        <x:v>Median Lead Time</x:v>
      </x:c>
      <x:c r="F11" s="106" t="str">
        <x:v>On Time</x:v>
      </x:c>
      <x:c r="G11" s="106" t="str">
        <x:v>Late</x:v>
      </x:c>
      <x:c r="H11" s="106" t="str">
        <x:v>On-Time Rate</x:v>
      </x:c>
      <x:c r="J11" t="str">
        <x:v>Concrete &amp; Structural</x:v>
      </x:c>
      <x:c r="K11" s="144" t="n">
        <x:v>0.677419</x:v>
      </x:c>
    </x:row>
    <x:row r="12">
      <x:c r="A12" s="60" t="n">
        <x:v>1</x:v>
      </x:c>
      <x:c r="B12" s="60" t="str">
        <x:v>Safety &amp; Temp Works</x:v>
      </x:c>
      <x:c r="C12" s="60" t="n">
        <x:v>35</x:v>
      </x:c>
      <x:c r="D12" s="157" t="n">
        <x:v>43.942857</x:v>
      </x:c>
      <x:c r="E12" s="157" t="n">
        <x:v>36</x:v>
      </x:c>
      <x:c r="F12" s="60" t="n">
        <x:v>29</x:v>
      </x:c>
      <x:c r="G12" s="60" t="n">
        <x:v>6</x:v>
      </x:c>
      <x:c r="H12" s="137" t="n">
        <x:v>0.828571</x:v>
      </x:c>
      <x:c r="J12" t="str">
        <x:v>Finishing</x:v>
      </x:c>
      <x:c r="K12" s="144" t="n">
        <x:v>0.642857</x:v>
      </x:c>
    </x:row>
    <x:row r="13">
      <x:c r="A13" s="61" t="n">
        <x:v>2</x:v>
      </x:c>
      <x:c r="B13" s="61" t="str">
        <x:v>Civil Works</x:v>
      </x:c>
      <x:c r="C13" s="61" t="n">
        <x:v>35</x:v>
      </x:c>
      <x:c r="D13" s="158" t="n">
        <x:v>43.942857</x:v>
      </x:c>
      <x:c r="E13" s="158" t="n">
        <x:v>45</x:v>
      </x:c>
      <x:c r="F13" s="61" t="n">
        <x:v>28</x:v>
      </x:c>
      <x:c r="G13" s="61" t="n">
        <x:v>7</x:v>
      </x:c>
      <x:c r="H13" s="107" t="n">
        <x:v>0.8</x:v>
      </x:c>
    </x:row>
    <x:row r="14">
      <x:c r="A14" s="61" t="n">
        <x:v>3</x:v>
      </x:c>
      <x:c r="B14" s="61" t="str">
        <x:v>MEP - Electrical</x:v>
      </x:c>
      <x:c r="C14" s="61" t="n">
        <x:v>33</x:v>
      </x:c>
      <x:c r="D14" s="158" t="n">
        <x:v>44.30303</x:v>
      </x:c>
      <x:c r="E14" s="158" t="n">
        <x:v>43</x:v>
      </x:c>
      <x:c r="F14" s="61" t="n">
        <x:v>25</x:v>
      </x:c>
      <x:c r="G14" s="61" t="n">
        <x:v>8</x:v>
      </x:c>
      <x:c r="H14" s="107" t="n">
        <x:v>0.757576</x:v>
      </x:c>
    </x:row>
    <x:row r="15">
      <x:c r="A15" s="61" t="n">
        <x:v>4</x:v>
      </x:c>
      <x:c r="B15" s="61" t="str">
        <x:v>MEP - Mechanical</x:v>
      </x:c>
      <x:c r="C15" s="61" t="n">
        <x:v>28</x:v>
      </x:c>
      <x:c r="D15" s="158" t="n">
        <x:v>38.928571</x:v>
      </x:c>
      <x:c r="E15" s="158" t="n">
        <x:v>37.5</x:v>
      </x:c>
      <x:c r="F15" s="61" t="n">
        <x:v>21</x:v>
      </x:c>
      <x:c r="G15" s="61" t="n">
        <x:v>7</x:v>
      </x:c>
      <x:c r="H15" s="107" t="n">
        <x:v>0.75</x:v>
      </x:c>
    </x:row>
    <x:row r="16">
      <x:c r="A16" s="61" t="n">
        <x:v>5</x:v>
      </x:c>
      <x:c r="B16" s="61" t="str">
        <x:v>Concrete &amp; Structural</x:v>
      </x:c>
      <x:c r="C16" s="61" t="n">
        <x:v>31</x:v>
      </x:c>
      <x:c r="D16" s="158" t="n">
        <x:v>48.258065</x:v>
      </x:c>
      <x:c r="E16" s="158" t="n">
        <x:v>46</x:v>
      </x:c>
      <x:c r="F16" s="61" t="n">
        <x:v>21</x:v>
      </x:c>
      <x:c r="G16" s="61" t="n">
        <x:v>10</x:v>
      </x:c>
      <x:c r="H16" s="107" t="n">
        <x:v>0.677419</x:v>
      </x:c>
    </x:row>
    <x:row r="17">
      <x:c r="A17" s="62" t="n">
        <x:v>6</x:v>
      </x:c>
      <x:c r="B17" s="62" t="str">
        <x:v>Finishing</x:v>
      </x:c>
      <x:c r="C17" s="62" t="n">
        <x:v>42</x:v>
      </x:c>
      <x:c r="D17" s="159" t="n">
        <x:v>47.238095</x:v>
      </x:c>
      <x:c r="E17" s="159" t="n">
        <x:v>54</x:v>
      </x:c>
      <x:c r="F17" s="62" t="n">
        <x:v>27</x:v>
      </x:c>
      <x:c r="G17" s="62" t="n">
        <x:v>15</x:v>
      </x:c>
      <x:c r="H17" s="138" t="n">
        <x:v>0.642857</x:v>
      </x:c>
    </x:row>
    <x:row r="20" ht="24" customHeight="1">
      <x:c r="A20" s="97" t="str">
        <x:v>Performance by Supplier</x:v>
      </x:c>
      <x:c r="B20" s="97" t="str">
        <x:v>Performance by Supplier</x:v>
      </x:c>
      <x:c r="C20" s="97" t="str">
        <x:v>Performance by Supplier</x:v>
      </x:c>
      <x:c r="D20" s="97" t="str">
        <x:v>Performance by Supplier</x:v>
      </x:c>
      <x:c r="E20" s="97" t="str">
        <x:v>Performance by Supplier</x:v>
      </x:c>
      <x:c r="F20" s="97" t="str">
        <x:v>Performance by Supplier</x:v>
      </x:c>
      <x:c r="G20" s="97" t="str">
        <x:v>Performance by Supplier</x:v>
      </x:c>
      <x:c r="H20" s="97" t="str">
        <x:v>Performance by Supplier</x:v>
      </x:c>
    </x:row>
    <x:row r="21" ht="30" customHeight="1">
      <x:c r="A21" s="22" t="str">
        <x:v>Rank</x:v>
      </x:c>
      <x:c r="B21" s="22" t="str">
        <x:v>Supplier</x:v>
      </x:c>
      <x:c r="C21" s="22" t="str">
        <x:v>Delivered Orders</x:v>
      </x:c>
      <x:c r="D21" s="22" t="str">
        <x:v>Average Lead Time</x:v>
      </x:c>
      <x:c r="E21" s="22" t="str">
        <x:v>Median Lead Time</x:v>
      </x:c>
      <x:c r="F21" s="22" t="str">
        <x:v>On Time</x:v>
      </x:c>
      <x:c r="G21" s="22" t="str">
        <x:v>Late</x:v>
      </x:c>
      <x:c r="H21" s="22" t="str">
        <x:v>On-Time Rate</x:v>
      </x:c>
    </x:row>
    <x:row r="22">
      <x:c r="A22" s="60" t="n">
        <x:v>1</x:v>
      </x:c>
      <x:c r="B22" s="60" t="str">
        <x:v>Houle Electric</x:v>
      </x:c>
      <x:c r="C22" s="60" t="n">
        <x:v>4</x:v>
      </x:c>
      <x:c r="D22" s="157" t="n">
        <x:v>43.75</x:v>
      </x:c>
      <x:c r="E22" s="157" t="n">
        <x:v>43</x:v>
      </x:c>
      <x:c r="F22" s="60" t="n">
        <x:v>4</x:v>
      </x:c>
      <x:c r="G22" s="60" t="n">
        <x:v>0</x:v>
      </x:c>
      <x:c r="H22" s="137" t="n">
        <x:v>1</x:v>
      </x:c>
    </x:row>
    <x:row r="23">
      <x:c r="A23" s="61" t="n">
        <x:v>2</x:v>
      </x:c>
      <x:c r="B23" s="61" t="str">
        <x:v>Ainsworth Inc.</x:v>
      </x:c>
      <x:c r="C23" s="61" t="n">
        <x:v>3</x:v>
      </x:c>
      <x:c r="D23" s="158" t="n">
        <x:v>50.333333</x:v>
      </x:c>
      <x:c r="E23" s="158" t="n">
        <x:v>42</x:v>
      </x:c>
      <x:c r="F23" s="61" t="n">
        <x:v>3</x:v>
      </x:c>
      <x:c r="G23" s="61" t="n">
        <x:v>0</x:v>
      </x:c>
      <x:c r="H23" s="107" t="n">
        <x:v>1</x:v>
      </x:c>
    </x:row>
    <x:row r="24">
      <x:c r="A24" s="61" t="n">
        <x:v>3</x:v>
      </x:c>
      <x:c r="B24" s="61" t="str">
        <x:v>Graham Construction</x:v>
      </x:c>
      <x:c r="C24" s="61" t="n">
        <x:v>9</x:v>
      </x:c>
      <x:c r="D24" s="158" t="n">
        <x:v>43.222222</x:v>
      </x:c>
      <x:c r="E24" s="158" t="n">
        <x:v>36</x:v>
      </x:c>
      <x:c r="F24" s="61" t="n">
        <x:v>8</x:v>
      </x:c>
      <x:c r="G24" s="61" t="n">
        <x:v>1</x:v>
      </x:c>
      <x:c r="H24" s="107" t="n">
        <x:v>0.888889</x:v>
      </x:c>
    </x:row>
    <x:row r="25">
      <x:c r="A25" s="61" t="n">
        <x:v>4</x:v>
      </x:c>
      <x:c r="B25" s="61" t="str">
        <x:v>Sunbelt Rentals Canada</x:v>
      </x:c>
      <x:c r="C25" s="61" t="n">
        <x:v>9</x:v>
      </x:c>
      <x:c r="D25" s="158" t="n">
        <x:v>45.888889</x:v>
      </x:c>
      <x:c r="E25" s="158" t="n">
        <x:v>43</x:v>
      </x:c>
      <x:c r="F25" s="61" t="n">
        <x:v>8</x:v>
      </x:c>
      <x:c r="G25" s="61" t="n">
        <x:v>1</x:v>
      </x:c>
      <x:c r="H25" s="107" t="n">
        <x:v>0.888889</x:v>
      </x:c>
    </x:row>
    <x:row r="26">
      <x:c r="A26" s="61" t="n">
        <x:v>5</x:v>
      </x:c>
      <x:c r="B26" s="61" t="str">
        <x:v>Levitt-Safety Calgary</x:v>
      </x:c>
      <x:c r="C26" s="61" t="n">
        <x:v>9</x:v>
      </x:c>
      <x:c r="D26" s="158" t="n">
        <x:v>46.111111</x:v>
      </x:c>
      <x:c r="E26" s="158" t="n">
        <x:v>36</x:v>
      </x:c>
      <x:c r="F26" s="61" t="n">
        <x:v>8</x:v>
      </x:c>
      <x:c r="G26" s="61" t="n">
        <x:v>1</x:v>
      </x:c>
      <x:c r="H26" s="107" t="n">
        <x:v>0.888889</x:v>
      </x:c>
    </x:row>
    <x:row r="27">
      <x:c r="A27" s="61" t="n">
        <x:v>6</x:v>
      </x:c>
      <x:c r="B27" s="61" t="str">
        <x:v>PCL Mechanical</x:v>
      </x:c>
      <x:c r="C27" s="61" t="n">
        <x:v>7</x:v>
      </x:c>
      <x:c r="D27" s="158" t="n">
        <x:v>36.571429</x:v>
      </x:c>
      <x:c r="E27" s="158" t="n">
        <x:v>41</x:v>
      </x:c>
      <x:c r="F27" s="61" t="n">
        <x:v>6</x:v>
      </x:c>
      <x:c r="G27" s="61" t="n">
        <x:v>1</x:v>
      </x:c>
      <x:c r="H27" s="107" t="n">
        <x:v>0.857143</x:v>
      </x:c>
    </x:row>
    <x:row r="28">
      <x:c r="A28" s="61" t="n">
        <x:v>7</x:v>
      </x:c>
      <x:c r="B28" s="61" t="str">
        <x:v>Inland Concrete</x:v>
      </x:c>
      <x:c r="C28" s="61" t="n">
        <x:v>6</x:v>
      </x:c>
      <x:c r="D28" s="158" t="n">
        <x:v>36.833333</x:v>
      </x:c>
      <x:c r="E28" s="158" t="n">
        <x:v>35</x:v>
      </x:c>
      <x:c r="F28" s="61" t="n">
        <x:v>5</x:v>
      </x:c>
      <x:c r="G28" s="61" t="n">
        <x:v>1</x:v>
      </x:c>
      <x:c r="H28" s="107" t="n">
        <x:v>0.833333</x:v>
      </x:c>
    </x:row>
    <x:row r="29">
      <x:c r="A29" s="61" t="n">
        <x:v>8</x:v>
      </x:c>
      <x:c r="B29" s="61" t="str">
        <x:v>BrandSafway Canada</x:v>
      </x:c>
      <x:c r="C29" s="61" t="n">
        <x:v>6</x:v>
      </x:c>
      <x:c r="D29" s="158" t="n">
        <x:v>49.5</x:v>
      </x:c>
      <x:c r="E29" s="158" t="n">
        <x:v>46.5</x:v>
      </x:c>
      <x:c r="F29" s="61" t="n">
        <x:v>5</x:v>
      </x:c>
      <x:c r="G29" s="61" t="n">
        <x:v>1</x:v>
      </x:c>
      <x:c r="H29" s="107" t="n">
        <x:v>0.833333</x:v>
      </x:c>
    </x:row>
    <x:row r="30">
      <x:c r="A30" s="61" t="n">
        <x:v>9</x:v>
      </x:c>
      <x:c r="B30" s="61" t="str">
        <x:v>Armstrong World Industries</x:v>
      </x:c>
      <x:c r="C30" s="61" t="n">
        <x:v>6</x:v>
      </x:c>
      <x:c r="D30" s="158" t="n">
        <x:v>51.5</x:v>
      </x:c>
      <x:c r="E30" s="158" t="n">
        <x:v>49.5</x:v>
      </x:c>
      <x:c r="F30" s="61" t="n">
        <x:v>5</x:v>
      </x:c>
      <x:c r="G30" s="61" t="n">
        <x:v>1</x:v>
      </x:c>
      <x:c r="H30" s="107" t="n">
        <x:v>0.833333</x:v>
      </x:c>
    </x:row>
    <x:row r="31">
      <x:c r="A31" s="61" t="n">
        <x:v>10</x:v>
      </x:c>
      <x:c r="B31" s="61" t="str">
        <x:v>Ledcor Civil Alberta</x:v>
      </x:c>
      <x:c r="C31" s="61" t="n">
        <x:v>11</x:v>
      </x:c>
      <x:c r="D31" s="158" t="n">
        <x:v>46.545455</x:v>
      </x:c>
      <x:c r="E31" s="158" t="n">
        <x:v>51</x:v>
      </x:c>
      <x:c r="F31" s="61" t="n">
        <x:v>9</x:v>
      </x:c>
      <x:c r="G31" s="61" t="n">
        <x:v>2</x:v>
      </x:c>
      <x:c r="H31" s="107" t="n">
        <x:v>0.818182</x:v>
      </x:c>
    </x:row>
    <x:row r="32">
      <x:c r="A32" s="61" t="n">
        <x:v>11</x:v>
      </x:c>
      <x:c r="B32" s="61" t="str">
        <x:v>Flint Energy Services</x:v>
      </x:c>
      <x:c r="C32" s="61" t="n">
        <x:v>9</x:v>
      </x:c>
      <x:c r="D32" s="158" t="n">
        <x:v>45.666667</x:v>
      </x:c>
      <x:c r="E32" s="158" t="n">
        <x:v>45</x:v>
      </x:c>
      <x:c r="F32" s="61" t="n">
        <x:v>7</x:v>
      </x:c>
      <x:c r="G32" s="61" t="n">
        <x:v>2</x:v>
      </x:c>
      <x:c r="H32" s="107" t="n">
        <x:v>0.777778</x:v>
      </x:c>
    </x:row>
    <x:row r="33">
      <x:c r="A33" s="61" t="n">
        <x:v>12</x:v>
      </x:c>
      <x:c r="B33" s="61" t="str">
        <x:v>Evraz Steel Calgary</x:v>
      </x:c>
      <x:c r="C33" s="61" t="n">
        <x:v>9</x:v>
      </x:c>
      <x:c r="D33" s="158" t="n">
        <x:v>48.777778</x:v>
      </x:c>
      <x:c r="E33" s="158" t="n">
        <x:v>46</x:v>
      </x:c>
      <x:c r="F33" s="61" t="n">
        <x:v>7</x:v>
      </x:c>
      <x:c r="G33" s="61" t="n">
        <x:v>2</x:v>
      </x:c>
      <x:c r="H33" s="107" t="n">
        <x:v>0.777778</x:v>
      </x:c>
    </x:row>
    <x:row r="34">
      <x:c r="A34" s="61" t="n">
        <x:v>13</x:v>
      </x:c>
      <x:c r="B34" s="61" t="str">
        <x:v>EllisDon Civil</x:v>
      </x:c>
      <x:c r="C34" s="61" t="n">
        <x:v>8</x:v>
      </x:c>
      <x:c r="D34" s="158" t="n">
        <x:v>39.25</x:v>
      </x:c>
      <x:c r="E34" s="158" t="n">
        <x:v>31.5</x:v>
      </x:c>
      <x:c r="F34" s="61" t="n">
        <x:v>6</x:v>
      </x:c>
      <x:c r="G34" s="61" t="n">
        <x:v>2</x:v>
      </x:c>
      <x:c r="H34" s="107" t="n">
        <x:v>0.75</x:v>
      </x:c>
    </x:row>
    <x:row r="35">
      <x:c r="A35" s="61" t="n">
        <x:v>14</x:v>
      </x:c>
      <x:c r="B35" s="61" t="str">
        <x:v>Dryvit Systems Canada</x:v>
      </x:c>
      <x:c r="C35" s="61" t="n">
        <x:v>12</x:v>
      </x:c>
      <x:c r="D35" s="158" t="n">
        <x:v>46.166667</x:v>
      </x:c>
      <x:c r="E35" s="158" t="n">
        <x:v>54.5</x:v>
      </x:c>
      <x:c r="F35" s="61" t="n">
        <x:v>9</x:v>
      </x:c>
      <x:c r="G35" s="61" t="n">
        <x:v>3</x:v>
      </x:c>
      <x:c r="H35" s="107" t="n">
        <x:v>0.75</x:v>
      </x:c>
    </x:row>
    <x:row r="36">
      <x:c r="A36" s="61" t="n">
        <x:v>15</x:v>
      </x:c>
      <x:c r="B36" s="61" t="str">
        <x:v>Stantec MEP</x:v>
      </x:c>
      <x:c r="C36" s="61" t="n">
        <x:v>11</x:v>
      </x:c>
      <x:c r="D36" s="158" t="n">
        <x:v>36.181818</x:v>
      </x:c>
      <x:c r="E36" s="158" t="n">
        <x:v>33</x:v>
      </x:c>
      <x:c r="F36" s="61" t="n">
        <x:v>8</x:v>
      </x:c>
      <x:c r="G36" s="61" t="n">
        <x:v>3</x:v>
      </x:c>
      <x:c r="H36" s="107" t="n">
        <x:v>0.727273</x:v>
      </x:c>
    </x:row>
    <x:row r="37">
      <x:c r="A37" s="61" t="n">
        <x:v>16</x:v>
      </x:c>
      <x:c r="B37" s="61" t="str">
        <x:v>Safway Alberta</x:v>
      </x:c>
      <x:c r="C37" s="61" t="n">
        <x:v>11</x:v>
      </x:c>
      <x:c r="D37" s="158" t="n">
        <x:v>37.545455</x:v>
      </x:c>
      <x:c r="E37" s="158" t="n">
        <x:v>36</x:v>
      </x:c>
      <x:c r="F37" s="61" t="n">
        <x:v>8</x:v>
      </x:c>
      <x:c r="G37" s="61" t="n">
        <x:v>3</x:v>
      </x:c>
      <x:c r="H37" s="107" t="n">
        <x:v>0.727273</x:v>
      </x:c>
    </x:row>
    <x:row r="38">
      <x:c r="A38" s="61" t="n">
        <x:v>17</x:v>
      </x:c>
      <x:c r="B38" s="61" t="str">
        <x:v>Schneider Electric Canada</x:v>
      </x:c>
      <x:c r="C38" s="61" t="n">
        <x:v>11</x:v>
      </x:c>
      <x:c r="D38" s="158" t="n">
        <x:v>40.454545</x:v>
      </x:c>
      <x:c r="E38" s="158" t="n">
        <x:v>33</x:v>
      </x:c>
      <x:c r="F38" s="61" t="n">
        <x:v>8</x:v>
      </x:c>
      <x:c r="G38" s="61" t="n">
        <x:v>3</x:v>
      </x:c>
      <x:c r="H38" s="107" t="n">
        <x:v>0.727273</x:v>
      </x:c>
    </x:row>
    <x:row r="39">
      <x:c r="A39" s="61" t="n">
        <x:v>18</x:v>
      </x:c>
      <x:c r="B39" s="61" t="str">
        <x:v>Kiewit Infrastructure</x:v>
      </x:c>
      <x:c r="C39" s="61" t="n">
        <x:v>7</x:v>
      </x:c>
      <x:c r="D39" s="158" t="n">
        <x:v>46.142857</x:v>
      </x:c>
      <x:c r="E39" s="158" t="n">
        <x:v>49</x:v>
      </x:c>
      <x:c r="F39" s="61" t="n">
        <x:v>5</x:v>
      </x:c>
      <x:c r="G39" s="61" t="n">
        <x:v>2</x:v>
      </x:c>
      <x:c r="H39" s="107" t="n">
        <x:v>0.714286</x:v>
      </x:c>
    </x:row>
    <x:row r="40">
      <x:c r="A40" s="61" t="n">
        <x:v>19</x:v>
      </x:c>
      <x:c r="B40" s="61" t="str">
        <x:v>Lafarge Canada - Calgary</x:v>
      </x:c>
      <x:c r="C40" s="61" t="n">
        <x:v>7</x:v>
      </x:c>
      <x:c r="D40" s="158" t="n">
        <x:v>54.285714</x:v>
      </x:c>
      <x:c r="E40" s="158" t="n">
        <x:v>63</x:v>
      </x:c>
      <x:c r="F40" s="61" t="n">
        <x:v>5</x:v>
      </x:c>
      <x:c r="G40" s="61" t="n">
        <x:v>2</x:v>
      </x:c>
      <x:c r="H40" s="107" t="n">
        <x:v>0.714286</x:v>
      </x:c>
    </x:row>
    <x:row r="41">
      <x:c r="A41" s="61" t="n">
        <x:v>20</x:v>
      </x:c>
      <x:c r="B41" s="61" t="str">
        <x:v>Stuart Olson Electrical</x:v>
      </x:c>
      <x:c r="C41" s="61" t="n">
        <x:v>9</x:v>
      </x:c>
      <x:c r="D41" s="158" t="n">
        <x:v>47.888889</x:v>
      </x:c>
      <x:c r="E41" s="158" t="n">
        <x:v>64</x:v>
      </x:c>
      <x:c r="F41" s="61" t="n">
        <x:v>6</x:v>
      </x:c>
      <x:c r="G41" s="61" t="n">
        <x:v>3</x:v>
      </x:c>
      <x:c r="H41" s="107" t="n">
        <x:v>0.666667</x:v>
      </x:c>
    </x:row>
    <x:row r="42">
      <x:c r="A42" s="61" t="n">
        <x:v>21</x:v>
      </x:c>
      <x:c r="B42" s="61" t="str">
        <x:v>Centura Tile Calgary</x:v>
      </x:c>
      <x:c r="C42" s="61" t="n">
        <x:v>17</x:v>
      </x:c>
      <x:c r="D42" s="158" t="n">
        <x:v>46.647059</x:v>
      </x:c>
      <x:c r="E42" s="158" t="n">
        <x:v>54</x:v>
      </x:c>
      <x:c r="F42" s="61" t="n">
        <x:v>10</x:v>
      </x:c>
      <x:c r="G42" s="61" t="n">
        <x:v>7</x:v>
      </x:c>
      <x:c r="H42" s="107" t="n">
        <x:v>0.588235</x:v>
      </x:c>
    </x:row>
    <x:row r="43">
      <x:c r="A43" s="61" t="n">
        <x:v>22</x:v>
      </x:c>
      <x:c r="B43" s="61" t="str">
        <x:v>Johnson Controls Alberta</x:v>
      </x:c>
      <x:c r="C43" s="61" t="n">
        <x:v>7</x:v>
      </x:c>
      <x:c r="D43" s="158" t="n">
        <x:v>40.714286</x:v>
      </x:c>
      <x:c r="E43" s="158" t="n">
        <x:v>37</x:v>
      </x:c>
      <x:c r="F43" s="61" t="n">
        <x:v>4</x:v>
      </x:c>
      <x:c r="G43" s="61" t="n">
        <x:v>3</x:v>
      </x:c>
      <x:c r="H43" s="107" t="n">
        <x:v>0.571429</x:v>
      </x:c>
    </x:row>
    <x:row r="44">
      <x:c r="A44" s="61" t="n">
        <x:v>23</x:v>
      </x:c>
      <x:c r="B44" s="61" t="str">
        <x:v>Alberta Precast</x:v>
      </x:c>
      <x:c r="C44" s="61" t="n">
        <x:v>9</x:v>
      </x:c>
      <x:c r="D44" s="158" t="n">
        <x:v>50.666667</x:v>
      </x:c>
      <x:c r="E44" s="158" t="n">
        <x:v>49</x:v>
      </x:c>
      <x:c r="F44" s="61" t="n">
        <x:v>4</x:v>
      </x:c>
      <x:c r="G44" s="61" t="n">
        <x:v>5</x:v>
      </x:c>
      <x:c r="H44" s="107" t="n">
        <x:v>0.444444</x:v>
      </x:c>
    </x:row>
    <x:row r="45">
      <x:c r="A45" s="62" t="n">
        <x:v>24</x:v>
      </x:c>
      <x:c r="B45" s="62" t="str">
        <x:v>Tremco Roofing</x:v>
      </x:c>
      <x:c r="C45" s="62" t="n">
        <x:v>7</x:v>
      </x:c>
      <x:c r="D45" s="159" t="n">
        <x:v>46.857143</x:v>
      </x:c>
      <x:c r="E45" s="159" t="n">
        <x:v>29</x:v>
      </x:c>
      <x:c r="F45" s="62" t="n">
        <x:v>3</x:v>
      </x:c>
      <x:c r="G45" s="62" t="n">
        <x:v>4</x:v>
      </x:c>
      <x:c r="H45" s="138" t="n">
        <x:v>0.428571</x:v>
      </x:c>
    </x:row>
    <x:row r="48" ht="24" customHeight="1">
      <x:c r="A48" s="97" t="str">
        <x:v>Approved Imputation Sensitivity</x:v>
      </x:c>
      <x:c r="B48" s="97" t="str">
        <x:v>Approved Imputation Sensitivity</x:v>
      </x:c>
      <x:c r="C48" s="97" t="str">
        <x:v>Approved Imputation Sensitivity</x:v>
      </x:c>
      <x:c r="D48" s="97" t="str">
        <x:v>Approved Imputation Sensitivity</x:v>
      </x:c>
      <x:c r="E48" s="97" t="str">
        <x:v>Approved Imputation Sensitivity</x:v>
      </x:c>
      <x:c r="F48" s="97" t="str">
        <x:v>Approved Imputation Sensitivity</x:v>
      </x:c>
      <x:c r="G48" s="97" t="str">
        <x:v>Approved Imputation Sensitivity</x:v>
      </x:c>
      <x:c r="H48" s="97" t="str">
        <x:v>Approved Imputation Sensitivity</x:v>
      </x:c>
    </x:row>
    <x:row r="49" ht="30" customHeight="1">
      <x:c r="A49" s="106" t="str">
        <x:v>Scenario</x:v>
      </x:c>
      <x:c r="B49" s="106" t="str">
        <x:v>Lead Observations</x:v>
      </x:c>
      <x:c r="C49" s="106" t="str">
        <x:v>Average Lead Time</x:v>
      </x:c>
      <x:c r="D49" s="106" t="str">
        <x:v>Median Lead Time</x:v>
      </x:c>
      <x:c r="E49" s="106" t="str">
        <x:v>On-Time Rate</x:v>
      </x:c>
      <x:c r="F49" s="106" t="str">
        <x:v>Category Rank Changes</x:v>
      </x:c>
      <x:c r="G49" s="106" t="str">
        <x:v>Supplier Rank Changes</x:v>
      </x:c>
      <x:c r="H49" s="106" t="str">
        <x:v>Recommendation</x:v>
      </x:c>
    </x:row>
    <x:row r="50" ht="44" customHeight="1">
      <x:c r="A50" s="60" t="str">
        <x:v>Blank scenario</x:v>
      </x:c>
      <x:c r="B50" s="60" t="n">
        <x:v>202</x:v>
      </x:c>
      <x:c r="C50" s="108" t="n">
        <x:v>44.643564</x:v>
      </x:c>
      <x:c r="D50" s="108" t="n">
        <x:v>42</x:v>
      </x:c>
      <x:c r="E50" s="137" t="n">
        <x:v>0.740196</x:v>
      </x:c>
      <x:c r="F50" s="60" t="n">
        <x:v>0</x:v>
      </x:c>
      <x:c r="G50" s="60" t="n">
        <x:v>0</x:v>
      </x:c>
      <x:c r="H50" s="60" t="str">
        <x:v>No recommendation change</x:v>
      </x:c>
    </x:row>
    <x:row r="51" ht="44" customHeight="1">
      <x:c r="A51" s="62" t="str">
        <x:v>Approved 45-day scenario</x:v>
      </x:c>
      <x:c r="B51" s="62" t="n">
        <x:v>204</x:v>
      </x:c>
      <x:c r="C51" s="110" t="n">
        <x:v>44.647059</x:v>
      </x:c>
      <x:c r="D51" s="110" t="n">
        <x:v>42</x:v>
      </x:c>
      <x:c r="E51" s="138" t="n">
        <x:v>0.740196</x:v>
      </x:c>
      <x:c r="F51" s="62" t="n">
        <x:v>0</x:v>
      </x:c>
      <x:c r="G51" s="62" t="n">
        <x:v>0</x:v>
      </x:c>
      <x:c r="H51" s="62" t="str">
        <x:v>No recommendation change</x:v>
      </x:c>
    </x:row>
  </x:sheetData>
  <x:mergeCells>
    <x:mergeCell ref="A1:Q2"/>
    <x:mergeCell ref="A3:Q4"/>
    <x:mergeCell ref="A10:H10"/>
    <x:mergeCell ref="A20:H20"/>
    <x:mergeCell ref="A48:H48"/>
  </x:mergeCells>
  <x:pageMargins left="0.7" right="0.7" top="0.75" bottom="0.75" header="0.3" footer="0.3"/>
  <x:drawing xmlns:r="http://schemas.openxmlformats.org/officeDocument/2006/relationships" r:id="Re904fc45cf5b4cf6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52" hidden="0" customWidth="1"/>
    <x:col min="4" max="4" width="58" hidden="0" customWidth="1"/>
    <x:col min="5" max="5" width="52" hidden="0" customWidth="1"/>
    <x:col min="6" max="6" width="47" hidden="0" customWidth="1"/>
  </x:cols>
  <x:sheetData>
    <x:row r="1" ht="30" customHeight="1">
      <x:c r="A1" s="68" t="str">
        <x:v>Q5 — Top 3 Recommendations for ConstructEdge in 2026</x:v>
      </x:c>
      <x:c r="B1" s="68" t="str">
        <x:v>Q5 — Top 3 Recommendations for ConstructEdge in 2026</x:v>
      </x:c>
      <x:c r="C1" s="68" t="str">
        <x:v>Q5 — Top 3 Recommendations for ConstructEdge in 2026</x:v>
      </x:c>
      <x:c r="D1" s="68" t="str">
        <x:v>Q5 — Top 3 Recommendations for ConstructEdge in 2026</x:v>
      </x:c>
      <x:c r="E1" s="68" t="str">
        <x:v>Q5 — Top 3 Recommendations for ConstructEdge in 2026</x:v>
      </x:c>
      <x:c r="F1" s="68" t="str">
        <x:v>Q5 — Top 3 Recommendations for ConstructEdge in 2026</x:v>
      </x:c>
    </x:row>
    <x:row r="2" ht="30" customHeight="1">
      <x:c r="A2" s="68" t="str">
        <x:v>Q5 — Top 3 Recommendations for ConstructEdge in 2026</x:v>
      </x:c>
      <x:c r="B2" s="68" t="str">
        <x:v>Q5 — Top 3 Recommendations for ConstructEdge in 2026</x:v>
      </x:c>
      <x:c r="C2" s="68" t="str">
        <x:v>Q5 — Top 3 Recommendations for ConstructEdge in 2026</x:v>
      </x:c>
      <x:c r="D2" s="68" t="str">
        <x:v>Q5 — Top 3 Recommendations for ConstructEdge in 2026</x:v>
      </x:c>
      <x:c r="E2" s="68" t="str">
        <x:v>Q5 — Top 3 Recommendations for ConstructEdge in 2026</x:v>
      </x:c>
      <x:c r="F2" s="68" t="str">
        <x:v>Q5 — Top 3 Recommendations for ConstructEdge in 2026</x:v>
      </x:c>
    </x:row>
    <x:row r="3" ht="28" customHeight="1">
      <x:c r="A3" s="135" t="str">
        <x:v>Each action is linked directly to validated Q1–Q4 evidence. Financial scenarios are directional and are not additive.</x:v>
      </x:c>
      <x:c r="B3" s="135" t="str">
        <x:v>Each action is linked directly to validated Q1–Q4 evidence. Financial scenarios are directional and are not additive.</x:v>
      </x:c>
      <x:c r="C3" s="135" t="str">
        <x:v>Each action is linked directly to validated Q1–Q4 evidence. Financial scenarios are directional and are not additive.</x:v>
      </x:c>
      <x:c r="D3" s="135" t="str">
        <x:v>Each action is linked directly to validated Q1–Q4 evidence. Financial scenarios are directional and are not additive.</x:v>
      </x:c>
      <x:c r="E3" s="135" t="str">
        <x:v>Each action is linked directly to validated Q1–Q4 evidence. Financial scenarios are directional and are not additive.</x:v>
      </x:c>
      <x:c r="F3" s="135" t="str">
        <x:v>Each action is linked directly to validated Q1–Q4 evidence. Financial scenarios are directional and are not additive.</x:v>
      </x:c>
    </x:row>
    <x:row r="4" ht="28" customHeight="1">
      <x:c r="A4" s="135" t="str">
        <x:v>Each action is linked directly to validated Q1–Q4 evidence. Financial scenarios are directional and are not additive.</x:v>
      </x:c>
      <x:c r="B4" s="135" t="str">
        <x:v>Each action is linked directly to validated Q1–Q4 evidence. Financial scenarios are directional and are not additive.</x:v>
      </x:c>
      <x:c r="C4" s="135" t="str">
        <x:v>Each action is linked directly to validated Q1–Q4 evidence. Financial scenarios are directional and are not additive.</x:v>
      </x:c>
      <x:c r="D4" s="135" t="str">
        <x:v>Each action is linked directly to validated Q1–Q4 evidence. Financial scenarios are directional and are not additive.</x:v>
      </x:c>
      <x:c r="E4" s="135" t="str">
        <x:v>Each action is linked directly to validated Q1–Q4 evidence. Financial scenarios are directional and are not additive.</x:v>
      </x:c>
      <x:c r="F4" s="135" t="str">
        <x:v>Each action is linked directly to validated Q1–Q4 evidence. Financial scenarios are directional and are not additive.</x:v>
      </x:c>
    </x:row>
    <x:row r="6" ht="30" customHeight="1">
      <x:c r="A6" s="22" t="str">
        <x:v>Rank</x:v>
      </x:c>
      <x:c r="B6" s="22" t="str">
        <x:v>Priority</x:v>
      </x:c>
      <x:c r="C6" s="22" t="str">
        <x:v>Recommendation</x:v>
      </x:c>
      <x:c r="D6" s="22" t="str">
        <x:v>Supporting Evidence</x:v>
      </x:c>
      <x:c r="E6" s="22" t="str">
        <x:v>Expected Business Benefit</x:v>
      </x:c>
      <x:c r="F6" s="22" t="str">
        <x:v>Estimated Impact</x:v>
      </x:c>
    </x:row>
    <x:row r="7" ht="110" customHeight="1">
      <x:c r="A7" s="60" t="n">
        <x:v>1</x:v>
      </x:c>
      <x:c r="B7" s="60" t="str">
        <x:v>High</x:v>
      </x:c>
      <x:c r="C7" s="60" t="str">
        <x:v>Launch targeted commercial reviews with the suppliers that meet the consistently-above-budget rule.</x:v>
      </x:c>
      <x:c r="D7" s="60" t="str">
        <x:v>3 suppliers qualify: Houle Electric, PCL Mechanical, Levitt-Safety Calgary. Their combined net positive variance is $2,022,856.51.</x:v>
      </x:c>
      <x:c r="E7" s="60" t="str">
        <x:v>Reduces recurring supplier-level price leakage while preserving relationships with suppliers that do not show a consistent pattern.</x:v>
      </x:c>
      <x:c r="F7" s="60" t="str">
        <x:v>A 50% reduction in their current net positive variance equals approximately $1,011,428.26.</x:v>
      </x:c>
    </x:row>
    <x:row r="8" ht="110" customHeight="1">
      <x:c r="A8" s="61" t="n">
        <x:v>2</x:v>
      </x:c>
      <x:c r="B8" s="61" t="str">
        <x:v>High</x:v>
      </x:c>
      <x:c r="C8" s="61" t="str">
        <x:v>Add pre-award variance thresholds and monthly exception reviews for the three projects with positive net cost variance.</x:v>
      </x:c>
      <x:c r="D8" s="61" t="str">
        <x:v>3 projects are net over budget: Quarry Park Mixed-Use Development, Calgary SE Ring Road Extension, Deerfoot Trail Widening - North. Combined net overrun is $443,408.60.</x:v>
      </x:c>
      <x:c r="E8" s="61" t="str">
        <x:v>Concentrates management attention where net overruns exist; the method analysis does not support a portfolio-wide sourcing-method change.</x:v>
      </x:c>
      <x:c r="F8" s="61" t="str">
        <x:v>A 50% reduction in these project overruns equals approximately $221,704.30.</x:v>
      </x:c>
    </x:row>
    <x:row r="9" ht="110" customHeight="1">
      <x:c r="A9" s="62" t="n">
        <x:v>3</x:v>
      </x:c>
      <x:c r="B9" s="62" t="str">
        <x:v>Medium-High</x:v>
      </x:c>
      <x:c r="C9" s="62" t="str">
        <x:v>Create supplier delivery scorecards and corrective-action plans for material categories and suppliers below the Delivered-only portfolio benchmark.</x:v>
      </x:c>
      <x:c r="D9" s="62" t="str">
        <x:v>The Delivered-only on-time rate is 74.02%. 2 material categories are below that benchmark.</x:v>
      </x:c>
      <x:c r="E9" s="62" t="str">
        <x:v>Improves schedule reliability and makes late-delivery performance visible during supplier reviews.</x:v>
      </x:c>
      <x:c r="F9" s="62" t="str">
        <x:v>Bringing below-benchmark categories up to the portfolio rate would produce approximately 7 additional on-time deliveries across the current 204 Delivered orders.</x:v>
      </x:c>
    </x:row>
  </x:sheetData>
  <x:mergeCells>
    <x:mergeCell ref="A1:F2"/>
    <x:mergeCell ref="A3:F4"/>
  </x:mergeCells>
  <x:conditionalFormatting sqref="B7:B9">
    <x:cfRule type="containsText" dxfId="29" priority="1" operator="containsText" text="High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5" hidden="0" customWidth="1"/>
    <x:col min="4" max="4" width="14" hidden="0" customWidth="1"/>
    <x:col min="5" max="5" width="52" hidden="0" customWidth="1"/>
  </x:cols>
  <x:sheetData>
    <x:row r="1" ht="30" customHeight="1">
      <x:c r="A1" s="68" t="str">
        <x:v>Independent Verification — Q1 to Q4</x:v>
      </x:c>
      <x:c r="B1" s="68" t="str">
        <x:v>Independent Verification — Q1 to Q4</x:v>
      </x:c>
      <x:c r="C1" s="68" t="str">
        <x:v>Independent Verification — Q1 to Q4</x:v>
      </x:c>
      <x:c r="D1" s="68" t="str">
        <x:v>Independent Verification — Q1 to Q4</x:v>
      </x:c>
      <x:c r="E1" s="68" t="str">
        <x:v>Independent Verification — Q1 to Q4</x:v>
      </x:c>
    </x:row>
    <x:row r="2" ht="30" customHeight="1">
      <x:c r="A2" s="68" t="str">
        <x:v>Independent Verification — Q1 to Q4</x:v>
      </x:c>
      <x:c r="B2" s="68" t="str">
        <x:v>Independent Verification — Q1 to Q4</x:v>
      </x:c>
      <x:c r="C2" s="68" t="str">
        <x:v>Independent Verification — Q1 to Q4</x:v>
      </x:c>
      <x:c r="D2" s="68" t="str">
        <x:v>Independent Verification — Q1 to Q4</x:v>
      </x:c>
      <x:c r="E2" s="68" t="str">
        <x:v>Independent Verification — Q1 to Q4</x:v>
      </x:c>
    </x:row>
    <x:row r="3" ht="28" customHeight="1">
      <x:c r="A3" s="135" t="str">
        <x:v>Method 1 uses manual Decimal/statistical aggregation. Method 2 uses pivot/groupby logic and independent statistical library calculations. Any mismatch would stop downstream deliverables.</x:v>
      </x:c>
      <x:c r="B3" s="135" t="str">
        <x:v>Method 1 uses manual Decimal/statistical aggregation. Method 2 uses pivot/groupby logic and independent statistical library calculations. Any mismatch would stop downstream deliverables.</x:v>
      </x:c>
      <x:c r="C3" s="135" t="str">
        <x:v>Method 1 uses manual Decimal/statistical aggregation. Method 2 uses pivot/groupby logic and independent statistical library calculations. Any mismatch would stop downstream deliverables.</x:v>
      </x:c>
      <x:c r="D3" s="135" t="str">
        <x:v>Method 1 uses manual Decimal/statistical aggregation. Method 2 uses pivot/groupby logic and independent statistical library calculations. Any mismatch would stop downstream deliverables.</x:v>
      </x:c>
      <x:c r="E3" s="135" t="str">
        <x:v>Method 1 uses manual Decimal/statistical aggregation. Method 2 uses pivot/groupby logic and independent statistical library calculations. Any mismatch would stop downstream deliverables.</x:v>
      </x:c>
    </x:row>
    <x:row r="4" ht="28" customHeight="1">
      <x:c r="A4" s="135" t="str">
        <x:v>Method 1 uses manual Decimal/statistical aggregation. Method 2 uses pivot/groupby logic and independent statistical library calculations. Any mismatch would stop downstream deliverables.</x:v>
      </x:c>
      <x:c r="B4" s="135" t="str">
        <x:v>Method 1 uses manual Decimal/statistical aggregation. Method 2 uses pivot/groupby logic and independent statistical library calculations. Any mismatch would stop downstream deliverables.</x:v>
      </x:c>
      <x:c r="C4" s="135" t="str">
        <x:v>Method 1 uses manual Decimal/statistical aggregation. Method 2 uses pivot/groupby logic and independent statistical library calculations. Any mismatch would stop downstream deliverables.</x:v>
      </x:c>
      <x:c r="D4" s="135" t="str">
        <x:v>Method 1 uses manual Decimal/statistical aggregation. Method 2 uses pivot/groupby logic and independent statistical library calculations. Any mismatch would stop downstream deliverables.</x:v>
      </x:c>
      <x:c r="E4" s="135" t="str">
        <x:v>Method 1 uses manual Decimal/statistical aggregation. Method 2 uses pivot/groupby logic and independent statistical library calculations. Any mismatch would stop downstream deliverables.</x:v>
      </x:c>
    </x:row>
    <x:row r="6" ht="30" customHeight="1">
      <x:c r="A6" s="22" t="str">
        <x:v>Question</x:v>
      </x:c>
      <x:c r="B6" s="22" t="str">
        <x:v>Supporting Table</x:v>
      </x:c>
      <x:c r="C6" s="22" t="str">
        <x:v>Item</x:v>
      </x:c>
      <x:c r="D6" s="22" t="str">
        <x:v>Validation</x:v>
      </x:c>
      <x:c r="E6" s="22" t="str">
        <x:v>Conclusion</x:v>
      </x:c>
    </x:row>
    <x:row r="7">
      <x:c r="A7" s="60" t="str">
        <x:v>Q1</x:v>
      </x:c>
      <x:c r="B7" s="60" t="str">
        <x:v>projects</x:v>
      </x:c>
      <x:c r="C7" s="60" t="str">
        <x:v>Quarry Park Mixed-Use Development</x:v>
      </x:c>
      <x:c r="D7" s="60" t="str">
        <x:v>MATCH</x:v>
      </x:c>
      <x:c r="E7" s="60" t="str">
        <x:v>Independent methods produced identical results.</x:v>
      </x:c>
    </x:row>
    <x:row r="8">
      <x:c r="A8" s="61" t="str">
        <x:v>Q1</x:v>
      </x:c>
      <x:c r="B8" s="61" t="str">
        <x:v>projects</x:v>
      </x:c>
      <x:c r="C8" s="61" t="str">
        <x:v>Calgary SE Ring Road Extension</x:v>
      </x:c>
      <x:c r="D8" s="61" t="str">
        <x:v>MATCH</x:v>
      </x:c>
      <x:c r="E8" s="61" t="str">
        <x:v>Independent methods produced identical results.</x:v>
      </x:c>
    </x:row>
    <x:row r="9">
      <x:c r="A9" s="61" t="str">
        <x:v>Q1</x:v>
      </x:c>
      <x:c r="B9" s="61" t="str">
        <x:v>projects</x:v>
      </x:c>
      <x:c r="C9" s="61" t="str">
        <x:v>Deerfoot Trail Widening - North</x:v>
      </x:c>
      <x:c r="D9" s="61" t="str">
        <x:v>MATCH</x:v>
      </x:c>
      <x:c r="E9" s="61" t="str">
        <x:v>Independent methods produced identical results.</x:v>
      </x:c>
    </x:row>
    <x:row r="10">
      <x:c r="A10" s="61" t="str">
        <x:v>Q1</x:v>
      </x:c>
      <x:c r="B10" s="61" t="str">
        <x:v>projects</x:v>
      </x:c>
      <x:c r="C10" s="61" t="str">
        <x:v>Springbank Off-Stream Reservoir</x:v>
      </x:c>
      <x:c r="D10" s="61" t="str">
        <x:v>MATCH</x:v>
      </x:c>
      <x:c r="E10" s="61" t="str">
        <x:v>Independent methods produced identical results.</x:v>
      </x:c>
    </x:row>
    <x:row r="11">
      <x:c r="A11" s="61" t="str">
        <x:v>Q1</x:v>
      </x:c>
      <x:c r="B11" s="61" t="str">
        <x:v>projects</x:v>
      </x:c>
      <x:c r="C11" s="61" t="str">
        <x:v>Saddledome Arena Retrofit</x:v>
      </x:c>
      <x:c r="D11" s="61" t="str">
        <x:v>MATCH</x:v>
      </x:c>
      <x:c r="E11" s="61" t="str">
        <x:v>Independent methods produced identical results.</x:v>
      </x:c>
    </x:row>
    <x:row r="12">
      <x:c r="A12" s="61" t="str">
        <x:v>Q1</x:v>
      </x:c>
      <x:c r="B12" s="61" t="str">
        <x:v>projects</x:v>
      </x:c>
      <x:c r="C12" s="61" t="str">
        <x:v>Rocky View Industrial Logistics Hub</x:v>
      </x:c>
      <x:c r="D12" s="61" t="str">
        <x:v>MATCH</x:v>
      </x:c>
      <x:c r="E12" s="61" t="str">
        <x:v>Independent methods produced identical results.</x:v>
      </x:c>
    </x:row>
    <x:row r="13">
      <x:c r="A13" s="61" t="str">
        <x:v>Q1</x:v>
      </x:c>
      <x:c r="B13" s="61" t="str">
        <x:v>projects</x:v>
      </x:c>
      <x:c r="C13" s="61" t="str">
        <x:v>Stampede Park Infrastructure Upgrade</x:v>
      </x:c>
      <x:c r="D13" s="61" t="str">
        <x:v>MATCH</x:v>
      </x:c>
      <x:c r="E13" s="61" t="str">
        <x:v>Independent methods produced identical results.</x:v>
      </x:c>
    </x:row>
    <x:row r="14">
      <x:c r="A14" s="61" t="str">
        <x:v>Q1</x:v>
      </x:c>
      <x:c r="B14" s="61" t="str">
        <x:v>projects</x:v>
      </x:c>
      <x:c r="C14" s="61" t="str">
        <x:v>Foothills Medical Centre Expansion</x:v>
      </x:c>
      <x:c r="D14" s="61" t="str">
        <x:v>MATCH</x:v>
      </x:c>
      <x:c r="E14" s="61" t="str">
        <x:v>Independent methods produced identical results.</x:v>
      </x:c>
    </x:row>
    <x:row r="15">
      <x:c r="A15" s="61" t="str">
        <x:v>Q1</x:v>
      </x:c>
      <x:c r="B15" s="61" t="str">
        <x:v>projects</x:v>
      </x:c>
      <x:c r="C15" s="61" t="str">
        <x:v>Bow River Crossing Overpass</x:v>
      </x:c>
      <x:c r="D15" s="61" t="str">
        <x:v>MATCH</x:v>
      </x:c>
      <x:c r="E15" s="61" t="str">
        <x:v>Independent methods produced identical results.</x:v>
      </x:c>
    </x:row>
    <x:row r="16">
      <x:c r="A16" s="61" t="str">
        <x:v>Q1</x:v>
      </x:c>
      <x:c r="B16" s="61" t="str">
        <x:v>projects</x:v>
      </x:c>
      <x:c r="C16" s="61" t="str">
        <x:v>University District Residential Phase 3</x:v>
      </x:c>
      <x:c r="D16" s="61" t="str">
        <x:v>MATCH</x:v>
      </x:c>
      <x:c r="E16" s="61" t="str">
        <x:v>Independent methods produced identical results.</x:v>
      </x:c>
    </x:row>
    <x:row r="17">
      <x:c r="A17" s="61" t="str">
        <x:v>Q1</x:v>
      </x:c>
      <x:c r="B17" s="61" t="str">
        <x:v>material_categories</x:v>
      </x:c>
      <x:c r="C17" s="61" t="str">
        <x:v>Finishing</x:v>
      </x:c>
      <x:c r="D17" s="61" t="str">
        <x:v>MATCH</x:v>
      </x:c>
      <x:c r="E17" s="61" t="str">
        <x:v>Independent methods produced identical results.</x:v>
      </x:c>
    </x:row>
    <x:row r="18">
      <x:c r="A18" s="61" t="str">
        <x:v>Q1</x:v>
      </x:c>
      <x:c r="B18" s="61" t="str">
        <x:v>material_categories</x:v>
      </x:c>
      <x:c r="C18" s="61" t="str">
        <x:v>Concrete &amp; Structural</x:v>
      </x:c>
      <x:c r="D18" s="61" t="str">
        <x:v>MATCH</x:v>
      </x:c>
      <x:c r="E18" s="61" t="str">
        <x:v>Independent methods produced identical results.</x:v>
      </x:c>
    </x:row>
    <x:row r="19">
      <x:c r="A19" s="61" t="str">
        <x:v>Q1</x:v>
      </x:c>
      <x:c r="B19" s="61" t="str">
        <x:v>material_categories</x:v>
      </x:c>
      <x:c r="C19" s="61" t="str">
        <x:v>Civil Works</x:v>
      </x:c>
      <x:c r="D19" s="61" t="str">
        <x:v>MATCH</x:v>
      </x:c>
      <x:c r="E19" s="61" t="str">
        <x:v>Independent methods produced identical results.</x:v>
      </x:c>
    </x:row>
    <x:row r="20">
      <x:c r="A20" s="61" t="str">
        <x:v>Q1</x:v>
      </x:c>
      <x:c r="B20" s="61" t="str">
        <x:v>material_categories</x:v>
      </x:c>
      <x:c r="C20" s="61" t="str">
        <x:v>Safety &amp; Temp Works</x:v>
      </x:c>
      <x:c r="D20" s="61" t="str">
        <x:v>MATCH</x:v>
      </x:c>
      <x:c r="E20" s="61" t="str">
        <x:v>Independent methods produced identical results.</x:v>
      </x:c>
    </x:row>
    <x:row r="21">
      <x:c r="A21" s="61" t="str">
        <x:v>Q1</x:v>
      </x:c>
      <x:c r="B21" s="61" t="str">
        <x:v>material_categories</x:v>
      </x:c>
      <x:c r="C21" s="61" t="str">
        <x:v>MEP - Mechanical</x:v>
      </x:c>
      <x:c r="D21" s="61" t="str">
        <x:v>MATCH</x:v>
      </x:c>
      <x:c r="E21" s="61" t="str">
        <x:v>Independent methods produced identical results.</x:v>
      </x:c>
    </x:row>
    <x:row r="22">
      <x:c r="A22" s="61" t="str">
        <x:v>Q1</x:v>
      </x:c>
      <x:c r="B22" s="61" t="str">
        <x:v>material_categories</x:v>
      </x:c>
      <x:c r="C22" s="61" t="str">
        <x:v>MEP - Electrical</x:v>
      </x:c>
      <x:c r="D22" s="61" t="str">
        <x:v>MATCH</x:v>
      </x:c>
      <x:c r="E22" s="61" t="str">
        <x:v>Independent methods produced identical results.</x:v>
      </x:c>
    </x:row>
    <x:row r="23">
      <x:c r="A23" s="61" t="str">
        <x:v>Q2</x:v>
      </x:c>
      <x:c r="B23" s="61" t="str">
        <x:v>suppliers</x:v>
      </x:c>
      <x:c r="C23" s="61" t="str">
        <x:v>Houle Electric</x:v>
      </x:c>
      <x:c r="D23" s="61" t="str">
        <x:v>MATCH</x:v>
      </x:c>
      <x:c r="E23" s="61" t="str">
        <x:v>Independent methods produced identical results.</x:v>
      </x:c>
    </x:row>
    <x:row r="24">
      <x:c r="A24" s="61" t="str">
        <x:v>Q2</x:v>
      </x:c>
      <x:c r="B24" s="61" t="str">
        <x:v>suppliers</x:v>
      </x:c>
      <x:c r="C24" s="61" t="str">
        <x:v>PCL Mechanical</x:v>
      </x:c>
      <x:c r="D24" s="61" t="str">
        <x:v>MATCH</x:v>
      </x:c>
      <x:c r="E24" s="61" t="str">
        <x:v>Independent methods produced identical results.</x:v>
      </x:c>
    </x:row>
    <x:row r="25">
      <x:c r="A25" s="61" t="str">
        <x:v>Q2</x:v>
      </x:c>
      <x:c r="B25" s="61" t="str">
        <x:v>suppliers</x:v>
      </x:c>
      <x:c r="C25" s="61" t="str">
        <x:v>Levitt-Safety Calgary</x:v>
      </x:c>
      <x:c r="D25" s="61" t="str">
        <x:v>MATCH</x:v>
      </x:c>
      <x:c r="E25" s="61" t="str">
        <x:v>Independent methods produced identical results.</x:v>
      </x:c>
    </x:row>
    <x:row r="26">
      <x:c r="A26" s="61" t="str">
        <x:v>Q2</x:v>
      </x:c>
      <x:c r="B26" s="61" t="str">
        <x:v>suppliers</x:v>
      </x:c>
      <x:c r="C26" s="61" t="str">
        <x:v>Lafarge Canada - Calgary</x:v>
      </x:c>
      <x:c r="D26" s="61" t="str">
        <x:v>MATCH</x:v>
      </x:c>
      <x:c r="E26" s="61" t="str">
        <x:v>Independent methods produced identical results.</x:v>
      </x:c>
    </x:row>
    <x:row r="27">
      <x:c r="A27" s="61" t="str">
        <x:v>Q2</x:v>
      </x:c>
      <x:c r="B27" s="61" t="str">
        <x:v>suppliers</x:v>
      </x:c>
      <x:c r="C27" s="61" t="str">
        <x:v>Dryvit Systems Canada</x:v>
      </x:c>
      <x:c r="D27" s="61" t="str">
        <x:v>MATCH</x:v>
      </x:c>
      <x:c r="E27" s="61" t="str">
        <x:v>Independent methods produced identical results.</x:v>
      </x:c>
    </x:row>
    <x:row r="28">
      <x:c r="A28" s="61" t="str">
        <x:v>Q2</x:v>
      </x:c>
      <x:c r="B28" s="61" t="str">
        <x:v>suppliers</x:v>
      </x:c>
      <x:c r="C28" s="61" t="str">
        <x:v>Kiewit Infrastructure</x:v>
      </x:c>
      <x:c r="D28" s="61" t="str">
        <x:v>MATCH</x:v>
      </x:c>
      <x:c r="E28" s="61" t="str">
        <x:v>Independent methods produced identical results.</x:v>
      </x:c>
    </x:row>
    <x:row r="29">
      <x:c r="A29" s="61" t="str">
        <x:v>Q2</x:v>
      </x:c>
      <x:c r="B29" s="61" t="str">
        <x:v>suppliers</x:v>
      </x:c>
      <x:c r="C29" s="61" t="str">
        <x:v>EllisDon Civil</x:v>
      </x:c>
      <x:c r="D29" s="61" t="str">
        <x:v>MATCH</x:v>
      </x:c>
      <x:c r="E29" s="61" t="str">
        <x:v>Independent methods produced identical results.</x:v>
      </x:c>
    </x:row>
    <x:row r="30">
      <x:c r="A30" s="61" t="str">
        <x:v>Q2</x:v>
      </x:c>
      <x:c r="B30" s="61" t="str">
        <x:v>suppliers</x:v>
      </x:c>
      <x:c r="C30" s="61" t="str">
        <x:v>Centura Tile Calgary</x:v>
      </x:c>
      <x:c r="D30" s="61" t="str">
        <x:v>MATCH</x:v>
      </x:c>
      <x:c r="E30" s="61" t="str">
        <x:v>Independent methods produced identical results.</x:v>
      </x:c>
    </x:row>
    <x:row r="31">
      <x:c r="A31" s="61" t="str">
        <x:v>Q2</x:v>
      </x:c>
      <x:c r="B31" s="61" t="str">
        <x:v>suppliers</x:v>
      </x:c>
      <x:c r="C31" s="61" t="str">
        <x:v>Tremco Roofing</x:v>
      </x:c>
      <x:c r="D31" s="61" t="str">
        <x:v>MATCH</x:v>
      </x:c>
      <x:c r="E31" s="61" t="str">
        <x:v>Independent methods produced identical results.</x:v>
      </x:c>
    </x:row>
    <x:row r="32">
      <x:c r="A32" s="61" t="str">
        <x:v>Q2</x:v>
      </x:c>
      <x:c r="B32" s="61" t="str">
        <x:v>suppliers</x:v>
      </x:c>
      <x:c r="C32" s="61" t="str">
        <x:v>Ledcor Civil Alberta</x:v>
      </x:c>
      <x:c r="D32" s="61" t="str">
        <x:v>MATCH</x:v>
      </x:c>
      <x:c r="E32" s="61" t="str">
        <x:v>Independent methods produced identical results.</x:v>
      </x:c>
    </x:row>
    <x:row r="33">
      <x:c r="A33" s="61" t="str">
        <x:v>Q2</x:v>
      </x:c>
      <x:c r="B33" s="61" t="str">
        <x:v>suppliers</x:v>
      </x:c>
      <x:c r="C33" s="61" t="str">
        <x:v>Evraz Steel Calgary</x:v>
      </x:c>
      <x:c r="D33" s="61" t="str">
        <x:v>MATCH</x:v>
      </x:c>
      <x:c r="E33" s="61" t="str">
        <x:v>Independent methods produced identical results.</x:v>
      </x:c>
    </x:row>
    <x:row r="34">
      <x:c r="A34" s="61" t="str">
        <x:v>Q2</x:v>
      </x:c>
      <x:c r="B34" s="61" t="str">
        <x:v>suppliers</x:v>
      </x:c>
      <x:c r="C34" s="61" t="str">
        <x:v>Alberta Precast</x:v>
      </x:c>
      <x:c r="D34" s="61" t="str">
        <x:v>MATCH</x:v>
      </x:c>
      <x:c r="E34" s="61" t="str">
        <x:v>Independent methods produced identical results.</x:v>
      </x:c>
    </x:row>
    <x:row r="35">
      <x:c r="A35" s="61" t="str">
        <x:v>Q2</x:v>
      </x:c>
      <x:c r="B35" s="61" t="str">
        <x:v>suppliers</x:v>
      </x:c>
      <x:c r="C35" s="61" t="str">
        <x:v>Inland Concrete</x:v>
      </x:c>
      <x:c r="D35" s="61" t="str">
        <x:v>MATCH</x:v>
      </x:c>
      <x:c r="E35" s="61" t="str">
        <x:v>Independent methods produced identical results.</x:v>
      </x:c>
    </x:row>
    <x:row r="36">
      <x:c r="A36" s="61" t="str">
        <x:v>Q2</x:v>
      </x:c>
      <x:c r="B36" s="61" t="str">
        <x:v>suppliers</x:v>
      </x:c>
      <x:c r="C36" s="61" t="str">
        <x:v>Graham Construction</x:v>
      </x:c>
      <x:c r="D36" s="61" t="str">
        <x:v>MATCH</x:v>
      </x:c>
      <x:c r="E36" s="61" t="str">
        <x:v>Independent methods produced identical results.</x:v>
      </x:c>
    </x:row>
    <x:row r="37">
      <x:c r="A37" s="61" t="str">
        <x:v>Q2</x:v>
      </x:c>
      <x:c r="B37" s="61" t="str">
        <x:v>suppliers</x:v>
      </x:c>
      <x:c r="C37" s="61" t="str">
        <x:v>Armstrong World Industries</x:v>
      </x:c>
      <x:c r="D37" s="61" t="str">
        <x:v>MATCH</x:v>
      </x:c>
      <x:c r="E37" s="61" t="str">
        <x:v>Independent methods produced identical results.</x:v>
      </x:c>
    </x:row>
    <x:row r="38">
      <x:c r="A38" s="61" t="str">
        <x:v>Q2</x:v>
      </x:c>
      <x:c r="B38" s="61" t="str">
        <x:v>suppliers</x:v>
      </x:c>
      <x:c r="C38" s="61" t="str">
        <x:v>BrandSafway Canada</x:v>
      </x:c>
      <x:c r="D38" s="61" t="str">
        <x:v>MATCH</x:v>
      </x:c>
      <x:c r="E38" s="61" t="str">
        <x:v>Independent methods produced identical results.</x:v>
      </x:c>
    </x:row>
    <x:row r="39">
      <x:c r="A39" s="61" t="str">
        <x:v>Q2</x:v>
      </x:c>
      <x:c r="B39" s="61" t="str">
        <x:v>suppliers</x:v>
      </x:c>
      <x:c r="C39" s="61" t="str">
        <x:v>Sunbelt Rentals Canada</x:v>
      </x:c>
      <x:c r="D39" s="61" t="str">
        <x:v>MATCH</x:v>
      </x:c>
      <x:c r="E39" s="61" t="str">
        <x:v>Independent methods produced identical results.</x:v>
      </x:c>
    </x:row>
    <x:row r="40">
      <x:c r="A40" s="61" t="str">
        <x:v>Q2</x:v>
      </x:c>
      <x:c r="B40" s="61" t="str">
        <x:v>suppliers</x:v>
      </x:c>
      <x:c r="C40" s="61" t="str">
        <x:v>Safway Alberta</x:v>
      </x:c>
      <x:c r="D40" s="61" t="str">
        <x:v>MATCH</x:v>
      </x:c>
      <x:c r="E40" s="61" t="str">
        <x:v>Independent methods produced identical results.</x:v>
      </x:c>
    </x:row>
    <x:row r="41">
      <x:c r="A41" s="61" t="str">
        <x:v>Q2</x:v>
      </x:c>
      <x:c r="B41" s="61" t="str">
        <x:v>suppliers</x:v>
      </x:c>
      <x:c r="C41" s="61" t="str">
        <x:v>Ainsworth Inc.</x:v>
      </x:c>
      <x:c r="D41" s="61" t="str">
        <x:v>MATCH</x:v>
      </x:c>
      <x:c r="E41" s="61" t="str">
        <x:v>Independent methods produced identical results.</x:v>
      </x:c>
    </x:row>
    <x:row r="42">
      <x:c r="A42" s="61" t="str">
        <x:v>Q2</x:v>
      </x:c>
      <x:c r="B42" s="61" t="str">
        <x:v>suppliers</x:v>
      </x:c>
      <x:c r="C42" s="61" t="str">
        <x:v>Johnson Controls Alberta</x:v>
      </x:c>
      <x:c r="D42" s="61" t="str">
        <x:v>MATCH</x:v>
      </x:c>
      <x:c r="E42" s="61" t="str">
        <x:v>Independent methods produced identical results.</x:v>
      </x:c>
    </x:row>
    <x:row r="43">
      <x:c r="A43" s="61" t="str">
        <x:v>Q2</x:v>
      </x:c>
      <x:c r="B43" s="61" t="str">
        <x:v>suppliers</x:v>
      </x:c>
      <x:c r="C43" s="61" t="str">
        <x:v>Schneider Electric Canada</x:v>
      </x:c>
      <x:c r="D43" s="61" t="str">
        <x:v>MATCH</x:v>
      </x:c>
      <x:c r="E43" s="61" t="str">
        <x:v>Independent methods produced identical results.</x:v>
      </x:c>
    </x:row>
    <x:row r="44">
      <x:c r="A44" s="61" t="str">
        <x:v>Q2</x:v>
      </x:c>
      <x:c r="B44" s="61" t="str">
        <x:v>suppliers</x:v>
      </x:c>
      <x:c r="C44" s="61" t="str">
        <x:v>Stuart Olson Electrical</x:v>
      </x:c>
      <x:c r="D44" s="61" t="str">
        <x:v>MATCH</x:v>
      </x:c>
      <x:c r="E44" s="61" t="str">
        <x:v>Independent methods produced identical results.</x:v>
      </x:c>
    </x:row>
    <x:row r="45">
      <x:c r="A45" s="61" t="str">
        <x:v>Q2</x:v>
      </x:c>
      <x:c r="B45" s="61" t="str">
        <x:v>suppliers</x:v>
      </x:c>
      <x:c r="C45" s="61" t="str">
        <x:v>Stantec MEP</x:v>
      </x:c>
      <x:c r="D45" s="61" t="str">
        <x:v>MATCH</x:v>
      </x:c>
      <x:c r="E45" s="61" t="str">
        <x:v>Independent methods produced identical results.</x:v>
      </x:c>
    </x:row>
    <x:row r="46">
      <x:c r="A46" s="61" t="str">
        <x:v>Q2</x:v>
      </x:c>
      <x:c r="B46" s="61" t="str">
        <x:v>suppliers</x:v>
      </x:c>
      <x:c r="C46" s="61" t="str">
        <x:v>Flint Energy Services</x:v>
      </x:c>
      <x:c r="D46" s="61" t="str">
        <x:v>MATCH</x:v>
      </x:c>
      <x:c r="E46" s="61" t="str">
        <x:v>Independent methods produced identical results.</x:v>
      </x:c>
    </x:row>
    <x:row r="47">
      <x:c r="A47" s="61" t="str">
        <x:v>Q3</x:v>
      </x:c>
      <x:c r="B47" s="61" t="str">
        <x:v>methods</x:v>
      </x:c>
      <x:c r="C47" s="61" t="str">
        <x:v>3-Quote Comparison</x:v>
      </x:c>
      <x:c r="D47" s="61" t="str">
        <x:v>MATCH</x:v>
      </x:c>
      <x:c r="E47" s="61" t="str">
        <x:v>Independent methods produced identical results.</x:v>
      </x:c>
    </x:row>
    <x:row r="48">
      <x:c r="A48" s="61" t="str">
        <x:v>Q3</x:v>
      </x:c>
      <x:c r="B48" s="61" t="str">
        <x:v>methods</x:v>
      </x:c>
      <x:c r="C48" s="61" t="str">
        <x:v>LPO – Direct Award</x:v>
      </x:c>
      <x:c r="D48" s="61" t="str">
        <x:v>MATCH</x:v>
      </x:c>
      <x:c r="E48" s="61" t="str">
        <x:v>Independent methods produced identical results.</x:v>
      </x:c>
    </x:row>
    <x:row r="49">
      <x:c r="A49" s="61" t="str">
        <x:v>Q3</x:v>
      </x:c>
      <x:c r="B49" s="61" t="str">
        <x:v>methods</x:v>
      </x:c>
      <x:c r="C49" s="61" t="str">
        <x:v>Emergency Procurement</x:v>
      </x:c>
      <x:c r="D49" s="61" t="str">
        <x:v>MATCH</x:v>
      </x:c>
      <x:c r="E49" s="61" t="str">
        <x:v>Independent methods produced identical results.</x:v>
      </x:c>
    </x:row>
    <x:row r="50">
      <x:c r="A50" s="61" t="str">
        <x:v>Q3</x:v>
      </x:c>
      <x:c r="B50" s="61" t="str">
        <x:v>methods</x:v>
      </x:c>
      <x:c r="C50" s="61" t="str">
        <x:v>Tender – Open</x:v>
      </x:c>
      <x:c r="D50" s="61" t="str">
        <x:v>MATCH</x:v>
      </x:c>
      <x:c r="E50" s="61" t="str">
        <x:v>Independent methods produced identical results.</x:v>
      </x:c>
    </x:row>
    <x:row r="51">
      <x:c r="A51" s="61" t="str">
        <x:v>Q3</x:v>
      </x:c>
      <x:c r="B51" s="61" t="str">
        <x:v>methods</x:v>
      </x:c>
      <x:c r="C51" s="61" t="str">
        <x:v>Standing Offer Agreement</x:v>
      </x:c>
      <x:c r="D51" s="61" t="str">
        <x:v>MATCH</x:v>
      </x:c>
      <x:c r="E51" s="61" t="str">
        <x:v>Independent methods produced identical results.</x:v>
      </x:c>
    </x:row>
    <x:row r="52">
      <x:c r="A52" s="61" t="str">
        <x:v>Q3</x:v>
      </x:c>
      <x:c r="B52" s="61" t="str">
        <x:v>statistical_tests</x:v>
      </x:c>
      <x:c r="C52" s="61" t="str">
        <x:v>ANOVA F — row Variance_%</x:v>
      </x:c>
      <x:c r="D52" s="61" t="str">
        <x:v>MATCH</x:v>
      </x:c>
      <x:c r="E52" s="61" t="str">
        <x:v>Independent methods produced identical results.</x:v>
      </x:c>
    </x:row>
    <x:row r="53">
      <x:c r="A53" s="61" t="str">
        <x:v>Q3</x:v>
      </x:c>
      <x:c r="B53" s="61" t="str">
        <x:v>statistical_tests</x:v>
      </x:c>
      <x:c r="C53" s="61" t="str">
        <x:v>ANOVA p-value — row Variance_%</x:v>
      </x:c>
      <x:c r="D53" s="61" t="str">
        <x:v>MATCH</x:v>
      </x:c>
      <x:c r="E53" s="61" t="str">
        <x:v>Independent methods produced identical results.</x:v>
      </x:c>
    </x:row>
    <x:row r="54">
      <x:c r="A54" s="61" t="str">
        <x:v>Q3</x:v>
      </x:c>
      <x:c r="B54" s="61" t="str">
        <x:v>statistical_tests</x:v>
      </x:c>
      <x:c r="C54" s="61" t="str">
        <x:v>Eta squared — row Variance_%</x:v>
      </x:c>
      <x:c r="D54" s="61" t="str">
        <x:v>MATCH</x:v>
      </x:c>
      <x:c r="E54" s="61" t="str">
        <x:v>Independent methods produced identical results.</x:v>
      </x:c>
    </x:row>
    <x:row r="55">
      <x:c r="A55" s="61" t="str">
        <x:v>Q3</x:v>
      </x:c>
      <x:c r="B55" s="61" t="str">
        <x:v>statistical_tests</x:v>
      </x:c>
      <x:c r="C55" s="61" t="str">
        <x:v>Kruskal-Wallis H — row Variance_%</x:v>
      </x:c>
      <x:c r="D55" s="61" t="str">
        <x:v>MATCH</x:v>
      </x:c>
      <x:c r="E55" s="61" t="str">
        <x:v>Independent methods produced identical results.</x:v>
      </x:c>
    </x:row>
    <x:row r="56">
      <x:c r="A56" s="61" t="str">
        <x:v>Q3</x:v>
      </x:c>
      <x:c r="B56" s="61" t="str">
        <x:v>statistical_tests</x:v>
      </x:c>
      <x:c r="C56" s="61" t="str">
        <x:v>Kruskal-Wallis p-value — row Variance_%</x:v>
      </x:c>
      <x:c r="D56" s="61" t="str">
        <x:v>MATCH</x:v>
      </x:c>
      <x:c r="E56" s="61" t="str">
        <x:v>Independent methods produced identical results.</x:v>
      </x:c>
    </x:row>
    <x:row r="57">
      <x:c r="A57" s="61" t="str">
        <x:v>Q3</x:v>
      </x:c>
      <x:c r="B57" s="61" t="str">
        <x:v>statistical_tests</x:v>
      </x:c>
      <x:c r="C57" s="61" t="str">
        <x:v>ANOVA F — Cost_Variance_CAD</x:v>
      </x:c>
      <x:c r="D57" s="61" t="str">
        <x:v>MATCH</x:v>
      </x:c>
      <x:c r="E57" s="61" t="str">
        <x:v>Independent methods produced identical results.</x:v>
      </x:c>
    </x:row>
    <x:row r="58">
      <x:c r="A58" s="61" t="str">
        <x:v>Q3</x:v>
      </x:c>
      <x:c r="B58" s="61" t="str">
        <x:v>statistical_tests</x:v>
      </x:c>
      <x:c r="C58" s="61" t="str">
        <x:v>ANOVA p-value — Cost_Variance_CAD</x:v>
      </x:c>
      <x:c r="D58" s="61" t="str">
        <x:v>MATCH</x:v>
      </x:c>
      <x:c r="E58" s="61" t="str">
        <x:v>Independent methods produced identical results.</x:v>
      </x:c>
    </x:row>
    <x:row r="59">
      <x:c r="A59" s="61" t="str">
        <x:v>Q4</x:v>
      </x:c>
      <x:c r="B59" s="61" t="str">
        <x:v>portfolio</x:v>
      </x:c>
      <x:c r="C59" s="61" t="str">
        <x:v>Delivered-only portfolio</x:v>
      </x:c>
      <x:c r="D59" s="61" t="str">
        <x:v>MATCH</x:v>
      </x:c>
      <x:c r="E59" s="61" t="str">
        <x:v>Independent methods produced identical results.</x:v>
      </x:c>
    </x:row>
    <x:row r="60">
      <x:c r="A60" s="61" t="str">
        <x:v>Q4</x:v>
      </x:c>
      <x:c r="B60" s="61" t="str">
        <x:v>material_categories</x:v>
      </x:c>
      <x:c r="C60" s="61" t="str">
        <x:v>Safety &amp; Temp Works</x:v>
      </x:c>
      <x:c r="D60" s="61" t="str">
        <x:v>MATCH</x:v>
      </x:c>
      <x:c r="E60" s="61" t="str">
        <x:v>Independent methods produced identical results.</x:v>
      </x:c>
    </x:row>
    <x:row r="61">
      <x:c r="A61" s="61" t="str">
        <x:v>Q4</x:v>
      </x:c>
      <x:c r="B61" s="61" t="str">
        <x:v>material_categories</x:v>
      </x:c>
      <x:c r="C61" s="61" t="str">
        <x:v>Civil Works</x:v>
      </x:c>
      <x:c r="D61" s="61" t="str">
        <x:v>MATCH</x:v>
      </x:c>
      <x:c r="E61" s="61" t="str">
        <x:v>Independent methods produced identical results.</x:v>
      </x:c>
    </x:row>
    <x:row r="62">
      <x:c r="A62" s="61" t="str">
        <x:v>Q4</x:v>
      </x:c>
      <x:c r="B62" s="61" t="str">
        <x:v>material_categories</x:v>
      </x:c>
      <x:c r="C62" s="61" t="str">
        <x:v>MEP - Electrical</x:v>
      </x:c>
      <x:c r="D62" s="61" t="str">
        <x:v>MATCH</x:v>
      </x:c>
      <x:c r="E62" s="61" t="str">
        <x:v>Independent methods produced identical results.</x:v>
      </x:c>
    </x:row>
    <x:row r="63">
      <x:c r="A63" s="61" t="str">
        <x:v>Q4</x:v>
      </x:c>
      <x:c r="B63" s="61" t="str">
        <x:v>material_categories</x:v>
      </x:c>
      <x:c r="C63" s="61" t="str">
        <x:v>MEP - Mechanical</x:v>
      </x:c>
      <x:c r="D63" s="61" t="str">
        <x:v>MATCH</x:v>
      </x:c>
      <x:c r="E63" s="61" t="str">
        <x:v>Independent methods produced identical results.</x:v>
      </x:c>
    </x:row>
    <x:row r="64">
      <x:c r="A64" s="61" t="str">
        <x:v>Q4</x:v>
      </x:c>
      <x:c r="B64" s="61" t="str">
        <x:v>material_categories</x:v>
      </x:c>
      <x:c r="C64" s="61" t="str">
        <x:v>Concrete &amp; Structural</x:v>
      </x:c>
      <x:c r="D64" s="61" t="str">
        <x:v>MATCH</x:v>
      </x:c>
      <x:c r="E64" s="61" t="str">
        <x:v>Independent methods produced identical results.</x:v>
      </x:c>
    </x:row>
    <x:row r="65">
      <x:c r="A65" s="61" t="str">
        <x:v>Q4</x:v>
      </x:c>
      <x:c r="B65" s="61" t="str">
        <x:v>material_categories</x:v>
      </x:c>
      <x:c r="C65" s="61" t="str">
        <x:v>Finishing</x:v>
      </x:c>
      <x:c r="D65" s="61" t="str">
        <x:v>MATCH</x:v>
      </x:c>
      <x:c r="E65" s="61" t="str">
        <x:v>Independent methods produced identical results.</x:v>
      </x:c>
    </x:row>
    <x:row r="66">
      <x:c r="A66" s="61" t="str">
        <x:v>Q4</x:v>
      </x:c>
      <x:c r="B66" s="61" t="str">
        <x:v>suppliers</x:v>
      </x:c>
      <x:c r="C66" s="61" t="str">
        <x:v>Houle Electric</x:v>
      </x:c>
      <x:c r="D66" s="61" t="str">
        <x:v>MATCH</x:v>
      </x:c>
      <x:c r="E66" s="61" t="str">
        <x:v>Independent methods produced identical results.</x:v>
      </x:c>
    </x:row>
    <x:row r="67">
      <x:c r="A67" s="61" t="str">
        <x:v>Q4</x:v>
      </x:c>
      <x:c r="B67" s="61" t="str">
        <x:v>suppliers</x:v>
      </x:c>
      <x:c r="C67" s="61" t="str">
        <x:v>Ainsworth Inc.</x:v>
      </x:c>
      <x:c r="D67" s="61" t="str">
        <x:v>MATCH</x:v>
      </x:c>
      <x:c r="E67" s="61" t="str">
        <x:v>Independent methods produced identical results.</x:v>
      </x:c>
    </x:row>
    <x:row r="68">
      <x:c r="A68" s="61" t="str">
        <x:v>Q4</x:v>
      </x:c>
      <x:c r="B68" s="61" t="str">
        <x:v>suppliers</x:v>
      </x:c>
      <x:c r="C68" s="61" t="str">
        <x:v>Graham Construction</x:v>
      </x:c>
      <x:c r="D68" s="61" t="str">
        <x:v>MATCH</x:v>
      </x:c>
      <x:c r="E68" s="61" t="str">
        <x:v>Independent methods produced identical results.</x:v>
      </x:c>
    </x:row>
    <x:row r="69">
      <x:c r="A69" s="61" t="str">
        <x:v>Q4</x:v>
      </x:c>
      <x:c r="B69" s="61" t="str">
        <x:v>suppliers</x:v>
      </x:c>
      <x:c r="C69" s="61" t="str">
        <x:v>Sunbelt Rentals Canada</x:v>
      </x:c>
      <x:c r="D69" s="61" t="str">
        <x:v>MATCH</x:v>
      </x:c>
      <x:c r="E69" s="61" t="str">
        <x:v>Independent methods produced identical results.</x:v>
      </x:c>
    </x:row>
    <x:row r="70">
      <x:c r="A70" s="61" t="str">
        <x:v>Q4</x:v>
      </x:c>
      <x:c r="B70" s="61" t="str">
        <x:v>suppliers</x:v>
      </x:c>
      <x:c r="C70" s="61" t="str">
        <x:v>Levitt-Safety Calgary</x:v>
      </x:c>
      <x:c r="D70" s="61" t="str">
        <x:v>MATCH</x:v>
      </x:c>
      <x:c r="E70" s="61" t="str">
        <x:v>Independent methods produced identical results.</x:v>
      </x:c>
    </x:row>
    <x:row r="71">
      <x:c r="A71" s="61" t="str">
        <x:v>Q4</x:v>
      </x:c>
      <x:c r="B71" s="61" t="str">
        <x:v>suppliers</x:v>
      </x:c>
      <x:c r="C71" s="61" t="str">
        <x:v>PCL Mechanical</x:v>
      </x:c>
      <x:c r="D71" s="61" t="str">
        <x:v>MATCH</x:v>
      </x:c>
      <x:c r="E71" s="61" t="str">
        <x:v>Independent methods produced identical results.</x:v>
      </x:c>
    </x:row>
    <x:row r="72">
      <x:c r="A72" s="61" t="str">
        <x:v>Q4</x:v>
      </x:c>
      <x:c r="B72" s="61" t="str">
        <x:v>suppliers</x:v>
      </x:c>
      <x:c r="C72" s="61" t="str">
        <x:v>Inland Concrete</x:v>
      </x:c>
      <x:c r="D72" s="61" t="str">
        <x:v>MATCH</x:v>
      </x:c>
      <x:c r="E72" s="61" t="str">
        <x:v>Independent methods produced identical results.</x:v>
      </x:c>
    </x:row>
    <x:row r="73">
      <x:c r="A73" s="61" t="str">
        <x:v>Q4</x:v>
      </x:c>
      <x:c r="B73" s="61" t="str">
        <x:v>suppliers</x:v>
      </x:c>
      <x:c r="C73" s="61" t="str">
        <x:v>BrandSafway Canada</x:v>
      </x:c>
      <x:c r="D73" s="61" t="str">
        <x:v>MATCH</x:v>
      </x:c>
      <x:c r="E73" s="61" t="str">
        <x:v>Independent methods produced identical results.</x:v>
      </x:c>
    </x:row>
    <x:row r="74">
      <x:c r="A74" s="61" t="str">
        <x:v>Q4</x:v>
      </x:c>
      <x:c r="B74" s="61" t="str">
        <x:v>suppliers</x:v>
      </x:c>
      <x:c r="C74" s="61" t="str">
        <x:v>Armstrong World Industries</x:v>
      </x:c>
      <x:c r="D74" s="61" t="str">
        <x:v>MATCH</x:v>
      </x:c>
      <x:c r="E74" s="61" t="str">
        <x:v>Independent methods produced identical results.</x:v>
      </x:c>
    </x:row>
    <x:row r="75">
      <x:c r="A75" s="61" t="str">
        <x:v>Q4</x:v>
      </x:c>
      <x:c r="B75" s="61" t="str">
        <x:v>suppliers</x:v>
      </x:c>
      <x:c r="C75" s="61" t="str">
        <x:v>Ledcor Civil Alberta</x:v>
      </x:c>
      <x:c r="D75" s="61" t="str">
        <x:v>MATCH</x:v>
      </x:c>
      <x:c r="E75" s="61" t="str">
        <x:v>Independent methods produced identical results.</x:v>
      </x:c>
    </x:row>
    <x:row r="76">
      <x:c r="A76" s="61" t="str">
        <x:v>Q4</x:v>
      </x:c>
      <x:c r="B76" s="61" t="str">
        <x:v>suppliers</x:v>
      </x:c>
      <x:c r="C76" s="61" t="str">
        <x:v>Flint Energy Services</x:v>
      </x:c>
      <x:c r="D76" s="61" t="str">
        <x:v>MATCH</x:v>
      </x:c>
      <x:c r="E76" s="61" t="str">
        <x:v>Independent methods produced identical results.</x:v>
      </x:c>
    </x:row>
    <x:row r="77">
      <x:c r="A77" s="61" t="str">
        <x:v>Q4</x:v>
      </x:c>
      <x:c r="B77" s="61" t="str">
        <x:v>suppliers</x:v>
      </x:c>
      <x:c r="C77" s="61" t="str">
        <x:v>Evraz Steel Calgary</x:v>
      </x:c>
      <x:c r="D77" s="61" t="str">
        <x:v>MATCH</x:v>
      </x:c>
      <x:c r="E77" s="61" t="str">
        <x:v>Independent methods produced identical results.</x:v>
      </x:c>
    </x:row>
    <x:row r="78">
      <x:c r="A78" s="61" t="str">
        <x:v>Q4</x:v>
      </x:c>
      <x:c r="B78" s="61" t="str">
        <x:v>suppliers</x:v>
      </x:c>
      <x:c r="C78" s="61" t="str">
        <x:v>EllisDon Civil</x:v>
      </x:c>
      <x:c r="D78" s="61" t="str">
        <x:v>MATCH</x:v>
      </x:c>
      <x:c r="E78" s="61" t="str">
        <x:v>Independent methods produced identical results.</x:v>
      </x:c>
    </x:row>
    <x:row r="79">
      <x:c r="A79" s="61" t="str">
        <x:v>Q4</x:v>
      </x:c>
      <x:c r="B79" s="61" t="str">
        <x:v>suppliers</x:v>
      </x:c>
      <x:c r="C79" s="61" t="str">
        <x:v>Dryvit Systems Canada</x:v>
      </x:c>
      <x:c r="D79" s="61" t="str">
        <x:v>MATCH</x:v>
      </x:c>
      <x:c r="E79" s="61" t="str">
        <x:v>Independent methods produced identical results.</x:v>
      </x:c>
    </x:row>
    <x:row r="80">
      <x:c r="A80" s="61" t="str">
        <x:v>Q4</x:v>
      </x:c>
      <x:c r="B80" s="61" t="str">
        <x:v>suppliers</x:v>
      </x:c>
      <x:c r="C80" s="61" t="str">
        <x:v>Stantec MEP</x:v>
      </x:c>
      <x:c r="D80" s="61" t="str">
        <x:v>MATCH</x:v>
      </x:c>
      <x:c r="E80" s="61" t="str">
        <x:v>Independent methods produced identical results.</x:v>
      </x:c>
    </x:row>
    <x:row r="81">
      <x:c r="A81" s="61" t="str">
        <x:v>Q4</x:v>
      </x:c>
      <x:c r="B81" s="61" t="str">
        <x:v>suppliers</x:v>
      </x:c>
      <x:c r="C81" s="61" t="str">
        <x:v>Safway Alberta</x:v>
      </x:c>
      <x:c r="D81" s="61" t="str">
        <x:v>MATCH</x:v>
      </x:c>
      <x:c r="E81" s="61" t="str">
        <x:v>Independent methods produced identical results.</x:v>
      </x:c>
    </x:row>
    <x:row r="82">
      <x:c r="A82" s="61" t="str">
        <x:v>Q4</x:v>
      </x:c>
      <x:c r="B82" s="61" t="str">
        <x:v>suppliers</x:v>
      </x:c>
      <x:c r="C82" s="61" t="str">
        <x:v>Schneider Electric Canada</x:v>
      </x:c>
      <x:c r="D82" s="61" t="str">
        <x:v>MATCH</x:v>
      </x:c>
      <x:c r="E82" s="61" t="str">
        <x:v>Independent methods produced identical results.</x:v>
      </x:c>
    </x:row>
    <x:row r="83">
      <x:c r="A83" s="61" t="str">
        <x:v>Q4</x:v>
      </x:c>
      <x:c r="B83" s="61" t="str">
        <x:v>suppliers</x:v>
      </x:c>
      <x:c r="C83" s="61" t="str">
        <x:v>Kiewit Infrastructure</x:v>
      </x:c>
      <x:c r="D83" s="61" t="str">
        <x:v>MATCH</x:v>
      </x:c>
      <x:c r="E83" s="61" t="str">
        <x:v>Independent methods produced identical results.</x:v>
      </x:c>
    </x:row>
    <x:row r="84">
      <x:c r="A84" s="61" t="str">
        <x:v>Q4</x:v>
      </x:c>
      <x:c r="B84" s="61" t="str">
        <x:v>suppliers</x:v>
      </x:c>
      <x:c r="C84" s="61" t="str">
        <x:v>Lafarge Canada - Calgary</x:v>
      </x:c>
      <x:c r="D84" s="61" t="str">
        <x:v>MATCH</x:v>
      </x:c>
      <x:c r="E84" s="61" t="str">
        <x:v>Independent methods produced identical results.</x:v>
      </x:c>
    </x:row>
    <x:row r="85">
      <x:c r="A85" s="61" t="str">
        <x:v>Q4</x:v>
      </x:c>
      <x:c r="B85" s="61" t="str">
        <x:v>suppliers</x:v>
      </x:c>
      <x:c r="C85" s="61" t="str">
        <x:v>Stuart Olson Electrical</x:v>
      </x:c>
      <x:c r="D85" s="61" t="str">
        <x:v>MATCH</x:v>
      </x:c>
      <x:c r="E85" s="61" t="str">
        <x:v>Independent methods produced identical results.</x:v>
      </x:c>
    </x:row>
    <x:row r="86">
      <x:c r="A86" s="61" t="str">
        <x:v>Q4</x:v>
      </x:c>
      <x:c r="B86" s="61" t="str">
        <x:v>suppliers</x:v>
      </x:c>
      <x:c r="C86" s="61" t="str">
        <x:v>Centura Tile Calgary</x:v>
      </x:c>
      <x:c r="D86" s="61" t="str">
        <x:v>MATCH</x:v>
      </x:c>
      <x:c r="E86" s="61" t="str">
        <x:v>Independent methods produced identical results.</x:v>
      </x:c>
    </x:row>
    <x:row r="87">
      <x:c r="A87" s="61" t="str">
        <x:v>Q4</x:v>
      </x:c>
      <x:c r="B87" s="61" t="str">
        <x:v>suppliers</x:v>
      </x:c>
      <x:c r="C87" s="61" t="str">
        <x:v>Johnson Controls Alberta</x:v>
      </x:c>
      <x:c r="D87" s="61" t="str">
        <x:v>MATCH</x:v>
      </x:c>
      <x:c r="E87" s="61" t="str">
        <x:v>Independent methods produced identical results.</x:v>
      </x:c>
    </x:row>
    <x:row r="88">
      <x:c r="A88" s="61" t="str">
        <x:v>Q4</x:v>
      </x:c>
      <x:c r="B88" s="61" t="str">
        <x:v>suppliers</x:v>
      </x:c>
      <x:c r="C88" s="61" t="str">
        <x:v>Alberta Precast</x:v>
      </x:c>
      <x:c r="D88" s="61" t="str">
        <x:v>MATCH</x:v>
      </x:c>
      <x:c r="E88" s="61" t="str">
        <x:v>Independent methods produced identical results.</x:v>
      </x:c>
    </x:row>
    <x:row r="89">
      <x:c r="A89" s="62" t="str">
        <x:v>Q4</x:v>
      </x:c>
      <x:c r="B89" s="62" t="str">
        <x:v>suppliers</x:v>
      </x:c>
      <x:c r="C89" s="62" t="str">
        <x:v>Tremco Roofing</x:v>
      </x:c>
      <x:c r="D89" s="62" t="str">
        <x:v>MATCH</x:v>
      </x:c>
      <x:c r="E89" s="62" t="str">
        <x:v>Independent methods produced identical results.</x:v>
      </x:c>
    </x:row>
  </x:sheetData>
  <x:mergeCells>
    <x:mergeCell ref="A1:E2"/>
    <x:mergeCell ref="A3:E4"/>
  </x:mergeCells>
  <x:conditionalFormatting sqref="D7:D89">
    <x:cfRule type="containsText" dxfId="30" priority="1" operator="containsText" text="PASS"/>
    <x:cfRule type="containsText" dxfId="31" priority="2" operator="containsText" text="MATCH"/>
    <x:cfRule type="containsText" dxfId="32" priority="3" operator="containsText" text="FAIL"/>
    <x:cfRule type="containsText" dxfId="33" priority="4" operator="containsText" text="MISMATCH"/>
  </x:conditionalFormatting>
  <x:pageMargins left="0.7" right="0.7" top="0.75" bottom="0.75" header="0.3" footer="0.3"/>
  <x:tableParts count="1">
    <x:tablePart xmlns:r="http://schemas.openxmlformats.org/officeDocument/2006/relationships" r:id="R4eab452306c145d9"/>
  </x:tableParts>
</x:worksheet>
</file>